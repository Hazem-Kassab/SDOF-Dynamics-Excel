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ENOVO\Documents\EXCEL\"/>
    </mc:Choice>
  </mc:AlternateContent>
  <xr:revisionPtr revIDLastSave="0" documentId="13_ncr:1_{804B64C6-1CAC-4688-8053-58AB9473E8EF}" xr6:coauthVersionLast="47" xr6:coauthVersionMax="47" xr10:uidLastSave="{00000000-0000-0000-0000-000000000000}"/>
  <bookViews>
    <workbookView xWindow="-108" yWindow="-108" windowWidth="23256" windowHeight="12576" tabRatio="532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9"/>
  <definedNames>
    <definedName name="a">Sheet1!$C$15</definedName>
    <definedName name="b">Sheet1!$C$16</definedName>
    <definedName name="E">Sheet1!$C$13</definedName>
    <definedName name="I">Sheet2!$O$1</definedName>
    <definedName name="K">Sheet1!$C$17</definedName>
    <definedName name="L">Sheet4!$E$6</definedName>
    <definedName name="m">Sheet1!$C$12</definedName>
    <definedName name="P">Sheet4!$E$5</definedName>
    <definedName name="Po">Sheet1!$C$9</definedName>
    <definedName name="_xlnm.Print_Area" localSheetId="0">Sheet1!$A$1:$H$53</definedName>
    <definedName name="Profile">Sheet1!$C$14</definedName>
    <definedName name="solver_adj" localSheetId="0" hidden="1">Sheet1!$C$12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Sheet1!$G$16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</definedName>
    <definedName name="solver_ver" localSheetId="0" hidden="1">3</definedName>
    <definedName name="Sx">Sheet2!$O$2</definedName>
    <definedName name="Uo">Sheet1!$C$7</definedName>
    <definedName name="Vo">Sheet1!$C$8</definedName>
    <definedName name="w">Sheet1!$C$10</definedName>
    <definedName name="Wn">Sheet1!$C$18</definedName>
    <definedName name="wnD">Sheet1!$C$19</definedName>
    <definedName name="zeta">Sheet1!$C$11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1" i="2" l="1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2111" i="2"/>
  <c r="R2112" i="2"/>
  <c r="R2113" i="2"/>
  <c r="R2114" i="2"/>
  <c r="R2115" i="2"/>
  <c r="R2116" i="2"/>
  <c r="R2117" i="2"/>
  <c r="R2118" i="2"/>
  <c r="R2119" i="2"/>
  <c r="R2120" i="2"/>
  <c r="R2121" i="2"/>
  <c r="R2122" i="2"/>
  <c r="R2123" i="2"/>
  <c r="R2124" i="2"/>
  <c r="R2125" i="2"/>
  <c r="R2126" i="2"/>
  <c r="R2127" i="2"/>
  <c r="R2128" i="2"/>
  <c r="R2129" i="2"/>
  <c r="R2130" i="2"/>
  <c r="R2131" i="2"/>
  <c r="R2132" i="2"/>
  <c r="R2133" i="2"/>
  <c r="R2134" i="2"/>
  <c r="R2135" i="2"/>
  <c r="R2136" i="2"/>
  <c r="R2137" i="2"/>
  <c r="R2138" i="2"/>
  <c r="R2139" i="2"/>
  <c r="R2140" i="2"/>
  <c r="R2141" i="2"/>
  <c r="R2142" i="2"/>
  <c r="R2143" i="2"/>
  <c r="R2144" i="2"/>
  <c r="R2145" i="2"/>
  <c r="R2146" i="2"/>
  <c r="R2147" i="2"/>
  <c r="R2148" i="2"/>
  <c r="R2149" i="2"/>
  <c r="R2150" i="2"/>
  <c r="R2151" i="2"/>
  <c r="R2152" i="2"/>
  <c r="R2153" i="2"/>
  <c r="R2154" i="2"/>
  <c r="R2155" i="2"/>
  <c r="R2156" i="2"/>
  <c r="R2157" i="2"/>
  <c r="R2158" i="2"/>
  <c r="R2159" i="2"/>
  <c r="R2160" i="2"/>
  <c r="R2161" i="2"/>
  <c r="R2162" i="2"/>
  <c r="R2163" i="2"/>
  <c r="R2164" i="2"/>
  <c r="R2165" i="2"/>
  <c r="R2166" i="2"/>
  <c r="R2167" i="2"/>
  <c r="R2168" i="2"/>
  <c r="R2169" i="2"/>
  <c r="R2170" i="2"/>
  <c r="R2171" i="2"/>
  <c r="R2172" i="2"/>
  <c r="R2173" i="2"/>
  <c r="R2174" i="2"/>
  <c r="R2175" i="2"/>
  <c r="R2176" i="2"/>
  <c r="R2177" i="2"/>
  <c r="R2178" i="2"/>
  <c r="R2179" i="2"/>
  <c r="R2180" i="2"/>
  <c r="R2181" i="2"/>
  <c r="R2182" i="2"/>
  <c r="R2183" i="2"/>
  <c r="R2184" i="2"/>
  <c r="R2185" i="2"/>
  <c r="R2186" i="2"/>
  <c r="R2187" i="2"/>
  <c r="R2188" i="2"/>
  <c r="R2189" i="2"/>
  <c r="R2190" i="2"/>
  <c r="R2191" i="2"/>
  <c r="R2192" i="2"/>
  <c r="R2193" i="2"/>
  <c r="R2194" i="2"/>
  <c r="R2195" i="2"/>
  <c r="R2196" i="2"/>
  <c r="R2197" i="2"/>
  <c r="R2198" i="2"/>
  <c r="R2199" i="2"/>
  <c r="R2200" i="2"/>
  <c r="R2201" i="2"/>
  <c r="R2202" i="2"/>
  <c r="R2203" i="2"/>
  <c r="R2204" i="2"/>
  <c r="R2205" i="2"/>
  <c r="R2206" i="2"/>
  <c r="R2207" i="2"/>
  <c r="R2208" i="2"/>
  <c r="R2209" i="2"/>
  <c r="R2210" i="2"/>
  <c r="R2211" i="2"/>
  <c r="R2212" i="2"/>
  <c r="R2213" i="2"/>
  <c r="R2214" i="2"/>
  <c r="R2215" i="2"/>
  <c r="R2216" i="2"/>
  <c r="R2217" i="2"/>
  <c r="R2218" i="2"/>
  <c r="R2219" i="2"/>
  <c r="R2220" i="2"/>
  <c r="R2221" i="2"/>
  <c r="R2222" i="2"/>
  <c r="R2223" i="2"/>
  <c r="R2224" i="2"/>
  <c r="R2225" i="2"/>
  <c r="R2226" i="2"/>
  <c r="R2227" i="2"/>
  <c r="R2228" i="2"/>
  <c r="R2229" i="2"/>
  <c r="R2230" i="2"/>
  <c r="R2231" i="2"/>
  <c r="R2232" i="2"/>
  <c r="R2233" i="2"/>
  <c r="R2234" i="2"/>
  <c r="R2235" i="2"/>
  <c r="R2236" i="2"/>
  <c r="R2237" i="2"/>
  <c r="R2238" i="2"/>
  <c r="R2239" i="2"/>
  <c r="R2240" i="2"/>
  <c r="R2241" i="2"/>
  <c r="R2242" i="2"/>
  <c r="R2243" i="2"/>
  <c r="R2244" i="2"/>
  <c r="R2245" i="2"/>
  <c r="R2246" i="2"/>
  <c r="R2247" i="2"/>
  <c r="R2248" i="2"/>
  <c r="R2249" i="2"/>
  <c r="R2250" i="2"/>
  <c r="R2251" i="2"/>
  <c r="R2252" i="2"/>
  <c r="R2253" i="2"/>
  <c r="R2254" i="2"/>
  <c r="R2255" i="2"/>
  <c r="R2256" i="2"/>
  <c r="R2257" i="2"/>
  <c r="R2258" i="2"/>
  <c r="R2259" i="2"/>
  <c r="R2260" i="2"/>
  <c r="R2261" i="2"/>
  <c r="R2262" i="2"/>
  <c r="R2263" i="2"/>
  <c r="R2264" i="2"/>
  <c r="R2265" i="2"/>
  <c r="R2266" i="2"/>
  <c r="R2267" i="2"/>
  <c r="R2268" i="2"/>
  <c r="R2269" i="2"/>
  <c r="R2270" i="2"/>
  <c r="R2271" i="2"/>
  <c r="R2272" i="2"/>
  <c r="R2273" i="2"/>
  <c r="R2274" i="2"/>
  <c r="R2275" i="2"/>
  <c r="R2276" i="2"/>
  <c r="R2277" i="2"/>
  <c r="R2278" i="2"/>
  <c r="R2279" i="2"/>
  <c r="R2280" i="2"/>
  <c r="R2281" i="2"/>
  <c r="R2282" i="2"/>
  <c r="R2283" i="2"/>
  <c r="R2284" i="2"/>
  <c r="R2285" i="2"/>
  <c r="R2286" i="2"/>
  <c r="R2287" i="2"/>
  <c r="R2288" i="2"/>
  <c r="R2289" i="2"/>
  <c r="R2290" i="2"/>
  <c r="R2291" i="2"/>
  <c r="R2292" i="2"/>
  <c r="R2293" i="2"/>
  <c r="R2294" i="2"/>
  <c r="R2295" i="2"/>
  <c r="R2296" i="2"/>
  <c r="R2297" i="2"/>
  <c r="R2298" i="2"/>
  <c r="R2299" i="2"/>
  <c r="R2300" i="2"/>
  <c r="R2301" i="2"/>
  <c r="R2302" i="2"/>
  <c r="R2303" i="2"/>
  <c r="R2304" i="2"/>
  <c r="R2305" i="2"/>
  <c r="R2306" i="2"/>
  <c r="R2307" i="2"/>
  <c r="R2308" i="2"/>
  <c r="R2309" i="2"/>
  <c r="R2310" i="2"/>
  <c r="R2311" i="2"/>
  <c r="R2312" i="2"/>
  <c r="R2313" i="2"/>
  <c r="R2314" i="2"/>
  <c r="R2315" i="2"/>
  <c r="R2316" i="2"/>
  <c r="R2317" i="2"/>
  <c r="R2318" i="2"/>
  <c r="R2319" i="2"/>
  <c r="R2320" i="2"/>
  <c r="R2321" i="2"/>
  <c r="R2322" i="2"/>
  <c r="R2323" i="2"/>
  <c r="R2324" i="2"/>
  <c r="R2325" i="2"/>
  <c r="R2326" i="2"/>
  <c r="R2327" i="2"/>
  <c r="R2328" i="2"/>
  <c r="R2329" i="2"/>
  <c r="R2330" i="2"/>
  <c r="R2331" i="2"/>
  <c r="R2332" i="2"/>
  <c r="R2333" i="2"/>
  <c r="R2334" i="2"/>
  <c r="R2335" i="2"/>
  <c r="R2336" i="2"/>
  <c r="R2337" i="2"/>
  <c r="R2338" i="2"/>
  <c r="R2339" i="2"/>
  <c r="R2340" i="2"/>
  <c r="R2341" i="2"/>
  <c r="R2342" i="2"/>
  <c r="R2343" i="2"/>
  <c r="R2344" i="2"/>
  <c r="R2345" i="2"/>
  <c r="R2346" i="2"/>
  <c r="R2347" i="2"/>
  <c r="R2348" i="2"/>
  <c r="R2349" i="2"/>
  <c r="R2350" i="2"/>
  <c r="R2351" i="2"/>
  <c r="R2352" i="2"/>
  <c r="R2353" i="2"/>
  <c r="R2354" i="2"/>
  <c r="R2355" i="2"/>
  <c r="R2356" i="2"/>
  <c r="R2357" i="2"/>
  <c r="R2358" i="2"/>
  <c r="R2359" i="2"/>
  <c r="R2360" i="2"/>
  <c r="R2361" i="2"/>
  <c r="R2362" i="2"/>
  <c r="R2363" i="2"/>
  <c r="R2364" i="2"/>
  <c r="R2365" i="2"/>
  <c r="R2366" i="2"/>
  <c r="R2367" i="2"/>
  <c r="R2368" i="2"/>
  <c r="R2369" i="2"/>
  <c r="R2370" i="2"/>
  <c r="R2371" i="2"/>
  <c r="R2372" i="2"/>
  <c r="R2373" i="2"/>
  <c r="R2374" i="2"/>
  <c r="R2375" i="2"/>
  <c r="R2376" i="2"/>
  <c r="R2377" i="2"/>
  <c r="R2378" i="2"/>
  <c r="R2379" i="2"/>
  <c r="R2380" i="2"/>
  <c r="R2381" i="2"/>
  <c r="R2382" i="2"/>
  <c r="R2383" i="2"/>
  <c r="R2384" i="2"/>
  <c r="R2385" i="2"/>
  <c r="R2386" i="2"/>
  <c r="R2387" i="2"/>
  <c r="R2388" i="2"/>
  <c r="R2389" i="2"/>
  <c r="R2390" i="2"/>
  <c r="R2391" i="2"/>
  <c r="R2392" i="2"/>
  <c r="R2393" i="2"/>
  <c r="R2394" i="2"/>
  <c r="R2395" i="2"/>
  <c r="R2396" i="2"/>
  <c r="R2397" i="2"/>
  <c r="R2398" i="2"/>
  <c r="R2399" i="2"/>
  <c r="R2400" i="2"/>
  <c r="R2401" i="2"/>
  <c r="R2402" i="2"/>
  <c r="R2403" i="2"/>
  <c r="R2404" i="2"/>
  <c r="R2405" i="2"/>
  <c r="R2406" i="2"/>
  <c r="R2407" i="2"/>
  <c r="R2408" i="2"/>
  <c r="R2409" i="2"/>
  <c r="R2410" i="2"/>
  <c r="R2411" i="2"/>
  <c r="R2412" i="2"/>
  <c r="R2413" i="2"/>
  <c r="R2414" i="2"/>
  <c r="R2415" i="2"/>
  <c r="R2416" i="2"/>
  <c r="R2417" i="2"/>
  <c r="R2418" i="2"/>
  <c r="R2419" i="2"/>
  <c r="R2420" i="2"/>
  <c r="R2421" i="2"/>
  <c r="R2422" i="2"/>
  <c r="R2423" i="2"/>
  <c r="R2424" i="2"/>
  <c r="R2425" i="2"/>
  <c r="R2426" i="2"/>
  <c r="R2427" i="2"/>
  <c r="R2428" i="2"/>
  <c r="R2429" i="2"/>
  <c r="R2430" i="2"/>
  <c r="R2431" i="2"/>
  <c r="R2432" i="2"/>
  <c r="R2433" i="2"/>
  <c r="R2434" i="2"/>
  <c r="R2435" i="2"/>
  <c r="R2436" i="2"/>
  <c r="R2437" i="2"/>
  <c r="R2438" i="2"/>
  <c r="R2439" i="2"/>
  <c r="R2440" i="2"/>
  <c r="R2441" i="2"/>
  <c r="R2442" i="2"/>
  <c r="R2443" i="2"/>
  <c r="R2444" i="2"/>
  <c r="R2445" i="2"/>
  <c r="R2446" i="2"/>
  <c r="R2447" i="2"/>
  <c r="R2448" i="2"/>
  <c r="R2449" i="2"/>
  <c r="R2450" i="2"/>
  <c r="R2451" i="2"/>
  <c r="R2452" i="2"/>
  <c r="R2453" i="2"/>
  <c r="R2454" i="2"/>
  <c r="R2455" i="2"/>
  <c r="R2456" i="2"/>
  <c r="R2457" i="2"/>
  <c r="R2458" i="2"/>
  <c r="R2459" i="2"/>
  <c r="R2460" i="2"/>
  <c r="R2461" i="2"/>
  <c r="R2462" i="2"/>
  <c r="R2463" i="2"/>
  <c r="R2464" i="2"/>
  <c r="R2465" i="2"/>
  <c r="R2466" i="2"/>
  <c r="R2467" i="2"/>
  <c r="R2468" i="2"/>
  <c r="R2469" i="2"/>
  <c r="R2470" i="2"/>
  <c r="R2471" i="2"/>
  <c r="R2472" i="2"/>
  <c r="R2473" i="2"/>
  <c r="R2474" i="2"/>
  <c r="R2475" i="2"/>
  <c r="R2476" i="2"/>
  <c r="R2477" i="2"/>
  <c r="R2478" i="2"/>
  <c r="R2479" i="2"/>
  <c r="R2480" i="2"/>
  <c r="R2481" i="2"/>
  <c r="R2482" i="2"/>
  <c r="R2483" i="2"/>
  <c r="R2484" i="2"/>
  <c r="R2485" i="2"/>
  <c r="R2486" i="2"/>
  <c r="R2487" i="2"/>
  <c r="R2488" i="2"/>
  <c r="R2489" i="2"/>
  <c r="R2490" i="2"/>
  <c r="R2491" i="2"/>
  <c r="R2492" i="2"/>
  <c r="R2493" i="2"/>
  <c r="R2494" i="2"/>
  <c r="R2495" i="2"/>
  <c r="R2496" i="2"/>
  <c r="R2497" i="2"/>
  <c r="R2498" i="2"/>
  <c r="R2499" i="2"/>
  <c r="R2500" i="2"/>
  <c r="R2501" i="2"/>
  <c r="R2502" i="2"/>
  <c r="R2503" i="2"/>
  <c r="R2504" i="2"/>
  <c r="R2505" i="2"/>
  <c r="R2506" i="2"/>
  <c r="R2507" i="2"/>
  <c r="R2508" i="2"/>
  <c r="R2509" i="2"/>
  <c r="R2510" i="2"/>
  <c r="R2511" i="2"/>
  <c r="R2512" i="2"/>
  <c r="R2513" i="2"/>
  <c r="R2514" i="2"/>
  <c r="R2515" i="2"/>
  <c r="R2516" i="2"/>
  <c r="R2517" i="2"/>
  <c r="R2518" i="2"/>
  <c r="R2519" i="2"/>
  <c r="R2520" i="2"/>
  <c r="R2521" i="2"/>
  <c r="R2522" i="2"/>
  <c r="R2523" i="2"/>
  <c r="R2524" i="2"/>
  <c r="R2525" i="2"/>
  <c r="R2526" i="2"/>
  <c r="R2527" i="2"/>
  <c r="R2528" i="2"/>
  <c r="R2529" i="2"/>
  <c r="R2530" i="2"/>
  <c r="R2531" i="2"/>
  <c r="R2532" i="2"/>
  <c r="R2533" i="2"/>
  <c r="R2534" i="2"/>
  <c r="R2535" i="2"/>
  <c r="R2536" i="2"/>
  <c r="R2537" i="2"/>
  <c r="R2538" i="2"/>
  <c r="R2539" i="2"/>
  <c r="R2540" i="2"/>
  <c r="R2541" i="2"/>
  <c r="R2542" i="2"/>
  <c r="R2543" i="2"/>
  <c r="R2544" i="2"/>
  <c r="R2545" i="2"/>
  <c r="R2546" i="2"/>
  <c r="R2547" i="2"/>
  <c r="R2548" i="2"/>
  <c r="R2549" i="2"/>
  <c r="R2550" i="2"/>
  <c r="R2551" i="2"/>
  <c r="R2552" i="2"/>
  <c r="R2553" i="2"/>
  <c r="R2554" i="2"/>
  <c r="R2555" i="2"/>
  <c r="R2556" i="2"/>
  <c r="R2557" i="2"/>
  <c r="R2558" i="2"/>
  <c r="R2559" i="2"/>
  <c r="R2560" i="2"/>
  <c r="R2561" i="2"/>
  <c r="R2562" i="2"/>
  <c r="R2563" i="2"/>
  <c r="R2564" i="2"/>
  <c r="R2565" i="2"/>
  <c r="R2566" i="2"/>
  <c r="R2567" i="2"/>
  <c r="R2568" i="2"/>
  <c r="R2569" i="2"/>
  <c r="R2570" i="2"/>
  <c r="R2571" i="2"/>
  <c r="R2572" i="2"/>
  <c r="R2573" i="2"/>
  <c r="R2574" i="2"/>
  <c r="R2575" i="2"/>
  <c r="R2576" i="2"/>
  <c r="R2577" i="2"/>
  <c r="R2578" i="2"/>
  <c r="R2579" i="2"/>
  <c r="R2580" i="2"/>
  <c r="R2581" i="2"/>
  <c r="R2582" i="2"/>
  <c r="R2583" i="2"/>
  <c r="R2584" i="2"/>
  <c r="R2585" i="2"/>
  <c r="R2586" i="2"/>
  <c r="R2587" i="2"/>
  <c r="R2588" i="2"/>
  <c r="R2589" i="2"/>
  <c r="R2590" i="2"/>
  <c r="R2591" i="2"/>
  <c r="R2592" i="2"/>
  <c r="R2593" i="2"/>
  <c r="R2594" i="2"/>
  <c r="R2595" i="2"/>
  <c r="R2596" i="2"/>
  <c r="R2597" i="2"/>
  <c r="R2598" i="2"/>
  <c r="R2599" i="2"/>
  <c r="R2600" i="2"/>
  <c r="R2601" i="2"/>
  <c r="R2602" i="2"/>
  <c r="R2603" i="2"/>
  <c r="R2604" i="2"/>
  <c r="R2605" i="2"/>
  <c r="R2606" i="2"/>
  <c r="R2607" i="2"/>
  <c r="R2608" i="2"/>
  <c r="R2609" i="2"/>
  <c r="R2610" i="2"/>
  <c r="R2611" i="2"/>
  <c r="R2612" i="2"/>
  <c r="R2613" i="2"/>
  <c r="R2614" i="2"/>
  <c r="R2615" i="2"/>
  <c r="R2616" i="2"/>
  <c r="R2617" i="2"/>
  <c r="R2618" i="2"/>
  <c r="R2619" i="2"/>
  <c r="R2620" i="2"/>
  <c r="R2621" i="2"/>
  <c r="R2622" i="2"/>
  <c r="R2623" i="2"/>
  <c r="R2624" i="2"/>
  <c r="R2625" i="2"/>
  <c r="R2626" i="2"/>
  <c r="R2627" i="2"/>
  <c r="R2628" i="2"/>
  <c r="R2629" i="2"/>
  <c r="R2630" i="2"/>
  <c r="R2631" i="2"/>
  <c r="R2632" i="2"/>
  <c r="R2633" i="2"/>
  <c r="R2634" i="2"/>
  <c r="R2635" i="2"/>
  <c r="R2636" i="2"/>
  <c r="R2637" i="2"/>
  <c r="R2638" i="2"/>
  <c r="R2639" i="2"/>
  <c r="R2640" i="2"/>
  <c r="R2641" i="2"/>
  <c r="R2642" i="2"/>
  <c r="R2643" i="2"/>
  <c r="R2644" i="2"/>
  <c r="R2645" i="2"/>
  <c r="R2646" i="2"/>
  <c r="R2647" i="2"/>
  <c r="R2648" i="2"/>
  <c r="R2649" i="2"/>
  <c r="R2650" i="2"/>
  <c r="R2651" i="2"/>
  <c r="R2652" i="2"/>
  <c r="R2653" i="2"/>
  <c r="R2654" i="2"/>
  <c r="R2655" i="2"/>
  <c r="R2656" i="2"/>
  <c r="R2657" i="2"/>
  <c r="R2658" i="2"/>
  <c r="R2659" i="2"/>
  <c r="R2660" i="2"/>
  <c r="R2661" i="2"/>
  <c r="R2662" i="2"/>
  <c r="R2663" i="2"/>
  <c r="R2664" i="2"/>
  <c r="R2665" i="2"/>
  <c r="R2666" i="2"/>
  <c r="R2667" i="2"/>
  <c r="R2668" i="2"/>
  <c r="R2669" i="2"/>
  <c r="R2670" i="2"/>
  <c r="R2671" i="2"/>
  <c r="R2672" i="2"/>
  <c r="R2673" i="2"/>
  <c r="R2674" i="2"/>
  <c r="R2675" i="2"/>
  <c r="R2676" i="2"/>
  <c r="R2677" i="2"/>
  <c r="R2678" i="2"/>
  <c r="R2679" i="2"/>
  <c r="R2680" i="2"/>
  <c r="R2681" i="2"/>
  <c r="R2682" i="2"/>
  <c r="R2683" i="2"/>
  <c r="R2684" i="2"/>
  <c r="R2685" i="2"/>
  <c r="R2686" i="2"/>
  <c r="R2687" i="2"/>
  <c r="R2688" i="2"/>
  <c r="R2689" i="2"/>
  <c r="R2690" i="2"/>
  <c r="R2691" i="2"/>
  <c r="R2692" i="2"/>
  <c r="R2693" i="2"/>
  <c r="R2694" i="2"/>
  <c r="R2695" i="2"/>
  <c r="R2696" i="2"/>
  <c r="R2697" i="2"/>
  <c r="R2698" i="2"/>
  <c r="R2699" i="2"/>
  <c r="R2700" i="2"/>
  <c r="R2701" i="2"/>
  <c r="R2702" i="2"/>
  <c r="R2703" i="2"/>
  <c r="R2704" i="2"/>
  <c r="R2705" i="2"/>
  <c r="R2706" i="2"/>
  <c r="R2707" i="2"/>
  <c r="R2708" i="2"/>
  <c r="R2709" i="2"/>
  <c r="R2710" i="2"/>
  <c r="R2711" i="2"/>
  <c r="R2712" i="2"/>
  <c r="R2713" i="2"/>
  <c r="R2714" i="2"/>
  <c r="R2715" i="2"/>
  <c r="R2716" i="2"/>
  <c r="R2717" i="2"/>
  <c r="R2718" i="2"/>
  <c r="R2719" i="2"/>
  <c r="R2720" i="2"/>
  <c r="R2721" i="2"/>
  <c r="R2722" i="2"/>
  <c r="R2723" i="2"/>
  <c r="R2724" i="2"/>
  <c r="R2725" i="2"/>
  <c r="R2726" i="2"/>
  <c r="R2727" i="2"/>
  <c r="R2728" i="2"/>
  <c r="R2729" i="2"/>
  <c r="R2730" i="2"/>
  <c r="R2731" i="2"/>
  <c r="R2732" i="2"/>
  <c r="R2733" i="2"/>
  <c r="R2734" i="2"/>
  <c r="R2735" i="2"/>
  <c r="R2736" i="2"/>
  <c r="R2737" i="2"/>
  <c r="R2738" i="2"/>
  <c r="R2739" i="2"/>
  <c r="R2740" i="2"/>
  <c r="R2741" i="2"/>
  <c r="R2742" i="2"/>
  <c r="R2743" i="2"/>
  <c r="R2744" i="2"/>
  <c r="R2745" i="2"/>
  <c r="R2746" i="2"/>
  <c r="R2747" i="2"/>
  <c r="R2748" i="2"/>
  <c r="R2749" i="2"/>
  <c r="R2750" i="2"/>
  <c r="R2751" i="2"/>
  <c r="R2752" i="2"/>
  <c r="R2753" i="2"/>
  <c r="R2754" i="2"/>
  <c r="R2755" i="2"/>
  <c r="R2756" i="2"/>
  <c r="R2757" i="2"/>
  <c r="R2758" i="2"/>
  <c r="R2759" i="2"/>
  <c r="R2760" i="2"/>
  <c r="R2761" i="2"/>
  <c r="R2762" i="2"/>
  <c r="R2763" i="2"/>
  <c r="R2764" i="2"/>
  <c r="R2765" i="2"/>
  <c r="R2766" i="2"/>
  <c r="R2767" i="2"/>
  <c r="R2768" i="2"/>
  <c r="R2769" i="2"/>
  <c r="R2770" i="2"/>
  <c r="R2771" i="2"/>
  <c r="R2772" i="2"/>
  <c r="R2773" i="2"/>
  <c r="R2774" i="2"/>
  <c r="R2775" i="2"/>
  <c r="R2776" i="2"/>
  <c r="R2777" i="2"/>
  <c r="R2778" i="2"/>
  <c r="R2779" i="2"/>
  <c r="R2780" i="2"/>
  <c r="R2781" i="2"/>
  <c r="R2782" i="2"/>
  <c r="R2783" i="2"/>
  <c r="R2784" i="2"/>
  <c r="R2785" i="2"/>
  <c r="R2786" i="2"/>
  <c r="R2787" i="2"/>
  <c r="R2788" i="2"/>
  <c r="R2789" i="2"/>
  <c r="R2790" i="2"/>
  <c r="R2791" i="2"/>
  <c r="R2792" i="2"/>
  <c r="R2793" i="2"/>
  <c r="R2794" i="2"/>
  <c r="R2795" i="2"/>
  <c r="R2796" i="2"/>
  <c r="R2797" i="2"/>
  <c r="R2798" i="2"/>
  <c r="R2799" i="2"/>
  <c r="R2800" i="2"/>
  <c r="R2801" i="2"/>
  <c r="R2802" i="2"/>
  <c r="R2803" i="2"/>
  <c r="R2804" i="2"/>
  <c r="R2805" i="2"/>
  <c r="R2806" i="2"/>
  <c r="R2807" i="2"/>
  <c r="R2808" i="2"/>
  <c r="R2809" i="2"/>
  <c r="R2810" i="2"/>
  <c r="R2811" i="2"/>
  <c r="R2812" i="2"/>
  <c r="R2813" i="2"/>
  <c r="R2814" i="2"/>
  <c r="R2815" i="2"/>
  <c r="R2816" i="2"/>
  <c r="R2817" i="2"/>
  <c r="R2818" i="2"/>
  <c r="R2819" i="2"/>
  <c r="R2820" i="2"/>
  <c r="R2821" i="2"/>
  <c r="R2822" i="2"/>
  <c r="R2823" i="2"/>
  <c r="R2824" i="2"/>
  <c r="R2825" i="2"/>
  <c r="R2826" i="2"/>
  <c r="R2827" i="2"/>
  <c r="R2828" i="2"/>
  <c r="R2829" i="2"/>
  <c r="R2830" i="2"/>
  <c r="R2831" i="2"/>
  <c r="R2832" i="2"/>
  <c r="R2833" i="2"/>
  <c r="R2834" i="2"/>
  <c r="R2835" i="2"/>
  <c r="R2836" i="2"/>
  <c r="R2837" i="2"/>
  <c r="R2838" i="2"/>
  <c r="R2839" i="2"/>
  <c r="R2840" i="2"/>
  <c r="R2841" i="2"/>
  <c r="R2842" i="2"/>
  <c r="R2843" i="2"/>
  <c r="R2844" i="2"/>
  <c r="R2845" i="2"/>
  <c r="R2846" i="2"/>
  <c r="R2847" i="2"/>
  <c r="R2848" i="2"/>
  <c r="R2849" i="2"/>
  <c r="R2850" i="2"/>
  <c r="R2851" i="2"/>
  <c r="R2852" i="2"/>
  <c r="R2853" i="2"/>
  <c r="R2854" i="2"/>
  <c r="R2855" i="2"/>
  <c r="R2856" i="2"/>
  <c r="R2857" i="2"/>
  <c r="R2858" i="2"/>
  <c r="R2859" i="2"/>
  <c r="R2860" i="2"/>
  <c r="R2861" i="2"/>
  <c r="R2862" i="2"/>
  <c r="R2863" i="2"/>
  <c r="R2864" i="2"/>
  <c r="R2865" i="2"/>
  <c r="R2866" i="2"/>
  <c r="R2867" i="2"/>
  <c r="R2868" i="2"/>
  <c r="R2869" i="2"/>
  <c r="R2870" i="2"/>
  <c r="R2871" i="2"/>
  <c r="R2872" i="2"/>
  <c r="R2873" i="2"/>
  <c r="R2874" i="2"/>
  <c r="R2875" i="2"/>
  <c r="R2876" i="2"/>
  <c r="R2877" i="2"/>
  <c r="R2878" i="2"/>
  <c r="R2879" i="2"/>
  <c r="R2880" i="2"/>
  <c r="R2881" i="2"/>
  <c r="R2882" i="2"/>
  <c r="R2883" i="2"/>
  <c r="R2884" i="2"/>
  <c r="R2885" i="2"/>
  <c r="R2886" i="2"/>
  <c r="R2887" i="2"/>
  <c r="R2888" i="2"/>
  <c r="R2889" i="2"/>
  <c r="R2890" i="2"/>
  <c r="R2891" i="2"/>
  <c r="R2892" i="2"/>
  <c r="R2893" i="2"/>
  <c r="R2894" i="2"/>
  <c r="R2895" i="2"/>
  <c r="R2896" i="2"/>
  <c r="R2897" i="2"/>
  <c r="R2898" i="2"/>
  <c r="R2899" i="2"/>
  <c r="R2900" i="2"/>
  <c r="R2901" i="2"/>
  <c r="R2902" i="2"/>
  <c r="R2903" i="2"/>
  <c r="R2904" i="2"/>
  <c r="R2905" i="2"/>
  <c r="R2906" i="2"/>
  <c r="R2907" i="2"/>
  <c r="R2908" i="2"/>
  <c r="R2909" i="2"/>
  <c r="R2910" i="2"/>
  <c r="R2911" i="2"/>
  <c r="R2912" i="2"/>
  <c r="R2913" i="2"/>
  <c r="R2914" i="2"/>
  <c r="R2915" i="2"/>
  <c r="R2916" i="2"/>
  <c r="R2917" i="2"/>
  <c r="R2918" i="2"/>
  <c r="R2919" i="2"/>
  <c r="R2920" i="2"/>
  <c r="R2921" i="2"/>
  <c r="R2922" i="2"/>
  <c r="R2923" i="2"/>
  <c r="R2924" i="2"/>
  <c r="R2925" i="2"/>
  <c r="R2926" i="2"/>
  <c r="R2927" i="2"/>
  <c r="R2928" i="2"/>
  <c r="R2929" i="2"/>
  <c r="R2930" i="2"/>
  <c r="R2931" i="2"/>
  <c r="R2932" i="2"/>
  <c r="R2933" i="2"/>
  <c r="R2934" i="2"/>
  <c r="R2935" i="2"/>
  <c r="R2936" i="2"/>
  <c r="R2937" i="2"/>
  <c r="R2938" i="2"/>
  <c r="R2939" i="2"/>
  <c r="R2940" i="2"/>
  <c r="R2941" i="2"/>
  <c r="R2942" i="2"/>
  <c r="R2943" i="2"/>
  <c r="R2944" i="2"/>
  <c r="R2945" i="2"/>
  <c r="R2946" i="2"/>
  <c r="R2947" i="2"/>
  <c r="R2948" i="2"/>
  <c r="R2949" i="2"/>
  <c r="R2950" i="2"/>
  <c r="R2951" i="2"/>
  <c r="R2952" i="2"/>
  <c r="R2953" i="2"/>
  <c r="R2954" i="2"/>
  <c r="R2955" i="2"/>
  <c r="R2956" i="2"/>
  <c r="R2957" i="2"/>
  <c r="R2958" i="2"/>
  <c r="R2959" i="2"/>
  <c r="R2960" i="2"/>
  <c r="R2961" i="2"/>
  <c r="R2962" i="2"/>
  <c r="R2963" i="2"/>
  <c r="R2964" i="2"/>
  <c r="R2965" i="2"/>
  <c r="R2966" i="2"/>
  <c r="R2967" i="2"/>
  <c r="R2968" i="2"/>
  <c r="R2969" i="2"/>
  <c r="R2970" i="2"/>
  <c r="R2971" i="2"/>
  <c r="R2972" i="2"/>
  <c r="R2973" i="2"/>
  <c r="R2974" i="2"/>
  <c r="R2975" i="2"/>
  <c r="R2976" i="2"/>
  <c r="R2977" i="2"/>
  <c r="R2978" i="2"/>
  <c r="R2979" i="2"/>
  <c r="R2980" i="2"/>
  <c r="R2981" i="2"/>
  <c r="R2982" i="2"/>
  <c r="R2983" i="2"/>
  <c r="R2984" i="2"/>
  <c r="R2985" i="2"/>
  <c r="R2986" i="2"/>
  <c r="R2987" i="2"/>
  <c r="R2988" i="2"/>
  <c r="R2989" i="2"/>
  <c r="R2990" i="2"/>
  <c r="R2991" i="2"/>
  <c r="R2992" i="2"/>
  <c r="R2993" i="2"/>
  <c r="R2994" i="2"/>
  <c r="R2995" i="2"/>
  <c r="R2996" i="2"/>
  <c r="R2997" i="2"/>
  <c r="R2998" i="2"/>
  <c r="R2999" i="2"/>
  <c r="R3000" i="2"/>
  <c r="R3001" i="2"/>
  <c r="R3002" i="2"/>
  <c r="R3003" i="2"/>
  <c r="R3004" i="2"/>
  <c r="R3005" i="2"/>
  <c r="R3006" i="2"/>
  <c r="R3007" i="2"/>
  <c r="R3008" i="2"/>
  <c r="R3009" i="2"/>
  <c r="R3010" i="2"/>
  <c r="R3011" i="2"/>
  <c r="R3012" i="2"/>
  <c r="R3013" i="2"/>
  <c r="R3014" i="2"/>
  <c r="R3015" i="2"/>
  <c r="R3016" i="2"/>
  <c r="R3017" i="2"/>
  <c r="R3018" i="2"/>
  <c r="R3019" i="2"/>
  <c r="R3020" i="2"/>
  <c r="R3021" i="2"/>
  <c r="R3022" i="2"/>
  <c r="R3023" i="2"/>
  <c r="R3024" i="2"/>
  <c r="R3025" i="2"/>
  <c r="R3026" i="2"/>
  <c r="R3027" i="2"/>
  <c r="R3028" i="2"/>
  <c r="R3029" i="2"/>
  <c r="R3030" i="2"/>
  <c r="R3031" i="2"/>
  <c r="R3032" i="2"/>
  <c r="R3033" i="2"/>
  <c r="R3034" i="2"/>
  <c r="R3035" i="2"/>
  <c r="R3036" i="2"/>
  <c r="R3037" i="2"/>
  <c r="R3038" i="2"/>
  <c r="R3039" i="2"/>
  <c r="R3040" i="2"/>
  <c r="R3041" i="2"/>
  <c r="R3042" i="2"/>
  <c r="R3043" i="2"/>
  <c r="R3044" i="2"/>
  <c r="R3045" i="2"/>
  <c r="R3046" i="2"/>
  <c r="R3047" i="2"/>
  <c r="R3048" i="2"/>
  <c r="R3049" i="2"/>
  <c r="R3050" i="2"/>
  <c r="R3051" i="2"/>
  <c r="R3052" i="2"/>
  <c r="R3053" i="2"/>
  <c r="R3054" i="2"/>
  <c r="R3055" i="2"/>
  <c r="R3056" i="2"/>
  <c r="R3057" i="2"/>
  <c r="R3058" i="2"/>
  <c r="R3059" i="2"/>
  <c r="R3060" i="2"/>
  <c r="R3061" i="2"/>
  <c r="R3062" i="2"/>
  <c r="R3063" i="2"/>
  <c r="R3064" i="2"/>
  <c r="R3065" i="2"/>
  <c r="R3066" i="2"/>
  <c r="R3067" i="2"/>
  <c r="R3068" i="2"/>
  <c r="R3069" i="2"/>
  <c r="R3070" i="2"/>
  <c r="R3071" i="2"/>
  <c r="R3072" i="2"/>
  <c r="R3073" i="2"/>
  <c r="R3074" i="2"/>
  <c r="R3075" i="2"/>
  <c r="R3076" i="2"/>
  <c r="R3077" i="2"/>
  <c r="R3078" i="2"/>
  <c r="R3079" i="2"/>
  <c r="R3080" i="2"/>
  <c r="R3081" i="2"/>
  <c r="R3082" i="2"/>
  <c r="R3083" i="2"/>
  <c r="R3084" i="2"/>
  <c r="R3085" i="2"/>
  <c r="R3086" i="2"/>
  <c r="R3087" i="2"/>
  <c r="R3088" i="2"/>
  <c r="R3089" i="2"/>
  <c r="R3090" i="2"/>
  <c r="R3091" i="2"/>
  <c r="R3092" i="2"/>
  <c r="R3093" i="2"/>
  <c r="R3094" i="2"/>
  <c r="R3095" i="2"/>
  <c r="R3096" i="2"/>
  <c r="R3097" i="2"/>
  <c r="R3098" i="2"/>
  <c r="R3099" i="2"/>
  <c r="R3100" i="2"/>
  <c r="R3101" i="2"/>
  <c r="R3102" i="2"/>
  <c r="R3103" i="2"/>
  <c r="R3104" i="2"/>
  <c r="R3105" i="2"/>
  <c r="R3106" i="2"/>
  <c r="R3107" i="2"/>
  <c r="R3108" i="2"/>
  <c r="R3109" i="2"/>
  <c r="R3110" i="2"/>
  <c r="R3111" i="2"/>
  <c r="R3112" i="2"/>
  <c r="R3113" i="2"/>
  <c r="R3114" i="2"/>
  <c r="R3115" i="2"/>
  <c r="R3116" i="2"/>
  <c r="R3117" i="2"/>
  <c r="R3118" i="2"/>
  <c r="R3119" i="2"/>
  <c r="R3120" i="2"/>
  <c r="R3121" i="2"/>
  <c r="R3122" i="2"/>
  <c r="R3123" i="2"/>
  <c r="R3124" i="2"/>
  <c r="R3125" i="2"/>
  <c r="R3126" i="2"/>
  <c r="R3127" i="2"/>
  <c r="R3128" i="2"/>
  <c r="R3129" i="2"/>
  <c r="R3130" i="2"/>
  <c r="R3131" i="2"/>
  <c r="R3132" i="2"/>
  <c r="R3133" i="2"/>
  <c r="R3134" i="2"/>
  <c r="R3135" i="2"/>
  <c r="R3136" i="2"/>
  <c r="R3137" i="2"/>
  <c r="R3138" i="2"/>
  <c r="R3139" i="2"/>
  <c r="R3140" i="2"/>
  <c r="R3141" i="2"/>
  <c r="R3142" i="2"/>
  <c r="R3143" i="2"/>
  <c r="R3144" i="2"/>
  <c r="R3145" i="2"/>
  <c r="R3146" i="2"/>
  <c r="R3147" i="2"/>
  <c r="R3148" i="2"/>
  <c r="R3149" i="2"/>
  <c r="R3150" i="2"/>
  <c r="R3151" i="2"/>
  <c r="R3152" i="2"/>
  <c r="R3153" i="2"/>
  <c r="R3154" i="2"/>
  <c r="R3155" i="2"/>
  <c r="R3156" i="2"/>
  <c r="R3157" i="2"/>
  <c r="R3158" i="2"/>
  <c r="R3159" i="2"/>
  <c r="R3160" i="2"/>
  <c r="R3161" i="2"/>
  <c r="R3162" i="2"/>
  <c r="R3163" i="2"/>
  <c r="R3164" i="2"/>
  <c r="R3165" i="2"/>
  <c r="R3166" i="2"/>
  <c r="R3167" i="2"/>
  <c r="R3168" i="2"/>
  <c r="R3169" i="2"/>
  <c r="R3170" i="2"/>
  <c r="R3171" i="2"/>
  <c r="R3172" i="2"/>
  <c r="R3173" i="2"/>
  <c r="R3174" i="2"/>
  <c r="R3175" i="2"/>
  <c r="R3176" i="2"/>
  <c r="R3177" i="2"/>
  <c r="R3178" i="2"/>
  <c r="R3179" i="2"/>
  <c r="R3180" i="2"/>
  <c r="R3181" i="2"/>
  <c r="R3182" i="2"/>
  <c r="R3183" i="2"/>
  <c r="R3184" i="2"/>
  <c r="R3185" i="2"/>
  <c r="R3186" i="2"/>
  <c r="R3187" i="2"/>
  <c r="R3188" i="2"/>
  <c r="R3189" i="2"/>
  <c r="R3190" i="2"/>
  <c r="R3191" i="2"/>
  <c r="R3192" i="2"/>
  <c r="R3193" i="2"/>
  <c r="R3194" i="2"/>
  <c r="R3195" i="2"/>
  <c r="R3196" i="2"/>
  <c r="R3197" i="2"/>
  <c r="R3198" i="2"/>
  <c r="R3199" i="2"/>
  <c r="R3200" i="2"/>
  <c r="R3201" i="2"/>
  <c r="R3202" i="2"/>
  <c r="R3203" i="2"/>
  <c r="R3204" i="2"/>
  <c r="R3205" i="2"/>
  <c r="R3206" i="2"/>
  <c r="R3207" i="2"/>
  <c r="R3208" i="2"/>
  <c r="R3209" i="2"/>
  <c r="R3210" i="2"/>
  <c r="R3211" i="2"/>
  <c r="R3212" i="2"/>
  <c r="R3213" i="2"/>
  <c r="R3214" i="2"/>
  <c r="R3215" i="2"/>
  <c r="R3216" i="2"/>
  <c r="R3217" i="2"/>
  <c r="R3218" i="2"/>
  <c r="R3219" i="2"/>
  <c r="R3220" i="2"/>
  <c r="R3221" i="2"/>
  <c r="R3222" i="2"/>
  <c r="R3223" i="2"/>
  <c r="R3224" i="2"/>
  <c r="R3225" i="2"/>
  <c r="R3226" i="2"/>
  <c r="R3227" i="2"/>
  <c r="R3228" i="2"/>
  <c r="R3229" i="2"/>
  <c r="R3230" i="2"/>
  <c r="R3231" i="2"/>
  <c r="R1" i="2"/>
  <c r="E9" i="4"/>
  <c r="E6" i="4" l="1"/>
  <c r="O2" i="2" l="1"/>
  <c r="O1" i="2"/>
  <c r="C17" i="1" s="1"/>
  <c r="C18" i="1" s="1"/>
  <c r="C19" i="1" l="1"/>
  <c r="B2" i="2" l="1"/>
  <c r="B1017" i="2"/>
  <c r="B293" i="2"/>
  <c r="B3042" i="2"/>
  <c r="B2831" i="2"/>
  <c r="B316" i="2"/>
  <c r="B2405" i="2"/>
  <c r="B2290" i="2"/>
  <c r="B1137" i="2"/>
  <c r="B2263" i="2"/>
  <c r="B2897" i="2"/>
  <c r="B2322" i="2"/>
  <c r="B2080" i="2"/>
  <c r="B2519" i="2"/>
  <c r="B1584" i="2"/>
  <c r="B2451" i="2"/>
  <c r="B3029" i="2"/>
  <c r="B2316" i="2"/>
  <c r="B2073" i="2"/>
  <c r="B1198" i="2"/>
  <c r="B2990" i="2"/>
  <c r="B991" i="2"/>
  <c r="B384" i="2"/>
  <c r="B432" i="2"/>
  <c r="B1447" i="2"/>
  <c r="B2288" i="2"/>
  <c r="B2286" i="2"/>
  <c r="B1233" i="2"/>
  <c r="B1927" i="2"/>
  <c r="B1939" i="2"/>
  <c r="B2916" i="2"/>
  <c r="B1296" i="2"/>
  <c r="B3122" i="2"/>
  <c r="B2398" i="2"/>
  <c r="B1763" i="2"/>
  <c r="B3176" i="2"/>
  <c r="B2607" i="2"/>
  <c r="B1684" i="2"/>
  <c r="B1846" i="2"/>
  <c r="B2083" i="2"/>
  <c r="B2930" i="2"/>
  <c r="B2135" i="2"/>
  <c r="B2064" i="2"/>
  <c r="B2755" i="2"/>
  <c r="B1213" i="2"/>
  <c r="B3202" i="2"/>
  <c r="B1842" i="2"/>
  <c r="B3087" i="2"/>
  <c r="B3163" i="2"/>
  <c r="B3164" i="2"/>
  <c r="B456" i="2"/>
  <c r="B2017" i="2"/>
  <c r="B2467" i="2"/>
  <c r="B1267" i="2"/>
  <c r="B2826" i="2"/>
  <c r="B2329" i="2"/>
  <c r="B1229" i="2"/>
  <c r="B419" i="2"/>
  <c r="B2128" i="2"/>
  <c r="B2804" i="2"/>
  <c r="B2109" i="2"/>
  <c r="B1438" i="2"/>
  <c r="B1826" i="2"/>
  <c r="B2882" i="2"/>
  <c r="B1819" i="2"/>
  <c r="B3059" i="2"/>
  <c r="B1902" i="2"/>
  <c r="B2591" i="2"/>
  <c r="B3006" i="2"/>
  <c r="B2126" i="2"/>
  <c r="B2553" i="2"/>
  <c r="B2505" i="2"/>
  <c r="B1374" i="2"/>
  <c r="B1964" i="2"/>
  <c r="B2399" i="2"/>
  <c r="B496" i="2"/>
  <c r="B2609" i="2"/>
  <c r="B2105" i="2"/>
  <c r="B1956" i="2"/>
  <c r="B1621" i="2"/>
  <c r="B2440" i="2"/>
  <c r="B2158" i="2"/>
  <c r="B1246" i="2"/>
  <c r="B2570" i="2"/>
  <c r="B1673" i="2"/>
  <c r="B3049" i="2"/>
  <c r="B589" i="2"/>
  <c r="B374" i="2"/>
  <c r="B670" i="2"/>
  <c r="B1425" i="2"/>
  <c r="B1324" i="2"/>
  <c r="B2479" i="2"/>
  <c r="B3088" i="2"/>
  <c r="B1983" i="2"/>
  <c r="B1177" i="2"/>
  <c r="B2459" i="2"/>
  <c r="B3119" i="2"/>
  <c r="B2558" i="2"/>
  <c r="B2038" i="2"/>
  <c r="B2339" i="2"/>
  <c r="B2219" i="2"/>
  <c r="B2567" i="2"/>
  <c r="B2874" i="2"/>
  <c r="B813" i="2"/>
  <c r="B1969" i="2"/>
  <c r="B1814" i="2"/>
  <c r="B3230" i="2"/>
  <c r="B1886" i="2"/>
  <c r="B2381" i="2"/>
  <c r="B2966" i="2"/>
  <c r="B1693" i="2"/>
  <c r="B2596" i="2"/>
  <c r="B2026" i="2"/>
  <c r="B861" i="2"/>
  <c r="B61" i="2"/>
  <c r="B1903" i="2"/>
  <c r="B2175" i="2"/>
  <c r="B360" i="2"/>
  <c r="B2914" i="2"/>
  <c r="B2367" i="2"/>
  <c r="B1500" i="2"/>
  <c r="B2695" i="2"/>
  <c r="B2529" i="2"/>
  <c r="B1958" i="2"/>
  <c r="B2148" i="2"/>
  <c r="B1839" i="2"/>
  <c r="B2315" i="2"/>
  <c r="B579" i="2"/>
  <c r="B2334" i="2"/>
  <c r="B1615" i="2"/>
  <c r="B3141" i="2"/>
  <c r="B73" i="2"/>
  <c r="B1492" i="2"/>
  <c r="B1926" i="2"/>
  <c r="B2231" i="2"/>
  <c r="B429" i="2"/>
  <c r="B1122" i="2"/>
  <c r="B2713" i="2"/>
  <c r="B2241" i="2"/>
  <c r="B2799" i="2"/>
  <c r="B2497" i="2"/>
  <c r="B2098" i="2"/>
  <c r="B578" i="2"/>
  <c r="B276" i="2"/>
  <c r="B1988" i="2"/>
  <c r="B1360" i="2"/>
  <c r="B2312" i="2"/>
  <c r="B2296" i="2"/>
  <c r="B408" i="2"/>
  <c r="B2283" i="2"/>
  <c r="B2167" i="2"/>
  <c r="B2024" i="2"/>
  <c r="B1642" i="2"/>
  <c r="B1561" i="2"/>
  <c r="B1946" i="2"/>
  <c r="B1444" i="2"/>
  <c r="B1809" i="2"/>
  <c r="B2780" i="2"/>
  <c r="B1605" i="2"/>
  <c r="B2013" i="2"/>
  <c r="B2852" i="2"/>
  <c r="B781" i="2"/>
  <c r="B1589" i="2"/>
  <c r="B364" i="2"/>
  <c r="B473" i="2"/>
  <c r="B633" i="2"/>
  <c r="B2901" i="2"/>
  <c r="B2912" i="2"/>
  <c r="B1663" i="2"/>
  <c r="B1932" i="2"/>
  <c r="B1768" i="2"/>
  <c r="B2813" i="2"/>
  <c r="B299" i="2"/>
  <c r="B2328" i="2"/>
  <c r="B1800" i="2"/>
  <c r="B1301" i="2"/>
  <c r="B2772" i="2"/>
  <c r="B2375" i="2"/>
  <c r="B1948" i="2"/>
  <c r="B2166" i="2"/>
  <c r="B2355" i="2"/>
  <c r="B1357" i="2"/>
  <c r="B2619" i="2"/>
  <c r="B3077" i="2"/>
  <c r="B2048" i="2"/>
  <c r="B1979" i="2"/>
  <c r="B2359" i="2"/>
  <c r="B3150" i="2"/>
  <c r="B334" i="2"/>
  <c r="B1526" i="2"/>
  <c r="B2828" i="2"/>
  <c r="B2621" i="2"/>
  <c r="B1840" i="2"/>
  <c r="B2439" i="2"/>
  <c r="B1059" i="2"/>
  <c r="B2429" i="2"/>
  <c r="B1678" i="2"/>
  <c r="B2416" i="2"/>
  <c r="B2896" i="2"/>
  <c r="B2447" i="2"/>
  <c r="B2641" i="2"/>
  <c r="B1056" i="2"/>
  <c r="B1718" i="2"/>
  <c r="B1403" i="2"/>
  <c r="B3002" i="2"/>
  <c r="B1796" i="2"/>
  <c r="B2860" i="2"/>
  <c r="B557" i="2"/>
  <c r="B1006" i="2"/>
  <c r="B2934" i="2"/>
  <c r="B1665" i="2"/>
  <c r="B1971" i="2"/>
  <c r="B669" i="2"/>
  <c r="B851" i="2"/>
  <c r="B2541" i="2"/>
  <c r="B1612" i="2"/>
  <c r="B803" i="2"/>
  <c r="B1538" i="2"/>
  <c r="B1473" i="2"/>
  <c r="B151" i="2"/>
  <c r="B632" i="2"/>
  <c r="B1715" i="2"/>
  <c r="B1725" i="2"/>
  <c r="B2438" i="2"/>
  <c r="B2023" i="2"/>
  <c r="B2535" i="2"/>
  <c r="B1459" i="2"/>
  <c r="B2900" i="2"/>
  <c r="B2092" i="2"/>
  <c r="B2777" i="2"/>
  <c r="B1436" i="2"/>
  <c r="B1687" i="2"/>
  <c r="B1410" i="2"/>
  <c r="B2160" i="2"/>
  <c r="B800" i="2"/>
  <c r="B172" i="2"/>
  <c r="B2139" i="2"/>
  <c r="B1901" i="2"/>
  <c r="B3144" i="2"/>
  <c r="B2004" i="2"/>
  <c r="B1365" i="2"/>
  <c r="B2144" i="2"/>
  <c r="B2453" i="2"/>
  <c r="B1066" i="2"/>
  <c r="B2691" i="2"/>
  <c r="B2233" i="2"/>
  <c r="B1121" i="2"/>
  <c r="B2838" i="2"/>
  <c r="B1616" i="2"/>
  <c r="B2514" i="2"/>
  <c r="B1231" i="2"/>
  <c r="B2680" i="2"/>
  <c r="B2585" i="2"/>
  <c r="B1885" i="2"/>
  <c r="B2072" i="2"/>
  <c r="B1380" i="2"/>
  <c r="B2474" i="2"/>
  <c r="B1485" i="2"/>
  <c r="B2856" i="2"/>
  <c r="B2508" i="2"/>
  <c r="B1967" i="2"/>
  <c r="B1247" i="2"/>
  <c r="B2432" i="2"/>
  <c r="B3145" i="2"/>
  <c r="B1560" i="2"/>
  <c r="B2383" i="2"/>
  <c r="B2204" i="2"/>
  <c r="B404" i="2"/>
  <c r="B1974" i="2"/>
  <c r="B3184" i="2"/>
  <c r="B1898" i="2"/>
  <c r="B3143" i="2"/>
  <c r="B2586" i="2"/>
  <c r="B3153" i="2"/>
  <c r="B1802" i="2"/>
  <c r="B2615" i="2"/>
  <c r="B1896" i="2"/>
  <c r="B1330" i="2"/>
  <c r="B3225" i="2"/>
  <c r="B253" i="2"/>
  <c r="B1222" i="2"/>
  <c r="B3221" i="2"/>
  <c r="B1789" i="2"/>
  <c r="B392" i="2"/>
  <c r="B525" i="2"/>
  <c r="B1656" i="2"/>
  <c r="B2124" i="2"/>
  <c r="B2749" i="2"/>
  <c r="B1694" i="2"/>
  <c r="B2028" i="2"/>
  <c r="B397" i="2"/>
  <c r="B497" i="2"/>
  <c r="B2313" i="2"/>
  <c r="B1318" i="2"/>
  <c r="B897" i="2"/>
  <c r="B1893" i="2"/>
  <c r="B3080" i="2"/>
  <c r="B2919" i="2"/>
  <c r="B953" i="2"/>
  <c r="B2101" i="2"/>
  <c r="B883" i="2"/>
  <c r="B1664" i="2"/>
  <c r="B2442" i="2"/>
  <c r="B1900" i="2"/>
  <c r="B1945" i="2"/>
  <c r="B1703" i="2"/>
  <c r="B843" i="2"/>
  <c r="B415" i="2"/>
  <c r="H3" i="2"/>
  <c r="B2635" i="2"/>
  <c r="B2539" i="2"/>
  <c r="B2983" i="2"/>
  <c r="B1363" i="2"/>
  <c r="B2931" i="2"/>
  <c r="B2435" i="2"/>
  <c r="B3222" i="2"/>
  <c r="B1502" i="2"/>
  <c r="B1504" i="2"/>
  <c r="B1103" i="2"/>
  <c r="B2843" i="2"/>
  <c r="B1704" i="2"/>
  <c r="B2724" i="2"/>
  <c r="B1699" i="2"/>
  <c r="B2434" i="2"/>
  <c r="B2554" i="2"/>
  <c r="B1197" i="2"/>
  <c r="B1290" i="2"/>
  <c r="B1625" i="2"/>
  <c r="B1646" i="2"/>
  <c r="B2365" i="2"/>
  <c r="B867" i="2"/>
  <c r="B2332" i="2"/>
  <c r="B1237" i="2"/>
  <c r="B3157" i="2"/>
  <c r="B1887" i="2"/>
  <c r="B387" i="2"/>
  <c r="B1719" i="2"/>
  <c r="B2870" i="2"/>
  <c r="B1449" i="2"/>
  <c r="B1148" i="2"/>
  <c r="B1300" i="2"/>
  <c r="B1603" i="2"/>
  <c r="B2379" i="2"/>
  <c r="B2426" i="2"/>
  <c r="B2230" i="2"/>
  <c r="B1803" i="2"/>
  <c r="B2393" i="2"/>
  <c r="B2122" i="2"/>
  <c r="B1282" i="2"/>
  <c r="B2764" i="2"/>
  <c r="B1024" i="2"/>
  <c r="B572" i="2"/>
  <c r="B183" i="2"/>
  <c r="B2457" i="2"/>
  <c r="B1234" i="2"/>
  <c r="B117" i="2"/>
  <c r="B1667" i="2"/>
  <c r="B1963" i="2"/>
  <c r="B2131" i="2"/>
  <c r="B1203" i="2"/>
  <c r="B218" i="2"/>
  <c r="B1891" i="2"/>
  <c r="B540" i="2"/>
  <c r="B1242" i="2"/>
  <c r="B2712" i="2"/>
  <c r="B1782" i="2"/>
  <c r="B3037" i="2"/>
  <c r="B2866" i="2"/>
  <c r="B1897" i="2"/>
  <c r="B2618" i="2"/>
  <c r="B2587" i="2"/>
  <c r="B1482" i="2"/>
  <c r="B2864" i="2"/>
  <c r="B962" i="2"/>
  <c r="B2247" i="2"/>
  <c r="B1762" i="2"/>
  <c r="B1228" i="2"/>
  <c r="B1567" i="2"/>
  <c r="B2331" i="2"/>
  <c r="B2576" i="2"/>
  <c r="B1954" i="2"/>
  <c r="B1639" i="2"/>
  <c r="B3038" i="2"/>
  <c r="B767" i="2"/>
  <c r="H4" i="2"/>
  <c r="H1" i="2" s="1"/>
  <c r="B1344" i="2"/>
  <c r="B1362" i="2"/>
  <c r="B1370" i="2"/>
  <c r="B1683" i="2"/>
  <c r="B1566" i="2"/>
  <c r="B1707" i="2"/>
  <c r="B1160" i="2"/>
  <c r="B2034" i="2"/>
  <c r="B1520" i="2"/>
  <c r="B1209" i="2"/>
  <c r="B2846" i="2"/>
  <c r="B288" i="2"/>
  <c r="B351" i="2"/>
  <c r="B2087" i="2"/>
  <c r="B2346" i="2"/>
  <c r="B2411" i="2"/>
  <c r="B120" i="2"/>
  <c r="B2430" i="2"/>
  <c r="B1273" i="2"/>
  <c r="B1611" i="2"/>
  <c r="B1929" i="2"/>
  <c r="B1106" i="2"/>
  <c r="B1941" i="2"/>
  <c r="B2730" i="2"/>
  <c r="B1972" i="2"/>
  <c r="B2582" i="2"/>
  <c r="B2259" i="2"/>
  <c r="B2150" i="2"/>
  <c r="B1717" i="2"/>
  <c r="B1729" i="2"/>
  <c r="B2732" i="2"/>
  <c r="B1934" i="2"/>
  <c r="B1532" i="2"/>
  <c r="B1712" i="2"/>
  <c r="B1641" i="2"/>
  <c r="B2103" i="2"/>
  <c r="B983" i="2"/>
  <c r="B1378" i="2"/>
  <c r="B1512" i="2"/>
  <c r="B2599" i="2"/>
  <c r="B1875" i="2"/>
  <c r="B805" i="2"/>
  <c r="B1843" i="2"/>
  <c r="B1936" i="2"/>
  <c r="B2556" i="2"/>
  <c r="B982" i="2"/>
  <c r="B1565" i="2"/>
  <c r="B1755" i="2"/>
  <c r="B3216" i="2"/>
  <c r="B1371" i="2"/>
  <c r="B1628" i="2"/>
  <c r="B1149" i="2"/>
  <c r="B1411" i="2"/>
  <c r="B395" i="2"/>
  <c r="B1423" i="2"/>
  <c r="B2822" i="2"/>
  <c r="B2010" i="2"/>
  <c r="B1634" i="2"/>
  <c r="B1722" i="2"/>
  <c r="B2588" i="2"/>
  <c r="B2590" i="2"/>
  <c r="B2853" i="2"/>
  <c r="B3204" i="2"/>
  <c r="B2630" i="2"/>
  <c r="B2390" i="2"/>
  <c r="B2301" i="2"/>
  <c r="B3198" i="2"/>
  <c r="B2444" i="2"/>
  <c r="B2397" i="2"/>
  <c r="B1354" i="2"/>
  <c r="B2834" i="2"/>
  <c r="B3040" i="2"/>
  <c r="B1393" i="2"/>
  <c r="B2610" i="2"/>
  <c r="B2633" i="2"/>
  <c r="B2123" i="2"/>
  <c r="B2761" i="2"/>
  <c r="B2939" i="2"/>
  <c r="B3175" i="2"/>
  <c r="B2299" i="2"/>
  <c r="B1888" i="2"/>
  <c r="B1305" i="2"/>
  <c r="B1672" i="2"/>
  <c r="B1955" i="2"/>
  <c r="B2915" i="2"/>
  <c r="B113" i="2"/>
  <c r="B2186" i="2"/>
  <c r="B2276" i="2"/>
  <c r="B1701" i="2"/>
  <c r="B2256" i="2"/>
  <c r="B2639" i="2"/>
  <c r="B2475" i="2"/>
  <c r="B1643" i="2"/>
  <c r="B2153" i="2"/>
  <c r="B2141" i="2"/>
  <c r="B1736" i="2"/>
  <c r="B1445" i="2"/>
  <c r="B3054" i="2"/>
  <c r="B1588" i="2"/>
  <c r="B1618" i="2"/>
  <c r="B626" i="2"/>
  <c r="B2037" i="2"/>
  <c r="B2601" i="2"/>
  <c r="B1465" i="2"/>
  <c r="B19" i="2"/>
  <c r="B2461" i="2"/>
  <c r="B1319" i="2"/>
  <c r="B1816" i="2"/>
  <c r="B551" i="2"/>
  <c r="B322" i="2"/>
  <c r="B1270" i="2"/>
  <c r="B1662" i="2"/>
  <c r="B2403" i="2"/>
  <c r="B1349" i="2"/>
  <c r="B2818" i="2"/>
  <c r="B657" i="2"/>
  <c r="B181" i="2"/>
  <c r="B2168" i="2"/>
  <c r="B1723" i="2"/>
  <c r="B3026" i="2"/>
  <c r="B2664" i="2"/>
  <c r="B1383" i="2"/>
  <c r="B1426" i="2"/>
  <c r="B2699" i="2"/>
  <c r="B3219" i="2"/>
  <c r="B2210" i="2"/>
  <c r="B3134" i="2"/>
  <c r="B1854" i="2"/>
  <c r="B3191" i="2"/>
  <c r="B1773" i="2"/>
  <c r="B3192" i="2"/>
  <c r="B1430" i="2"/>
  <c r="B1918" i="2"/>
  <c r="B1811" i="2"/>
  <c r="B2869" i="2"/>
  <c r="B3116" i="2"/>
  <c r="B3076" i="2"/>
  <c r="B2163" i="2"/>
  <c r="B2774" i="2"/>
  <c r="B1416" i="2"/>
  <c r="B2747" i="2"/>
  <c r="B2112" i="2"/>
  <c r="B1741" i="2"/>
  <c r="B2496" i="2"/>
  <c r="B1269" i="2"/>
  <c r="B2935" i="2"/>
  <c r="B2349" i="2"/>
  <c r="B2253" i="2"/>
  <c r="B1225" i="2"/>
  <c r="B2136" i="2"/>
  <c r="B1214" i="2"/>
  <c r="B2857" i="2"/>
  <c r="B1692" i="2"/>
  <c r="B2598" i="2"/>
  <c r="B1702" i="2"/>
  <c r="B2408" i="2"/>
  <c r="B1221" i="2"/>
  <c r="B2228" i="2"/>
  <c r="B841" i="2"/>
  <c r="B920" i="2"/>
  <c r="B1759" i="2"/>
  <c r="B242" i="2"/>
  <c r="B1323" i="2"/>
  <c r="B2881" i="2"/>
  <c r="B2650" i="2"/>
  <c r="B2816" i="2"/>
  <c r="B1412" i="2"/>
  <c r="B2319" i="2"/>
  <c r="B2151" i="2"/>
  <c r="B1705" i="2"/>
  <c r="B2796" i="2"/>
  <c r="B2510" i="2"/>
  <c r="B1376" i="2"/>
  <c r="B1489" i="2"/>
  <c r="B1498" i="2"/>
  <c r="B2562" i="2"/>
  <c r="B2419" i="2"/>
  <c r="B2565" i="2"/>
  <c r="B921" i="2"/>
  <c r="B1601" i="2"/>
  <c r="B159" i="2"/>
  <c r="B1731" i="2"/>
  <c r="B2628" i="2"/>
  <c r="B2292" i="2"/>
  <c r="B3051" i="2"/>
  <c r="B2306" i="2"/>
  <c r="B2698" i="2"/>
  <c r="B2620" i="2"/>
  <c r="B2786" i="2"/>
  <c r="B761" i="2"/>
  <c r="B476" i="2"/>
  <c r="B1808" i="2"/>
  <c r="B3220" i="2"/>
  <c r="B2307" i="2"/>
  <c r="B426" i="2"/>
  <c r="B2035" i="2"/>
  <c r="B1928" i="2"/>
  <c r="B1838" i="2"/>
  <c r="B2815" i="2"/>
  <c r="B1556" i="2"/>
  <c r="B2047" i="2"/>
  <c r="B629" i="2"/>
  <c r="B350" i="2"/>
  <c r="B1283" i="2"/>
  <c r="B1709" i="2"/>
  <c r="B1949" i="2"/>
  <c r="B2518" i="2"/>
  <c r="B2672" i="2"/>
  <c r="B1418" i="2"/>
  <c r="B2657" i="2"/>
  <c r="B1655" i="2"/>
  <c r="B1535" i="2"/>
  <c r="B1516" i="2"/>
  <c r="B2289" i="2"/>
  <c r="B2778" i="2"/>
  <c r="B1132" i="2"/>
  <c r="B588" i="2"/>
  <c r="B1724" i="2"/>
  <c r="B1720" i="2"/>
  <c r="B1832" i="2"/>
  <c r="B2269" i="2"/>
  <c r="B243" i="2"/>
  <c r="B2963" i="2"/>
  <c r="B1454" i="2"/>
  <c r="B2006" i="2"/>
  <c r="B1923" i="2"/>
  <c r="B1915" i="2"/>
  <c r="B3162" i="2"/>
  <c r="B1486" i="2"/>
  <c r="B6" i="2"/>
  <c r="B1775" i="2"/>
  <c r="B1051" i="2"/>
  <c r="B1483" i="2"/>
  <c r="B2703" i="2"/>
  <c r="B554" i="2"/>
  <c r="B3001" i="2"/>
  <c r="B1942" i="2"/>
  <c r="B3155" i="2"/>
  <c r="B2020" i="2"/>
  <c r="B2825" i="2"/>
  <c r="B2656" i="2"/>
  <c r="B600" i="2"/>
  <c r="B2516" i="2"/>
  <c r="B1586" i="2"/>
  <c r="B683" i="2"/>
  <c r="B1836" i="2"/>
  <c r="B1640" i="2"/>
  <c r="B1884" i="2"/>
  <c r="B2533" i="2"/>
  <c r="B2452" i="2"/>
  <c r="B2636" i="2"/>
  <c r="B2220" i="2"/>
  <c r="B2681" i="2"/>
  <c r="B1966" i="2"/>
  <c r="B2417" i="2"/>
  <c r="B2245" i="2"/>
  <c r="B1657" i="2"/>
  <c r="B1503" i="2"/>
  <c r="B1860" i="2"/>
  <c r="B2051" i="2"/>
  <c r="B1596" i="2"/>
  <c r="B680" i="2"/>
  <c r="B648" i="2"/>
  <c r="B380" i="2"/>
  <c r="B2921" i="2"/>
  <c r="B1346" i="2"/>
  <c r="B768" i="2"/>
  <c r="B3057" i="2"/>
  <c r="B2920" i="2"/>
  <c r="B1700" i="2"/>
  <c r="B2958" i="2"/>
  <c r="B219" i="2"/>
  <c r="B1965" i="2"/>
  <c r="B3021" i="2"/>
  <c r="B2736" i="2"/>
  <c r="B1821" i="2"/>
  <c r="B1545" i="2"/>
  <c r="B2876" i="2"/>
  <c r="B2059" i="2"/>
  <c r="B786" i="2"/>
  <c r="B1359" i="2"/>
  <c r="B1659" i="2"/>
  <c r="B2343" i="2"/>
  <c r="B3068" i="2"/>
  <c r="B2750" i="2"/>
  <c r="B1912" i="2"/>
  <c r="B1708" i="2"/>
  <c r="B1239" i="2"/>
  <c r="B2884" i="2"/>
  <c r="B2781" i="2"/>
  <c r="B2192" i="2"/>
  <c r="B2709" i="2"/>
  <c r="B2512" i="2"/>
  <c r="B2643" i="2"/>
  <c r="B2584" i="2"/>
  <c r="B1413" i="2"/>
  <c r="B1669" i="2"/>
  <c r="B1647" i="2"/>
  <c r="B3197" i="2"/>
  <c r="B2388" i="2"/>
  <c r="B1536" i="2"/>
  <c r="B2042" i="2"/>
  <c r="B1046" i="2"/>
  <c r="B2844" i="2"/>
  <c r="B2907" i="2"/>
  <c r="B1339" i="2"/>
  <c r="B1173" i="2"/>
  <c r="B2801" i="2"/>
  <c r="B1321" i="2"/>
  <c r="B2999" i="2"/>
  <c r="B2580" i="2"/>
  <c r="B2267" i="2"/>
  <c r="B3011" i="2"/>
  <c r="B1464" i="2"/>
  <c r="B1405" i="2"/>
  <c r="B1127" i="2"/>
  <c r="B2321" i="2"/>
  <c r="B3148" i="2"/>
  <c r="B1552" i="2"/>
  <c r="B1769" i="2"/>
  <c r="B835" i="2"/>
  <c r="B2682" i="2"/>
  <c r="B3115" i="2"/>
  <c r="B2489" i="2"/>
  <c r="B1406" i="2"/>
  <c r="B590" i="2"/>
  <c r="B1595" i="2"/>
  <c r="B2654" i="2"/>
  <c r="B2162" i="2"/>
  <c r="B1168" i="2"/>
  <c r="B1448" i="2"/>
  <c r="B2251" i="2"/>
  <c r="B343" i="2"/>
  <c r="B1253" i="2"/>
  <c r="B2733" i="2"/>
  <c r="B1654" i="2"/>
  <c r="B1072" i="2"/>
  <c r="B72" i="2"/>
  <c r="B2070" i="2"/>
  <c r="B2704" i="2"/>
  <c r="B2039" i="2"/>
  <c r="B1325" i="2"/>
  <c r="B2814" i="2"/>
  <c r="B2402" i="2"/>
  <c r="B981" i="2"/>
  <c r="B1982" i="2"/>
  <c r="B2239" i="2"/>
  <c r="B2187" i="2"/>
  <c r="B2218" i="2"/>
  <c r="B2721" i="2"/>
  <c r="B3208" i="2"/>
  <c r="B2096" i="2"/>
  <c r="B2029" i="2"/>
  <c r="B2465" i="2"/>
  <c r="B1666" i="2"/>
  <c r="B2913" i="2"/>
  <c r="B1202" i="2"/>
  <c r="B3195" i="2"/>
  <c r="B1276" i="2"/>
  <c r="B1629" i="2"/>
  <c r="B2861" i="2"/>
  <c r="B1462" i="2"/>
  <c r="B1791" i="2"/>
  <c r="B1624" i="2"/>
  <c r="B2406" i="2"/>
  <c r="B2720" i="2"/>
  <c r="B3154" i="2"/>
  <c r="B2725" i="2"/>
  <c r="B2557" i="2"/>
  <c r="B2538" i="2"/>
  <c r="B2378" i="2"/>
  <c r="B3210" i="2"/>
  <c r="B1970" i="2"/>
  <c r="B1112" i="2"/>
  <c r="B707" i="2"/>
  <c r="B3078" i="2"/>
  <c r="B2069" i="2"/>
  <c r="B2894" i="2"/>
  <c r="B254" i="2"/>
  <c r="B1784" i="2"/>
  <c r="B630" i="2"/>
  <c r="B3172" i="2"/>
  <c r="B2841" i="2"/>
  <c r="B2333" i="2"/>
  <c r="B1335" i="2"/>
  <c r="B2019" i="2"/>
  <c r="B2190" i="2"/>
  <c r="B1792" i="2"/>
  <c r="B1263" i="2"/>
  <c r="B2795" i="2"/>
  <c r="B2363" i="2"/>
  <c r="B1732" i="2"/>
  <c r="B2254" i="2"/>
  <c r="B2848" i="2"/>
  <c r="B1909" i="2"/>
  <c r="B1994" i="2"/>
  <c r="B2845" i="2"/>
  <c r="B1278" i="2"/>
  <c r="B807" i="2"/>
  <c r="B1457" i="2"/>
  <c r="B1880" i="2"/>
  <c r="B2583" i="2"/>
  <c r="B1442" i="2"/>
  <c r="B3161" i="2"/>
  <c r="B1591" i="2"/>
  <c r="B2685" i="2"/>
  <c r="B3074" i="2"/>
  <c r="B2787" i="2"/>
  <c r="B2634" i="2"/>
  <c r="B3114" i="2"/>
  <c r="B1333" i="2"/>
  <c r="B2602" i="2"/>
  <c r="B2536" i="2"/>
  <c r="B2323" i="2"/>
  <c r="B2702" i="2"/>
  <c r="B3129" i="2"/>
  <c r="B2762" i="2"/>
  <c r="B2046" i="2"/>
  <c r="B3048" i="2"/>
  <c r="B1818" i="2"/>
  <c r="B1828" i="2"/>
  <c r="B2658" i="2"/>
  <c r="B1563" i="2"/>
  <c r="B1644" i="2"/>
  <c r="B1696" i="2"/>
  <c r="B1264" i="2"/>
  <c r="B2345" i="2"/>
  <c r="B1288" i="2"/>
  <c r="B1322" i="2"/>
  <c r="B2115" i="2"/>
  <c r="B2062" i="2"/>
  <c r="B1266" i="2"/>
  <c r="B3060" i="2"/>
  <c r="B2513" i="2"/>
  <c r="B3183" i="2"/>
  <c r="B97" i="2"/>
  <c r="B2412" i="2"/>
  <c r="B2937" i="2"/>
  <c r="B2188" i="2"/>
  <c r="B1188" i="2"/>
  <c r="B1980" i="2"/>
  <c r="B2802" i="2"/>
  <c r="B2788" i="2"/>
  <c r="B1961" i="2"/>
  <c r="B1507" i="2"/>
  <c r="B2271" i="2"/>
  <c r="B1882" i="2"/>
  <c r="B1255" i="2"/>
  <c r="B1617" i="2"/>
  <c r="B1905" i="2"/>
  <c r="B2960" i="2"/>
  <c r="B2100" i="2"/>
  <c r="B3083" i="2"/>
  <c r="B1670" i="2"/>
  <c r="B2776" i="2"/>
  <c r="B1067" i="2"/>
  <c r="B2445" i="2"/>
  <c r="B1747" i="2"/>
  <c r="B2075" i="2"/>
  <c r="B2441" i="2"/>
  <c r="B2957" i="2"/>
  <c r="B3213" i="2"/>
  <c r="B1676" i="2"/>
  <c r="B2250" i="2"/>
  <c r="B3035" i="2"/>
  <c r="B1343" i="2"/>
  <c r="B1623" i="2"/>
  <c r="B2422" i="2"/>
  <c r="B1280" i="2"/>
  <c r="B725" i="2"/>
  <c r="B2491" i="2"/>
  <c r="B2165" i="2"/>
  <c r="B1329" i="2"/>
  <c r="B932" i="2"/>
  <c r="B197" i="2"/>
  <c r="B2577" i="2"/>
  <c r="B2613" i="2"/>
  <c r="B89" i="2"/>
  <c r="B2629" i="2"/>
  <c r="B2348" i="2"/>
  <c r="B1533" i="2"/>
  <c r="B1098" i="2"/>
  <c r="B1249" i="2"/>
  <c r="B2324" i="2"/>
  <c r="B2625" i="2"/>
  <c r="B1878" i="2"/>
  <c r="B2945" i="2"/>
  <c r="B2242" i="2"/>
  <c r="B2863" i="2"/>
  <c r="B2032" i="2"/>
  <c r="B1751" i="2"/>
  <c r="B1777" i="2"/>
  <c r="B2007" i="2"/>
  <c r="B602" i="2"/>
  <c r="B2454" i="2"/>
  <c r="B1937" i="2"/>
  <c r="B58" i="2"/>
  <c r="B2443" i="2"/>
  <c r="B179" i="2"/>
  <c r="B2973" i="2"/>
  <c r="B1472" i="2"/>
  <c r="B1468" i="2"/>
  <c r="B1341" i="2"/>
  <c r="B1833" i="2"/>
  <c r="B1943" i="2"/>
  <c r="B494" i="2"/>
  <c r="B2687" i="2"/>
  <c r="B1857" i="2"/>
  <c r="B3137" i="2"/>
  <c r="B1600" i="2"/>
  <c r="B2515" i="2"/>
  <c r="B2243" i="2"/>
  <c r="B3095" i="2"/>
  <c r="B1973" i="2"/>
  <c r="B2572" i="2"/>
  <c r="B3127" i="2"/>
  <c r="B1574" i="2"/>
  <c r="B1801" i="2"/>
  <c r="B1952" i="2"/>
  <c r="B1853" i="2"/>
  <c r="B2389" i="2"/>
  <c r="B1866" i="2"/>
  <c r="B1817" i="2"/>
  <c r="B846" i="2"/>
  <c r="B596" i="2"/>
  <c r="B1550" i="2"/>
  <c r="B2117" i="2"/>
  <c r="B1997" i="2"/>
  <c r="B480" i="2"/>
  <c r="B1453" i="2"/>
  <c r="B2878" i="2"/>
  <c r="B2358" i="2"/>
  <c r="B431" i="2"/>
  <c r="B1957" i="2"/>
  <c r="B2213" i="2"/>
  <c r="B1427" i="2"/>
  <c r="B1530" i="2"/>
  <c r="B794" i="2"/>
  <c r="B3071" i="2"/>
  <c r="B2262" i="2"/>
  <c r="B150" i="2"/>
  <c r="B2193" i="2"/>
  <c r="B2660" i="2"/>
  <c r="B2637" i="2"/>
  <c r="B1899" i="2"/>
  <c r="B1514" i="2"/>
  <c r="B41" i="2"/>
  <c r="B603" i="2"/>
  <c r="B2642" i="2"/>
  <c r="B1631" i="2"/>
  <c r="B2568" i="2"/>
  <c r="B1179" i="2"/>
  <c r="B2872" i="2"/>
  <c r="B3166" i="2"/>
  <c r="B2149" i="2"/>
  <c r="B3147" i="2"/>
  <c r="B2756" i="2"/>
  <c r="B1334" i="2"/>
  <c r="B1471" i="2"/>
  <c r="B1477" i="2"/>
  <c r="B5" i="2"/>
  <c r="B2366" i="2"/>
  <c r="B3020" i="2"/>
  <c r="B3117" i="2"/>
  <c r="B2147" i="2"/>
  <c r="B1847" i="2"/>
  <c r="B2085" i="2"/>
  <c r="B1245" i="2"/>
  <c r="B2113" i="2"/>
  <c r="B139" i="2"/>
  <c r="B2708" i="2"/>
  <c r="B2485" i="2"/>
  <c r="B1613" i="2"/>
  <c r="B1935" i="2"/>
  <c r="B1636" i="2"/>
  <c r="B1633" i="2"/>
  <c r="B2754" i="2"/>
  <c r="B1758" i="2"/>
  <c r="B723" i="2"/>
  <c r="B2018" i="2"/>
  <c r="B3015" i="2"/>
  <c r="B2824" i="2"/>
  <c r="B2606" i="2"/>
  <c r="B2483" i="2"/>
  <c r="B3174" i="2"/>
  <c r="B2981" i="2"/>
  <c r="B1799" i="2"/>
  <c r="B1191" i="2"/>
  <c r="B1602" i="2"/>
  <c r="B1849" i="2"/>
  <c r="B994" i="2"/>
  <c r="B3056" i="2"/>
  <c r="B2224" i="2"/>
  <c r="B2223" i="2"/>
  <c r="B64" i="2"/>
  <c r="B2683" i="2"/>
  <c r="B2688" i="2"/>
  <c r="B2272" i="2"/>
  <c r="B367" i="2"/>
  <c r="B1689" i="2"/>
  <c r="B1488" i="2"/>
  <c r="B1401" i="2"/>
  <c r="B2184" i="2"/>
  <c r="B3058" i="2"/>
  <c r="B3046" i="2"/>
  <c r="B1575" i="2"/>
  <c r="B2011" i="2"/>
  <c r="B1924" i="2"/>
  <c r="B1353" i="2"/>
  <c r="B396" i="2"/>
  <c r="B2114" i="2"/>
  <c r="B1632" i="2"/>
  <c r="B1728" i="2"/>
  <c r="B3190" i="2"/>
  <c r="B3159" i="2"/>
  <c r="B68" i="2"/>
  <c r="B214" i="2"/>
  <c r="B436" i="2"/>
  <c r="B2537" i="2"/>
  <c r="B1558" i="2"/>
  <c r="B2248" i="2"/>
  <c r="B1297" i="2"/>
  <c r="B2091" i="2"/>
  <c r="B2729" i="2"/>
  <c r="B2812" i="2"/>
  <c r="B2906" i="2"/>
  <c r="B3066" i="2"/>
  <c r="B2504" i="2"/>
  <c r="B3090" i="2"/>
  <c r="B1460" i="2"/>
  <c r="B2170" i="2"/>
  <c r="B2025" i="2"/>
  <c r="B2517" i="2"/>
  <c r="B1523" i="2"/>
  <c r="B1577" i="2"/>
  <c r="B2093" i="2"/>
  <c r="B3005" i="2"/>
  <c r="B1881" i="2"/>
  <c r="B2503" i="2"/>
  <c r="B2448" i="2"/>
  <c r="B3062" i="2"/>
  <c r="B1852" i="2"/>
  <c r="B2561" i="2"/>
  <c r="B62" i="2"/>
  <c r="B1753" i="2"/>
  <c r="B1496" i="2"/>
  <c r="B2121" i="2"/>
  <c r="B2055" i="2"/>
  <c r="B2116" i="2"/>
  <c r="B1951" i="2"/>
  <c r="B1735" i="2"/>
  <c r="B3173" i="2"/>
  <c r="B2746" i="2"/>
  <c r="B267" i="2"/>
  <c r="B1806" i="2"/>
  <c r="B1627" i="2"/>
  <c r="B1778" i="2"/>
  <c r="B1610" i="2"/>
  <c r="B320" i="2"/>
  <c r="B308" i="2"/>
  <c r="B1779" i="2"/>
  <c r="B533" i="2"/>
  <c r="B1537" i="2"/>
  <c r="B28" i="2"/>
  <c r="B2000" i="2"/>
  <c r="B2631" i="2"/>
  <c r="B2140" i="2"/>
  <c r="B2071" i="2"/>
  <c r="B1281" i="2"/>
  <c r="B1649" i="2"/>
  <c r="B527" i="2"/>
  <c r="B963" i="2"/>
  <c r="B2578" i="2"/>
  <c r="B2265" i="2"/>
  <c r="B1933" i="2"/>
  <c r="B2178" i="2"/>
  <c r="B2638" i="2"/>
  <c r="B2768" i="2"/>
  <c r="B2566" i="2"/>
  <c r="B3072" i="2"/>
  <c r="B3214" i="2"/>
  <c r="B2143" i="2"/>
  <c r="B2717" i="2"/>
  <c r="B2624" i="2"/>
  <c r="B1217" i="2"/>
  <c r="B2077" i="2"/>
  <c r="B2476" i="2"/>
  <c r="B1385" i="2"/>
  <c r="B2932" i="2"/>
  <c r="B2273" i="2"/>
  <c r="B1674" i="2"/>
  <c r="B1078" i="2"/>
  <c r="B2308" i="2"/>
  <c r="B2798" i="2"/>
  <c r="B556" i="2"/>
  <c r="B336" i="2"/>
  <c r="B2765" i="2"/>
  <c r="B1688" i="2"/>
  <c r="B2003" i="2"/>
  <c r="B1328" i="2"/>
  <c r="B424" i="2"/>
  <c r="B291" i="2"/>
  <c r="B2120" i="2"/>
  <c r="B2320" i="2"/>
  <c r="B1895" i="2"/>
  <c r="B1095" i="2"/>
  <c r="B1845" i="2"/>
  <c r="B2527" i="2"/>
  <c r="B2632" i="2"/>
  <c r="B3023" i="2"/>
  <c r="B2110" i="2"/>
  <c r="B2499" i="2"/>
  <c r="B2548" i="2"/>
  <c r="B3199" i="2"/>
  <c r="B1850" i="2"/>
  <c r="B1734" i="2"/>
  <c r="B940" i="2"/>
  <c r="B2542" i="2"/>
  <c r="B1279" i="2"/>
  <c r="B2805" i="2"/>
  <c r="B1260" i="2"/>
  <c r="B1726" i="2"/>
  <c r="B1479" i="2"/>
  <c r="B1835" i="2"/>
  <c r="B2252" i="2"/>
  <c r="B769" i="2"/>
  <c r="B3017" i="2"/>
  <c r="B3158" i="2"/>
  <c r="B2707" i="2"/>
  <c r="B1414" i="2"/>
  <c r="B2560" i="2"/>
  <c r="B1562" i="2"/>
  <c r="B976" i="2"/>
  <c r="B3139" i="2"/>
  <c r="B1187" i="2"/>
  <c r="B2471" i="2"/>
  <c r="B2673" i="2"/>
  <c r="B1461" i="2"/>
  <c r="B2413" i="2"/>
  <c r="B1313" i="2"/>
  <c r="B2428" i="2"/>
  <c r="B1390" i="2"/>
  <c r="B2183" i="2"/>
  <c r="B116" i="2"/>
  <c r="B586" i="2"/>
  <c r="B3052" i="2"/>
  <c r="B1682" i="2"/>
  <c r="B3188" i="2"/>
  <c r="B3206" i="2"/>
  <c r="B3085" i="2"/>
  <c r="B1976" i="2"/>
  <c r="B1358" i="2"/>
  <c r="B2671" i="2"/>
  <c r="B1487" i="2"/>
  <c r="B1592" i="2"/>
  <c r="B916" i="2"/>
  <c r="B944" i="2"/>
  <c r="B2089" i="2"/>
  <c r="B1207" i="2"/>
  <c r="B2892" i="2"/>
  <c r="B1528" i="2"/>
  <c r="B1206" i="2"/>
  <c r="B1470" i="2"/>
  <c r="B1823" i="2"/>
  <c r="B814" i="2"/>
  <c r="B3224" i="2"/>
  <c r="B1338" i="2"/>
  <c r="B2415" i="2"/>
  <c r="B2049" i="2"/>
  <c r="B793" i="2"/>
  <c r="B2832" i="2"/>
  <c r="B2608" i="2"/>
  <c r="B2972" i="2"/>
  <c r="B315" i="2"/>
  <c r="B1130" i="2"/>
  <c r="B3099" i="2"/>
  <c r="B703" i="2"/>
  <c r="B1446" i="2"/>
  <c r="B3138" i="2"/>
  <c r="B549" i="2"/>
  <c r="B2022" i="2"/>
  <c r="B2437" i="2"/>
  <c r="B2890" i="2"/>
  <c r="B1542" i="2"/>
  <c r="B3082" i="2"/>
  <c r="B1320" i="2"/>
  <c r="B1223" i="2"/>
  <c r="B2943" i="2"/>
  <c r="B737" i="2"/>
  <c r="B2216" i="2"/>
  <c r="B1740" i="2"/>
  <c r="B969" i="2"/>
  <c r="B2579" i="2"/>
  <c r="B3053" i="2"/>
  <c r="B440" i="2"/>
  <c r="B1501" i="2"/>
  <c r="B2948" i="2"/>
  <c r="B2132" i="2"/>
  <c r="B955" i="2"/>
  <c r="B2317" i="2"/>
  <c r="B3022" i="2"/>
  <c r="B903" i="2"/>
  <c r="B2240" i="2"/>
  <c r="B2594" i="2"/>
  <c r="B2214" i="2"/>
  <c r="B1517" i="2"/>
  <c r="B3128" i="2"/>
  <c r="B2074" i="2"/>
  <c r="B2734" i="2"/>
  <c r="B1210" i="2"/>
  <c r="B1071" i="2"/>
  <c r="B1441" i="2"/>
  <c r="B1256" i="2"/>
  <c r="B2726" i="2"/>
  <c r="B2129" i="2"/>
  <c r="B1404" i="2"/>
  <c r="B1879" i="2"/>
  <c r="B2155" i="2"/>
  <c r="B756" i="2"/>
  <c r="B2361" i="2"/>
  <c r="B2893" i="2"/>
  <c r="B2525" i="2"/>
  <c r="B1241" i="2"/>
  <c r="B1417" i="2"/>
  <c r="B2982" i="2"/>
  <c r="B75" i="2"/>
  <c r="B169" i="2"/>
  <c r="B1345" i="2"/>
  <c r="B3218" i="2"/>
  <c r="B2099" i="2"/>
  <c r="B1786" i="2"/>
  <c r="B3200" i="2"/>
  <c r="B620" i="2"/>
  <c r="B997" i="2"/>
  <c r="B2152" i="2"/>
  <c r="B2502" i="2"/>
  <c r="B2264" i="2"/>
  <c r="B2666" i="2"/>
  <c r="B2191" i="2"/>
  <c r="B1250" i="2"/>
  <c r="B2353" i="2"/>
  <c r="B2758" i="2"/>
  <c r="B3061" i="2"/>
  <c r="B2138" i="2"/>
  <c r="B1877" i="2"/>
  <c r="B2938" i="2"/>
  <c r="B2522" i="2"/>
  <c r="B3135" i="2"/>
  <c r="B2407" i="2"/>
  <c r="B2472" i="2"/>
  <c r="B2659" i="2"/>
  <c r="B2425" i="2"/>
  <c r="B896" i="2"/>
  <c r="B2770" i="2"/>
  <c r="B1400" i="2"/>
  <c r="B1348" i="2"/>
  <c r="B1993" i="2"/>
  <c r="B2227" i="2"/>
  <c r="B1519" i="2"/>
  <c r="B2387" i="2"/>
  <c r="B2464" i="2"/>
  <c r="B1289" i="2"/>
  <c r="B2410" i="2"/>
  <c r="B2014" i="2"/>
  <c r="B2394" i="2"/>
  <c r="B2790" i="2"/>
  <c r="B2748" i="2"/>
  <c r="B3146" i="2"/>
  <c r="B1867" i="2"/>
  <c r="B2351" i="2"/>
  <c r="B2922" i="2"/>
  <c r="B1421" i="2"/>
  <c r="B1186" i="2"/>
  <c r="B2847" i="2"/>
  <c r="B1419" i="2"/>
  <c r="B745" i="2"/>
  <c r="B206" i="2"/>
  <c r="B2500" i="2"/>
  <c r="B2246" i="2"/>
  <c r="B193" i="2"/>
  <c r="B405" i="2"/>
  <c r="B1805" i="2"/>
  <c r="B2719" i="2"/>
  <c r="B1585" i="2"/>
  <c r="B1298" i="2"/>
  <c r="B2501" i="2"/>
  <c r="B3075" i="2"/>
  <c r="B738" i="2"/>
  <c r="B1871" i="2"/>
  <c r="B964" i="2"/>
  <c r="B24" i="2"/>
  <c r="B2159" i="2"/>
  <c r="B2180" i="2"/>
  <c r="B368" i="2"/>
  <c r="B2604" i="2"/>
  <c r="B2053" i="2"/>
  <c r="B2279" i="2"/>
  <c r="B2895" i="2"/>
  <c r="B2649" i="2"/>
  <c r="B2058" i="2"/>
  <c r="B2354" i="2"/>
  <c r="B799" i="2"/>
  <c r="B2364" i="2"/>
  <c r="B1466" i="2"/>
  <c r="B3228" i="2"/>
  <c r="B1529" i="2"/>
  <c r="B2766" i="2"/>
  <c r="B1743" i="2"/>
  <c r="B1870" i="2"/>
  <c r="B2189" i="2"/>
  <c r="B289" i="2"/>
  <c r="B366" i="2"/>
  <c r="B1491" i="2"/>
  <c r="B2949" i="2"/>
  <c r="B2293" i="2"/>
  <c r="B2616" i="2"/>
  <c r="B1350" i="2"/>
  <c r="B1157" i="2"/>
  <c r="B2202" i="2"/>
  <c r="B1594" i="2"/>
  <c r="B2722" i="2"/>
  <c r="B1856" i="2"/>
  <c r="B1432" i="2"/>
  <c r="B1651" i="2"/>
  <c r="B1195" i="2"/>
  <c r="B2575" i="2"/>
  <c r="B878" i="2"/>
  <c r="B2303" i="2"/>
  <c r="B1744" i="2"/>
  <c r="B1467" i="2"/>
  <c r="B1950" i="2"/>
  <c r="B2532" i="2"/>
  <c r="B1750" i="2"/>
  <c r="B1361" i="2"/>
  <c r="B1622" i="2"/>
  <c r="B2094" i="2"/>
  <c r="B2574" i="2"/>
  <c r="B2740" i="2"/>
  <c r="B1658" i="2"/>
  <c r="B1420" i="2"/>
  <c r="B2469" i="2"/>
  <c r="B1422" i="2"/>
  <c r="B1499" i="2"/>
  <c r="B1204" i="2"/>
  <c r="B2249" i="2"/>
  <c r="B2482" i="2"/>
  <c r="B30" i="2"/>
  <c r="B2605" i="2"/>
  <c r="B2173" i="2"/>
  <c r="B1619" i="2"/>
  <c r="B926" i="2"/>
  <c r="B1019" i="2"/>
  <c r="B2305" i="2"/>
  <c r="B3211" i="2"/>
  <c r="B3182" i="2"/>
  <c r="B1998" i="2"/>
  <c r="B1428" i="2"/>
  <c r="B2455" i="2"/>
  <c r="B355" i="2"/>
  <c r="B85" i="2"/>
  <c r="B1829" i="2"/>
  <c r="B2924" i="2"/>
  <c r="B1553" i="2"/>
  <c r="B2819" i="2"/>
  <c r="B989" i="2"/>
  <c r="B2751" i="2"/>
  <c r="B1398" i="2"/>
  <c r="B1131" i="2"/>
  <c r="B2287" i="2"/>
  <c r="B1593" i="2"/>
  <c r="B3101" i="2"/>
  <c r="B1862" i="2"/>
  <c r="B1686" i="2"/>
  <c r="B946" i="2"/>
  <c r="B2573" i="2"/>
  <c r="B2850" i="2"/>
  <c r="B2614" i="2"/>
  <c r="B3177" i="2"/>
  <c r="B1478" i="2"/>
  <c r="B1450" i="2"/>
  <c r="B1308" i="2"/>
  <c r="B2084" i="2"/>
  <c r="B2737" i="2"/>
  <c r="B3030" i="2"/>
  <c r="B487" i="2"/>
  <c r="B1606" i="2"/>
  <c r="B402" i="2"/>
  <c r="B1568" i="2"/>
  <c r="B2391" i="2"/>
  <c r="B2909" i="2"/>
  <c r="B1178" i="2"/>
  <c r="B2208" i="2"/>
  <c r="B2552" i="2"/>
  <c r="B2898" i="2"/>
  <c r="B2164" i="2"/>
  <c r="B1311" i="2"/>
  <c r="B1439" i="2"/>
  <c r="B1522" i="2"/>
  <c r="B1807" i="2"/>
  <c r="B2040" i="2"/>
  <c r="B1890" i="2"/>
  <c r="B2540" i="2"/>
  <c r="B2871" i="2"/>
  <c r="B1710" i="2"/>
  <c r="B1830" i="2"/>
  <c r="B474" i="2"/>
  <c r="B1286" i="2"/>
  <c r="B3043" i="2"/>
  <c r="B1822" i="2"/>
  <c r="B772" i="2"/>
  <c r="B1408" i="2"/>
  <c r="B2111" i="2"/>
  <c r="B2133" i="2"/>
  <c r="B1908" i="2"/>
  <c r="B2275" i="2"/>
  <c r="B2862" i="2"/>
  <c r="B1661" i="2"/>
  <c r="B1771" i="2"/>
  <c r="B2395" i="2"/>
  <c r="B1764" i="2"/>
  <c r="B965" i="2"/>
  <c r="B484" i="2"/>
  <c r="B1254" i="2"/>
  <c r="B2384" i="2"/>
  <c r="B1590" i="2"/>
  <c r="B437" i="2"/>
  <c r="B1765" i="2"/>
  <c r="B2686" i="2"/>
  <c r="B2711" i="2"/>
  <c r="B576" i="2"/>
  <c r="B2460" i="2"/>
  <c r="B2753" i="2"/>
  <c r="B2226" i="2"/>
  <c r="B2784" i="2"/>
  <c r="B1384" i="2"/>
  <c r="B2820" i="2"/>
  <c r="B2063" i="2"/>
  <c r="B2495" i="2"/>
  <c r="B2817" i="2"/>
  <c r="B1894" i="2"/>
  <c r="B3112" i="2"/>
  <c r="B1776" i="2"/>
  <c r="B3136" i="2"/>
  <c r="B3000" i="2"/>
  <c r="B1541" i="2"/>
  <c r="B3229" i="2"/>
  <c r="B1757" i="2"/>
  <c r="B3181" i="2"/>
  <c r="B661" i="2"/>
  <c r="B306" i="2"/>
  <c r="B2490" i="2"/>
  <c r="B2198" i="2"/>
  <c r="B2134" i="2"/>
  <c r="B1925" i="2"/>
  <c r="B1306" i="2"/>
  <c r="B1824" i="2"/>
  <c r="B2325" i="2"/>
  <c r="B3032" i="2"/>
  <c r="B3151" i="2"/>
  <c r="B2232" i="2"/>
  <c r="B3093" i="2"/>
  <c r="B2274" i="2"/>
  <c r="B2839" i="2"/>
  <c r="B1315" i="2"/>
  <c r="B2793" i="2"/>
  <c r="B1546" i="2"/>
  <c r="B1668" i="2"/>
  <c r="B469" i="2"/>
  <c r="B2950" i="2"/>
  <c r="B2867" i="2"/>
  <c r="B1913" i="2"/>
  <c r="B1205" i="2"/>
  <c r="B1746" i="2"/>
  <c r="B2555" i="2"/>
  <c r="B2225" i="2"/>
  <c r="B1739" i="2"/>
  <c r="B1332" i="2"/>
  <c r="B2161" i="2"/>
  <c r="B2005" i="2"/>
  <c r="B656" i="2"/>
  <c r="B530" i="2"/>
  <c r="B16" i="2"/>
  <c r="B1211" i="2"/>
  <c r="B2201" i="2"/>
  <c r="B2779" i="2"/>
  <c r="B3004" i="2"/>
  <c r="B2694" i="2"/>
  <c r="B521" i="2"/>
  <c r="B1721" i="2"/>
  <c r="B1991" i="2"/>
  <c r="B1215" i="2"/>
  <c r="B825" i="2"/>
  <c r="B2104" i="2"/>
  <c r="B762" i="2"/>
  <c r="B1140" i="2"/>
  <c r="B2033" i="2"/>
  <c r="B394" i="2"/>
  <c r="B1495" i="2"/>
  <c r="B339" i="2"/>
  <c r="B765" i="2"/>
  <c r="B332" i="2"/>
  <c r="B746" i="2"/>
  <c r="B2640" i="2"/>
  <c r="B3133" i="2"/>
  <c r="B162" i="2"/>
  <c r="B2718" i="2"/>
  <c r="B840" i="2"/>
  <c r="B546" i="2"/>
  <c r="B948" i="2"/>
  <c r="B56" i="2"/>
  <c r="B329" i="2"/>
  <c r="B886" i="2"/>
  <c r="B36" i="2"/>
  <c r="B2255" i="2"/>
  <c r="B25" i="2"/>
  <c r="B2466" i="2"/>
  <c r="B2716" i="2"/>
  <c r="B1738" i="2"/>
  <c r="B353" i="2"/>
  <c r="B1194" i="2"/>
  <c r="B2507" i="2"/>
  <c r="B3170" i="2"/>
  <c r="B2627" i="2"/>
  <c r="B2809" i="2"/>
  <c r="B1892" i="2"/>
  <c r="B1681" i="2"/>
  <c r="B2330" i="2"/>
  <c r="B1630" i="2"/>
  <c r="B2194" i="2"/>
  <c r="B3067" i="2"/>
  <c r="B1352" i="2"/>
  <c r="B2095" i="2"/>
  <c r="B1745" i="2"/>
  <c r="B2291" i="2"/>
  <c r="B2181" i="2"/>
  <c r="B1968" i="2"/>
  <c r="B1292" i="2"/>
  <c r="B3113" i="2"/>
  <c r="B1635" i="2"/>
  <c r="B1858" i="2"/>
  <c r="B2195" i="2"/>
  <c r="B2462" i="2"/>
  <c r="B2581" i="2"/>
  <c r="B2808" i="2"/>
  <c r="B1551" i="2"/>
  <c r="B1555" i="2"/>
  <c r="B1510" i="2"/>
  <c r="B2362" i="2"/>
  <c r="B1396" i="2"/>
  <c r="B1691" i="2"/>
  <c r="B910" i="2"/>
  <c r="B2065" i="2"/>
  <c r="B713" i="2"/>
  <c r="B663" i="2"/>
  <c r="B2446" i="2"/>
  <c r="B1685" i="2"/>
  <c r="B3217" i="2"/>
  <c r="B280" i="2"/>
  <c r="B2676" i="2"/>
  <c r="B1790" i="2"/>
  <c r="B2521" i="2"/>
  <c r="B2528" i="2"/>
  <c r="B3231" i="2"/>
  <c r="B2593" i="2"/>
  <c r="B716" i="2"/>
  <c r="B501" i="2"/>
  <c r="B1872" i="2"/>
  <c r="B1524" i="2"/>
  <c r="B3131" i="2"/>
  <c r="B2054" i="2"/>
  <c r="B1990" i="2"/>
  <c r="B3027" i="2"/>
  <c r="B634" i="2"/>
  <c r="B1303" i="2"/>
  <c r="B1304" i="2"/>
  <c r="B2335" i="2"/>
  <c r="B3064" i="2"/>
  <c r="B1070" i="2"/>
  <c r="B681" i="2"/>
  <c r="B1626" i="2"/>
  <c r="B1033" i="2"/>
  <c r="B1395" i="2"/>
  <c r="B2800" i="2"/>
  <c r="B1275" i="2"/>
  <c r="B3109" i="2"/>
  <c r="B2097" i="2"/>
  <c r="B1124" i="2"/>
  <c r="B2744" i="2"/>
  <c r="B2785" i="2"/>
  <c r="B1580" i="2"/>
  <c r="B2486" i="2"/>
  <c r="B1999" i="2"/>
  <c r="B2692" i="2"/>
  <c r="B1770" i="2"/>
  <c r="B376" i="2"/>
  <c r="B2759" i="2"/>
  <c r="B1671" i="2"/>
  <c r="B1798" i="2"/>
  <c r="B1570" i="2"/>
  <c r="B2021" i="2"/>
  <c r="B3014" i="2"/>
  <c r="B2102" i="2"/>
  <c r="B2169" i="2"/>
  <c r="B3205" i="2"/>
  <c r="B2520" i="2"/>
  <c r="B2543" i="2"/>
  <c r="B1996" i="2"/>
  <c r="B371" i="2"/>
  <c r="B1844" i="2"/>
  <c r="B2311" i="2"/>
  <c r="B1916" i="2"/>
  <c r="B1772" i="2"/>
  <c r="B2088" i="2"/>
  <c r="B2926" i="2"/>
  <c r="B3070" i="2"/>
  <c r="B1284" i="2"/>
  <c r="B135" i="2"/>
  <c r="B1604" i="2"/>
  <c r="B2851" i="2"/>
  <c r="B2423" i="2"/>
  <c r="B1940" i="2"/>
  <c r="B2356" i="2"/>
  <c r="B3123" i="2"/>
  <c r="B1475" i="2"/>
  <c r="B1985" i="2"/>
  <c r="B2836" i="2"/>
  <c r="B1076" i="2"/>
  <c r="B1868" i="2"/>
  <c r="B1910" i="2"/>
  <c r="B2951" i="2"/>
  <c r="B3125" i="2"/>
  <c r="B1387" i="2"/>
  <c r="B2418" i="2"/>
  <c r="B1650" i="2"/>
  <c r="B752" i="2"/>
  <c r="B1481" i="2"/>
  <c r="B2060" i="2"/>
  <c r="B1494" i="2"/>
  <c r="B2524" i="2"/>
  <c r="B1804" i="2"/>
  <c r="B516" i="2"/>
  <c r="B1962" i="2"/>
  <c r="B3130" i="2"/>
  <c r="B2886" i="2"/>
  <c r="B1368" i="2"/>
  <c r="B1251" i="2"/>
  <c r="B175" i="2"/>
  <c r="B1793" i="2"/>
  <c r="B1302" i="2"/>
  <c r="B2270" i="2"/>
  <c r="B1429" i="2"/>
  <c r="B560" i="2"/>
  <c r="B1697" i="2"/>
  <c r="B2783" i="2"/>
  <c r="B3207" i="2"/>
  <c r="B1733" i="2"/>
  <c r="B3092" i="2"/>
  <c r="B2182" i="2"/>
  <c r="B3084" i="2"/>
  <c r="B1170" i="2"/>
  <c r="B720" i="2"/>
  <c r="B2947" i="2"/>
  <c r="B766" i="2"/>
  <c r="B1257" i="2"/>
  <c r="B559" i="2"/>
  <c r="B1002" i="2"/>
  <c r="B1407" i="2"/>
  <c r="B235" i="2"/>
  <c r="B816" i="2"/>
  <c r="B686" i="2"/>
  <c r="B412" i="2"/>
  <c r="B899" i="2"/>
  <c r="B859" i="2"/>
  <c r="B831" i="2"/>
  <c r="B443" i="2"/>
  <c r="B773" i="2"/>
  <c r="B775" i="2"/>
  <c r="B1224" i="2"/>
  <c r="B323" i="2"/>
  <c r="B570" i="2"/>
  <c r="B233" i="2"/>
  <c r="B3194" i="2"/>
  <c r="B721" i="2"/>
  <c r="B2480" i="2"/>
  <c r="B2837" i="2"/>
  <c r="B2107" i="2"/>
  <c r="B3180" i="2"/>
  <c r="B3050" i="2"/>
  <c r="B2342" i="2"/>
  <c r="B2318" i="2"/>
  <c r="B1748" i="2"/>
  <c r="B1355" i="2"/>
  <c r="B789" i="2"/>
  <c r="B296" i="2"/>
  <c r="B2137" i="2"/>
  <c r="B2877" i="2"/>
  <c r="B29" i="2"/>
  <c r="B1581" i="2"/>
  <c r="B268" i="2"/>
  <c r="B2027" i="2"/>
  <c r="B2821" i="2"/>
  <c r="B284" i="2"/>
  <c r="B74" i="2"/>
  <c r="B1061" i="2"/>
  <c r="B470" i="2"/>
  <c r="B2797" i="2"/>
  <c r="B261" i="2"/>
  <c r="B156" i="2"/>
  <c r="B2980" i="2"/>
  <c r="B956" i="2"/>
  <c r="B884" i="2"/>
  <c r="B2723" i="2"/>
  <c r="B3033" i="2"/>
  <c r="B660" i="2"/>
  <c r="B134" i="2"/>
  <c r="B754" i="2"/>
  <c r="B295" i="2"/>
  <c r="B891" i="2"/>
  <c r="B252" i="2"/>
  <c r="B1009" i="2"/>
  <c r="B1139" i="2"/>
  <c r="B1995" i="2"/>
  <c r="B2534" i="2"/>
  <c r="B1883" i="2"/>
  <c r="B2936" i="2"/>
  <c r="B1679" i="2"/>
  <c r="B1760" i="2"/>
  <c r="B1648" i="2"/>
  <c r="B791" i="2"/>
  <c r="B2648" i="2"/>
  <c r="B819" i="2"/>
  <c r="B331" i="2"/>
  <c r="B1064" i="2"/>
  <c r="B2757" i="2"/>
  <c r="B77" i="2"/>
  <c r="B2928" i="2"/>
  <c r="B2433" i="2"/>
  <c r="B492" i="2"/>
  <c r="B547" i="2"/>
  <c r="B1035" i="2"/>
  <c r="B2714" i="2"/>
  <c r="B2154" i="2"/>
  <c r="B12" i="2"/>
  <c r="B587" i="2"/>
  <c r="B2592" i="2"/>
  <c r="B3178" i="2"/>
  <c r="B1259" i="2"/>
  <c r="B2016" i="2"/>
  <c r="B1547" i="2"/>
  <c r="B121" i="2"/>
  <c r="B1032" i="2"/>
  <c r="B335" i="2"/>
  <c r="B2961" i="2"/>
  <c r="B1295" i="2"/>
  <c r="B2368" i="2"/>
  <c r="B1092" i="2"/>
  <c r="B1101" i="2"/>
  <c r="B2597" i="2"/>
  <c r="B2735" i="2"/>
  <c r="B1834" i="2"/>
  <c r="B1920" i="2"/>
  <c r="B650" i="2"/>
  <c r="B2185" i="2"/>
  <c r="B1047" i="2"/>
  <c r="B1185" i="2"/>
  <c r="B715" i="2"/>
  <c r="B1851" i="2"/>
  <c r="B2954" i="2"/>
  <c r="B2280" i="2"/>
  <c r="B957" i="2"/>
  <c r="B301" i="2"/>
  <c r="B905" i="2"/>
  <c r="B2767" i="2"/>
  <c r="B2941" i="2"/>
  <c r="B3065" i="2"/>
  <c r="B1164" i="2"/>
  <c r="B1014" i="2"/>
  <c r="B201" i="2"/>
  <c r="B11" i="2"/>
  <c r="B834" i="2"/>
  <c r="B107" i="2"/>
  <c r="B2456" i="2"/>
  <c r="B2773" i="2"/>
  <c r="B967" i="2"/>
  <c r="B1118" i="2"/>
  <c r="B91" i="2"/>
  <c r="B1167" i="2"/>
  <c r="B2929" i="2"/>
  <c r="B2238" i="2"/>
  <c r="B442" i="2"/>
  <c r="B2903" i="2"/>
  <c r="B3013" i="2"/>
  <c r="B2849" i="2"/>
  <c r="B824" i="2"/>
  <c r="B2295" i="2"/>
  <c r="B906" i="2"/>
  <c r="B2236" i="2"/>
  <c r="B1690" i="2"/>
  <c r="B662" i="2"/>
  <c r="B1864" i="2"/>
  <c r="B796" i="2"/>
  <c r="B2549" i="2"/>
  <c r="B1861" i="2"/>
  <c r="B2873" i="2"/>
  <c r="B2962" i="2"/>
  <c r="B273" i="2"/>
  <c r="B1372" i="2"/>
  <c r="B1088" i="2"/>
  <c r="B577" i="2"/>
  <c r="B655" i="2"/>
  <c r="B3169" i="2"/>
  <c r="B771" i="2"/>
  <c r="B1013" i="2"/>
  <c r="B3156" i="2"/>
  <c r="B2923" i="2"/>
  <c r="B67" i="2"/>
  <c r="B1874" i="2"/>
  <c r="B555" i="2"/>
  <c r="B249" i="2"/>
  <c r="B1277" i="2"/>
  <c r="B2357" i="2"/>
  <c r="B1053" i="2"/>
  <c r="B3227" i="2"/>
  <c r="B3120" i="2"/>
  <c r="B2792" i="2"/>
  <c r="B1219" i="2"/>
  <c r="B2337" i="2"/>
  <c r="B520" i="2"/>
  <c r="B1291" i="2"/>
  <c r="B2222" i="2"/>
  <c r="B1827" i="2"/>
  <c r="B1100" i="2"/>
  <c r="B2991" i="2"/>
  <c r="B1978" i="2"/>
  <c r="B2690" i="2"/>
  <c r="B1272" i="2"/>
  <c r="B2050" i="2"/>
  <c r="B1476" i="2"/>
  <c r="B1356" i="2"/>
  <c r="B2427" i="2"/>
  <c r="B3171" i="2"/>
  <c r="B2045" i="2"/>
  <c r="B778" i="2"/>
  <c r="B844" i="2"/>
  <c r="B2068" i="2"/>
  <c r="B637" i="2"/>
  <c r="B3098" i="2"/>
  <c r="B2669" i="2"/>
  <c r="B1820" i="2"/>
  <c r="B1367" i="2"/>
  <c r="B247" i="2"/>
  <c r="B472" i="2"/>
  <c r="B1080" i="2"/>
  <c r="B2677" i="2"/>
  <c r="B275" i="2"/>
  <c r="B517" i="2"/>
  <c r="B780" i="2"/>
  <c r="B399" i="2"/>
  <c r="B1752" i="2"/>
  <c r="B410" i="2"/>
  <c r="B732" i="2"/>
  <c r="B2942" i="2"/>
  <c r="B676" i="2"/>
  <c r="B330" i="2"/>
  <c r="B1055" i="2"/>
  <c r="B951" i="2"/>
  <c r="B914" i="2"/>
  <c r="B2964" i="2"/>
  <c r="B2015" i="2"/>
  <c r="B45" i="2"/>
  <c r="B687" i="2"/>
  <c r="B3096" i="2"/>
  <c r="B1564" i="2"/>
  <c r="B3185" i="2"/>
  <c r="B654" i="2"/>
  <c r="B171" i="2"/>
  <c r="B2745" i="2"/>
  <c r="B2002" i="2"/>
  <c r="B483" i="2"/>
  <c r="B1386" i="2"/>
  <c r="B854" i="2"/>
  <c r="B1388" i="2"/>
  <c r="B104" i="2"/>
  <c r="B1230" i="2"/>
  <c r="B1369" i="2"/>
  <c r="B2655" i="2"/>
  <c r="B427" i="2"/>
  <c r="B2791" i="2"/>
  <c r="B200" i="2"/>
  <c r="B2742" i="2"/>
  <c r="B448" i="2"/>
  <c r="B21" i="2"/>
  <c r="B917" i="2"/>
  <c r="B109" i="2"/>
  <c r="B1165" i="2"/>
  <c r="B639" i="2"/>
  <c r="B346" i="2"/>
  <c r="B937" i="2"/>
  <c r="B627" i="2"/>
  <c r="B2217" i="2"/>
  <c r="B860" i="2"/>
  <c r="B2326" i="2"/>
  <c r="B3108" i="2"/>
  <c r="B1794" i="2"/>
  <c r="B2436" i="2"/>
  <c r="B2830" i="2"/>
  <c r="B2118" i="2"/>
  <c r="B2200" i="2"/>
  <c r="B995" i="2"/>
  <c r="B2424" i="2"/>
  <c r="B2177" i="2"/>
  <c r="B664" i="2"/>
  <c r="B2933" i="2"/>
  <c r="B1953" i="2"/>
  <c r="B2374" i="2"/>
  <c r="B742" i="2"/>
  <c r="B2285" i="2"/>
  <c r="B3055" i="2"/>
  <c r="B1620" i="2"/>
  <c r="B2992" i="2"/>
  <c r="B1518" i="2"/>
  <c r="B98" i="2"/>
  <c r="B211" i="2"/>
  <c r="B2352" i="2"/>
  <c r="B2119" i="2"/>
  <c r="B857" i="2"/>
  <c r="B258" i="2"/>
  <c r="B1377" i="2"/>
  <c r="B1392" i="2"/>
  <c r="B583" i="2"/>
  <c r="B1011" i="2"/>
  <c r="B82" i="2"/>
  <c r="B31" i="2"/>
  <c r="B184" i="2"/>
  <c r="B38" i="2"/>
  <c r="B49" i="2"/>
  <c r="B231" i="2"/>
  <c r="B513" i="2"/>
  <c r="B740" i="2"/>
  <c r="B3081" i="2"/>
  <c r="B1085" i="2"/>
  <c r="B1232" i="2"/>
  <c r="B478" i="2"/>
  <c r="B701" i="2"/>
  <c r="B810" i="2"/>
  <c r="B702" i="2"/>
  <c r="B90" i="2"/>
  <c r="B1869" i="2"/>
  <c r="B2789" i="2"/>
  <c r="B1340" i="2"/>
  <c r="B1192" i="2"/>
  <c r="B1785" i="2"/>
  <c r="B2487" i="2"/>
  <c r="B1287" i="2"/>
  <c r="B409" i="2"/>
  <c r="B2715" i="2"/>
  <c r="B225" i="2"/>
  <c r="B3104" i="2"/>
  <c r="B110" i="2"/>
  <c r="B2067" i="2"/>
  <c r="B15" i="2"/>
  <c r="B1914" i="2"/>
  <c r="B1123" i="2"/>
  <c r="B1788" i="2"/>
  <c r="B1190" i="2"/>
  <c r="B674" i="2"/>
  <c r="B495" i="2"/>
  <c r="B1977" i="2"/>
  <c r="B1090" i="2"/>
  <c r="B1016" i="2"/>
  <c r="B1073" i="2"/>
  <c r="B1050" i="2"/>
  <c r="B584" i="2"/>
  <c r="B1534" i="2"/>
  <c r="B70" i="2"/>
  <c r="B2979" i="2"/>
  <c r="B774" i="2"/>
  <c r="B1201" i="2"/>
  <c r="B1904" i="2"/>
  <c r="B2157" i="2"/>
  <c r="B246" i="2"/>
  <c r="B2057" i="2"/>
  <c r="B1938" i="2"/>
  <c r="B2078" i="2"/>
  <c r="B1108" i="2"/>
  <c r="B1959" i="2"/>
  <c r="B1608" i="2"/>
  <c r="B1200" i="2"/>
  <c r="B1716" i="2"/>
  <c r="B1443" i="2"/>
  <c r="B505" i="2"/>
  <c r="B2404" i="2"/>
  <c r="B1007" i="2"/>
  <c r="B1366" i="2"/>
  <c r="B195" i="2"/>
  <c r="B3132" i="2"/>
  <c r="B2827" i="2"/>
  <c r="B1984" i="2"/>
  <c r="B2284" i="2"/>
  <c r="B2127" i="2"/>
  <c r="B2891" i="2"/>
  <c r="B2347" i="2"/>
  <c r="B511" i="2"/>
  <c r="B3121" i="2"/>
  <c r="B1540" i="2"/>
  <c r="B2667" i="2"/>
  <c r="B2030" i="2"/>
  <c r="B1212" i="2"/>
  <c r="B92" i="2"/>
  <c r="B434" i="2"/>
  <c r="B281" i="2"/>
  <c r="B550" i="2"/>
  <c r="B783" i="2"/>
  <c r="B1104" i="2"/>
  <c r="B1714" i="2"/>
  <c r="B146" i="2"/>
  <c r="B949" i="2"/>
  <c r="B357" i="2"/>
  <c r="B128" i="2"/>
  <c r="B122" i="2"/>
  <c r="B459" i="2"/>
  <c r="B365" i="2"/>
  <c r="B425" i="2"/>
  <c r="B449" i="2"/>
  <c r="B870" i="2"/>
  <c r="B1163" i="2"/>
  <c r="B1456" i="2"/>
  <c r="B2257" i="2"/>
  <c r="B1508" i="2"/>
  <c r="B2304" i="2"/>
  <c r="B2858" i="2"/>
  <c r="B2044" i="2"/>
  <c r="B1795" i="2"/>
  <c r="B1754" i="2"/>
  <c r="B2806" i="2"/>
  <c r="B1134" i="2"/>
  <c r="B645" i="2"/>
  <c r="B143" i="2"/>
  <c r="B1831" i="2"/>
  <c r="B1171" i="2"/>
  <c r="B2727" i="2"/>
  <c r="B522" i="2"/>
  <c r="B1737" i="2"/>
  <c r="B1347" i="2"/>
  <c r="B1136" i="2"/>
  <c r="B512" i="2"/>
  <c r="B163" i="2"/>
  <c r="B455" i="2"/>
  <c r="B318" i="2"/>
  <c r="B441" i="2"/>
  <c r="B798" i="2"/>
  <c r="B2988" i="2"/>
  <c r="B1115" i="2"/>
  <c r="B450" i="2"/>
  <c r="B731" i="2"/>
  <c r="B182" i="2"/>
  <c r="B358" i="2"/>
  <c r="B2794" i="2"/>
  <c r="B1285" i="2"/>
  <c r="B562" i="2"/>
  <c r="B161" i="2"/>
  <c r="B3" i="2"/>
  <c r="B864" i="2"/>
  <c r="B1490" i="2"/>
  <c r="B1513" i="2"/>
  <c r="B2888" i="2"/>
  <c r="B78" i="2"/>
  <c r="B2494" i="2"/>
  <c r="B1351" i="2"/>
  <c r="B2258" i="2"/>
  <c r="B1761" i="2"/>
  <c r="B2854" i="2"/>
  <c r="B103" i="2"/>
  <c r="B2079" i="2"/>
  <c r="B215" i="2"/>
  <c r="B1299" i="2"/>
  <c r="B1931" i="2"/>
  <c r="B2706" i="2"/>
  <c r="B1911" i="2"/>
  <c r="B1261" i="2"/>
  <c r="B1243" i="2"/>
  <c r="B1244" i="2"/>
  <c r="B2803" i="2"/>
  <c r="B1079" i="2"/>
  <c r="B2400" i="2"/>
  <c r="B2371" i="2"/>
  <c r="B1515" i="2"/>
  <c r="B848" i="2"/>
  <c r="B3091" i="2"/>
  <c r="B2350" i="2"/>
  <c r="B112" i="2"/>
  <c r="B1119" i="2"/>
  <c r="B1144" i="2"/>
  <c r="B2652" i="2"/>
  <c r="B881" i="2"/>
  <c r="B595" i="2"/>
  <c r="B2106" i="2"/>
  <c r="B118" i="2"/>
  <c r="B2031" i="2"/>
  <c r="B836" i="2"/>
  <c r="B1208" i="2"/>
  <c r="B158" i="2"/>
  <c r="B177" i="2"/>
  <c r="B649" i="2"/>
  <c r="B618" i="2"/>
  <c r="B717" i="2"/>
  <c r="B356" i="2"/>
  <c r="B464" i="2"/>
  <c r="B1316" i="2"/>
  <c r="B2987" i="2"/>
  <c r="B310" i="2"/>
  <c r="B2008" i="2"/>
  <c r="B1756" i="2"/>
  <c r="B1607" i="2"/>
  <c r="B2470" i="2"/>
  <c r="B601" i="2"/>
  <c r="B1379" i="2"/>
  <c r="B2940" i="2"/>
  <c r="B1919" i="2"/>
  <c r="B1706" i="2"/>
  <c r="B1766" i="2"/>
  <c r="B985" i="2"/>
  <c r="B454" i="2"/>
  <c r="B79" i="2"/>
  <c r="B348" i="2"/>
  <c r="B2196" i="2"/>
  <c r="B876" i="2"/>
  <c r="B1698" i="2"/>
  <c r="B94" i="2"/>
  <c r="B475" i="2"/>
  <c r="B119" i="2"/>
  <c r="B724" i="2"/>
  <c r="B3024" i="2"/>
  <c r="B298" i="2"/>
  <c r="B597" i="2"/>
  <c r="B1097" i="2"/>
  <c r="B1865" i="2"/>
  <c r="B528" i="2"/>
  <c r="B230" i="2"/>
  <c r="B561" i="2"/>
  <c r="B263" i="2"/>
  <c r="B100" i="2"/>
  <c r="B553" i="2"/>
  <c r="B996" i="2"/>
  <c r="B313" i="2"/>
  <c r="B3010" i="2"/>
  <c r="B1506" i="2"/>
  <c r="B2925" i="2"/>
  <c r="B2918" i="2"/>
  <c r="B3167" i="2"/>
  <c r="B1382" i="2"/>
  <c r="B1258" i="2"/>
  <c r="B2171" i="2"/>
  <c r="B2176" i="2"/>
  <c r="B1409" i="2"/>
  <c r="B1571" i="2"/>
  <c r="B2835" i="2"/>
  <c r="B3003" i="2"/>
  <c r="B613" i="2"/>
  <c r="B3012" i="2"/>
  <c r="B567" i="2"/>
  <c r="B2952" i="2"/>
  <c r="B136" i="2"/>
  <c r="B1153" i="2"/>
  <c r="B1463" i="2"/>
  <c r="B1043" i="2"/>
  <c r="B1424" i="2"/>
  <c r="B363" i="2"/>
  <c r="B919" i="2"/>
  <c r="B747" i="2"/>
  <c r="B2739" i="2"/>
  <c r="B2340" i="2"/>
  <c r="B2511" i="2"/>
  <c r="B1989" i="2"/>
  <c r="B2338" i="2"/>
  <c r="B3097" i="2"/>
  <c r="B3008" i="2"/>
  <c r="B1484" i="2"/>
  <c r="B741" i="2"/>
  <c r="B508" i="2"/>
  <c r="B1182" i="2"/>
  <c r="B1081" i="2"/>
  <c r="B515" i="2"/>
  <c r="B3094" i="2"/>
  <c r="B274" i="2"/>
  <c r="B2414" i="2"/>
  <c r="B240" i="2"/>
  <c r="B830" i="2"/>
  <c r="B1326" i="2"/>
  <c r="B865" i="2"/>
  <c r="B1010" i="2"/>
  <c r="B502" i="2"/>
  <c r="B1049" i="2"/>
  <c r="B688" i="2"/>
  <c r="B1093" i="2"/>
  <c r="B144" i="2"/>
  <c r="B1480" i="2"/>
  <c r="B934" i="2"/>
  <c r="B279" i="2"/>
  <c r="B753" i="2"/>
  <c r="B413" i="2"/>
  <c r="B2883" i="2"/>
  <c r="B2207" i="2"/>
  <c r="B2179" i="2"/>
  <c r="B1587" i="2"/>
  <c r="B2082" i="2"/>
  <c r="B1391" i="2"/>
  <c r="B2693" i="2"/>
  <c r="B1576" i="2"/>
  <c r="B481" i="2"/>
  <c r="B2061" i="2"/>
  <c r="B1749" i="2"/>
  <c r="B2959" i="2"/>
  <c r="B1695" i="2"/>
  <c r="B2811" i="2"/>
  <c r="B178" i="2"/>
  <c r="B1415" i="2"/>
  <c r="B689" i="2"/>
  <c r="B2261" i="2"/>
  <c r="B1431" i="2"/>
  <c r="B2076" i="2"/>
  <c r="B3160" i="2"/>
  <c r="B931" i="2"/>
  <c r="B333" i="2"/>
  <c r="B381" i="2"/>
  <c r="B1331" i="2"/>
  <c r="B939" i="2"/>
  <c r="B1873" i="2"/>
  <c r="B133" i="2"/>
  <c r="B270" i="2"/>
  <c r="B1129" i="2"/>
  <c r="B148" i="2"/>
  <c r="B2743" i="2"/>
  <c r="B1074" i="2"/>
  <c r="B1086" i="2"/>
  <c r="B1199" i="2"/>
  <c r="B2880" i="2"/>
  <c r="B485" i="2"/>
  <c r="B2956" i="2"/>
  <c r="B875" i="2"/>
  <c r="B1060" i="2"/>
  <c r="B294" i="2"/>
  <c r="B2294" i="2"/>
  <c r="B2550" i="2"/>
  <c r="B3100" i="2"/>
  <c r="B2125" i="2"/>
  <c r="B1437" i="2"/>
  <c r="B2670" i="2"/>
  <c r="B2221" i="2"/>
  <c r="B257" i="2"/>
  <c r="B1147" i="2"/>
  <c r="B1451" i="2"/>
  <c r="B691" i="2"/>
  <c r="B852" i="2"/>
  <c r="B2377" i="2"/>
  <c r="B850" i="2"/>
  <c r="B3187" i="2"/>
  <c r="B326" i="2"/>
  <c r="B2229" i="2"/>
  <c r="B604" i="2"/>
  <c r="B129" i="2"/>
  <c r="B1135" i="2"/>
  <c r="B628" i="2"/>
  <c r="B1435" i="2"/>
  <c r="B2477" i="2"/>
  <c r="B2108" i="2"/>
  <c r="B1469" i="2"/>
  <c r="B244" i="2"/>
  <c r="B1597" i="2"/>
  <c r="B430" i="2"/>
  <c r="B609" i="2"/>
  <c r="B1637" i="2"/>
  <c r="B1034" i="2"/>
  <c r="B1452" i="2"/>
  <c r="B286" i="2"/>
  <c r="B255" i="2"/>
  <c r="B795" i="2"/>
  <c r="B839" i="2"/>
  <c r="B2396" i="2"/>
  <c r="B758" i="2"/>
  <c r="B719" i="2"/>
  <c r="B907" i="2"/>
  <c r="B734" i="2"/>
  <c r="B1054" i="2"/>
  <c r="B647" i="2"/>
  <c r="B398" i="2"/>
  <c r="B685" i="2"/>
  <c r="B698" i="2"/>
  <c r="B978" i="2"/>
  <c r="B238" i="2"/>
  <c r="B382" i="2"/>
  <c r="B1554" i="2"/>
  <c r="B48" i="2"/>
  <c r="B132" i="2"/>
  <c r="B2675" i="2"/>
  <c r="B2651" i="2"/>
  <c r="B890" i="2"/>
  <c r="B2530" i="2"/>
  <c r="B2385" i="2"/>
  <c r="B1227" i="2"/>
  <c r="B2993" i="2"/>
  <c r="B1154" i="2"/>
  <c r="B2955" i="2"/>
  <c r="B1138" i="2"/>
  <c r="B1314" i="2"/>
  <c r="B760" i="2"/>
  <c r="B2544" i="2"/>
  <c r="B2481" i="2"/>
  <c r="B2626" i="2"/>
  <c r="B817" i="2"/>
  <c r="B2904" i="2"/>
  <c r="B2001" i="2"/>
  <c r="B338" i="2"/>
  <c r="B1220" i="2"/>
  <c r="B499" i="2"/>
  <c r="B880" i="2"/>
  <c r="B536" i="2"/>
  <c r="B17" i="2"/>
  <c r="B216" i="2"/>
  <c r="B1863" i="2"/>
  <c r="B324" i="2"/>
  <c r="B300" i="2"/>
  <c r="B20" i="2"/>
  <c r="B694" i="2"/>
  <c r="B1238" i="2"/>
  <c r="B710" i="2"/>
  <c r="B403" i="2"/>
  <c r="B83" i="2"/>
  <c r="B2559" i="2"/>
  <c r="B744" i="2"/>
  <c r="B500" i="2"/>
  <c r="B1150" i="2"/>
  <c r="B827" i="2"/>
  <c r="B706" i="2"/>
  <c r="B1156" i="2"/>
  <c r="B2298" i="2"/>
  <c r="B2234" i="2"/>
  <c r="B2327" i="2"/>
  <c r="B1040" i="2"/>
  <c r="B489" i="2"/>
  <c r="B2696" i="2"/>
  <c r="B2855" i="2"/>
  <c r="B947" i="2"/>
  <c r="B2488" i="2"/>
  <c r="B266" i="2"/>
  <c r="B2310" i="2"/>
  <c r="B7" i="2"/>
  <c r="B1848" i="2"/>
  <c r="B729" i="2"/>
  <c r="B2842" i="2"/>
  <c r="B189" i="2"/>
  <c r="B1375" i="2"/>
  <c r="B727" i="2"/>
  <c r="B879" i="2"/>
  <c r="B696" i="2"/>
  <c r="B751" i="2"/>
  <c r="B290" i="2"/>
  <c r="B882" i="2"/>
  <c r="B837" i="2"/>
  <c r="B325" i="2"/>
  <c r="B2994" i="2"/>
  <c r="B54" i="2"/>
  <c r="B2965" i="2"/>
  <c r="B913" i="2"/>
  <c r="B125" i="2"/>
  <c r="B1111" i="2"/>
  <c r="B2463" i="2"/>
  <c r="B678" i="2"/>
  <c r="B444" i="2"/>
  <c r="B539" i="2"/>
  <c r="B138" i="2"/>
  <c r="B2944" i="2"/>
  <c r="B1236" i="2"/>
  <c r="B66" i="2"/>
  <c r="B621" i="2"/>
  <c r="B174" i="2"/>
  <c r="B1218" i="2"/>
  <c r="B2277" i="2"/>
  <c r="B1614" i="2"/>
  <c r="B407" i="2"/>
  <c r="B924" i="2"/>
  <c r="B2969" i="2"/>
  <c r="B608" i="2"/>
  <c r="B1084" i="2"/>
  <c r="B2268" i="2"/>
  <c r="B2260" i="2"/>
  <c r="B1141" i="2"/>
  <c r="B1142" i="2"/>
  <c r="B2130" i="2"/>
  <c r="B1252" i="2"/>
  <c r="B1780" i="2"/>
  <c r="B2041" i="2"/>
  <c r="B224" i="2"/>
  <c r="B849" i="2"/>
  <c r="B370" i="2"/>
  <c r="B818" i="2"/>
  <c r="B3089" i="2"/>
  <c r="B625" i="2"/>
  <c r="B1271" i="2"/>
  <c r="B2531" i="2"/>
  <c r="B124" i="2"/>
  <c r="B1158" i="2"/>
  <c r="B2653" i="2"/>
  <c r="B260" i="2"/>
  <c r="B759" i="2"/>
  <c r="B784" i="2"/>
  <c r="B226" i="2"/>
  <c r="B524" i="2"/>
  <c r="B1052" i="2"/>
  <c r="B2473" i="2"/>
  <c r="B542" i="2"/>
  <c r="B614" i="2"/>
  <c r="B2644" i="2"/>
  <c r="B514" i="2"/>
  <c r="B735" i="2"/>
  <c r="B518" i="2"/>
  <c r="B141" i="2"/>
  <c r="B973" i="2"/>
  <c r="B821" i="2"/>
  <c r="B1525" i="2"/>
  <c r="B1652" i="2"/>
  <c r="B2086" i="2"/>
  <c r="B3044" i="2"/>
  <c r="B1509" i="2"/>
  <c r="B2617" i="2"/>
  <c r="B3079" i="2"/>
  <c r="B4" i="2"/>
  <c r="B2879" i="2"/>
  <c r="B340" i="2"/>
  <c r="B137" i="2"/>
  <c r="B541" i="2"/>
  <c r="B2985" i="2"/>
  <c r="B894" i="2"/>
  <c r="B2547" i="2"/>
  <c r="B1151" i="2"/>
  <c r="B2968" i="2"/>
  <c r="B2600" i="2"/>
  <c r="B712" i="2"/>
  <c r="B269" i="2"/>
  <c r="B1116" i="2"/>
  <c r="B1044" i="2"/>
  <c r="B619" i="2"/>
  <c r="B342" i="2"/>
  <c r="B1159" i="2"/>
  <c r="B87" i="2"/>
  <c r="B3009" i="2"/>
  <c r="B714" i="2"/>
  <c r="B855" i="2"/>
  <c r="B2266" i="2"/>
  <c r="B617" i="2"/>
  <c r="B1109" i="2"/>
  <c r="B2917" i="2"/>
  <c r="B736" i="2"/>
  <c r="B722" i="2"/>
  <c r="B406" i="2"/>
  <c r="B262" i="2"/>
  <c r="B3069" i="2"/>
  <c r="B345" i="2"/>
  <c r="B755" i="2"/>
  <c r="B96" i="2"/>
  <c r="B1309" i="2"/>
  <c r="B904" i="2"/>
  <c r="B3041" i="2"/>
  <c r="B2282" i="2"/>
  <c r="B1815" i="2"/>
  <c r="B1987" i="2"/>
  <c r="B1434" i="2"/>
  <c r="B1293" i="2"/>
  <c r="B2360" i="2"/>
  <c r="B39" i="2"/>
  <c r="B2571" i="2"/>
  <c r="B1312" i="2"/>
  <c r="B3193" i="2"/>
  <c r="B728" i="2"/>
  <c r="B2052" i="2"/>
  <c r="B1394" i="2"/>
  <c r="B1855" i="2"/>
  <c r="B748" i="2"/>
  <c r="B164" i="2"/>
  <c r="B1317" i="2"/>
  <c r="B188" i="2"/>
  <c r="B1012" i="2"/>
  <c r="B309" i="2"/>
  <c r="B1548" i="2"/>
  <c r="B228" i="2"/>
  <c r="B1099" i="2"/>
  <c r="B2701" i="2"/>
  <c r="B2498" i="2"/>
  <c r="B1037" i="2"/>
  <c r="B3047" i="2"/>
  <c r="B787" i="2"/>
  <c r="B93" i="2"/>
  <c r="B1841" i="2"/>
  <c r="B523" i="2"/>
  <c r="B945" i="2"/>
  <c r="B23" i="2"/>
  <c r="B1126" i="2"/>
  <c r="B1004" i="2"/>
  <c r="B383" i="2"/>
  <c r="B1057" i="2"/>
  <c r="B885" i="2"/>
  <c r="B2908" i="2"/>
  <c r="B1176" i="2"/>
  <c r="B636" i="2"/>
  <c r="B2905" i="2"/>
  <c r="B465" i="2"/>
  <c r="B644" i="2"/>
  <c r="B2984" i="2"/>
  <c r="B718" i="2"/>
  <c r="B1075" i="2"/>
  <c r="B223" i="2"/>
  <c r="B874" i="2"/>
  <c r="B2493" i="2"/>
  <c r="B2679" i="2"/>
  <c r="B2244" i="2"/>
  <c r="B2976" i="2"/>
  <c r="B1307" i="2"/>
  <c r="B1531" i="2"/>
  <c r="B468" i="2"/>
  <c r="B1660" i="2"/>
  <c r="B1645" i="2"/>
  <c r="B749" i="2"/>
  <c r="B2875" i="2"/>
  <c r="B888" i="2"/>
  <c r="B1557" i="2"/>
  <c r="B428" i="2"/>
  <c r="B3152" i="2"/>
  <c r="B1174" i="2"/>
  <c r="B2509" i="2"/>
  <c r="B311" i="2"/>
  <c r="B1859" i="2"/>
  <c r="B411" i="2"/>
  <c r="B373" i="2"/>
  <c r="B842" i="2"/>
  <c r="B401" i="2"/>
  <c r="B571" i="2"/>
  <c r="B961" i="2"/>
  <c r="B675" i="2"/>
  <c r="B548" i="2"/>
  <c r="B863" i="2"/>
  <c r="B245" i="2"/>
  <c r="B960" i="2"/>
  <c r="B889" i="2"/>
  <c r="B2662" i="2"/>
  <c r="B2771" i="2"/>
  <c r="B1268" i="2"/>
  <c r="B1048" i="2"/>
  <c r="B2056" i="2"/>
  <c r="B3111" i="2"/>
  <c r="B1265" i="2"/>
  <c r="B1986" i="2"/>
  <c r="B2927" i="2"/>
  <c r="B3223" i="2"/>
  <c r="B154" i="2"/>
  <c r="B847" i="2"/>
  <c r="B2211" i="2"/>
  <c r="B1117" i="2"/>
  <c r="B2156" i="2"/>
  <c r="B1599" i="2"/>
  <c r="B1573" i="2"/>
  <c r="B1544" i="2"/>
  <c r="B2309" i="2"/>
  <c r="B452" i="2"/>
  <c r="B911" i="2"/>
  <c r="B966" i="2"/>
  <c r="B1020" i="2"/>
  <c r="B622" i="2"/>
  <c r="B593" i="2"/>
  <c r="B462" i="2"/>
  <c r="B804" i="2"/>
  <c r="B471" i="2"/>
  <c r="B2450" i="2"/>
  <c r="B1922" i="2"/>
  <c r="B1107" i="2"/>
  <c r="B801" i="2"/>
  <c r="B393" i="2"/>
  <c r="B3039" i="2"/>
  <c r="B872" i="2"/>
  <c r="B2833" i="2"/>
  <c r="B283" i="2"/>
  <c r="B912" i="2"/>
  <c r="B895" i="2"/>
  <c r="B2700" i="2"/>
  <c r="B8" i="2"/>
  <c r="B1825" i="2"/>
  <c r="B2763" i="2"/>
  <c r="B1493" i="2"/>
  <c r="B2492" i="2"/>
  <c r="B3031" i="2"/>
  <c r="B491" i="2"/>
  <c r="B2611" i="2"/>
  <c r="B2705" i="2"/>
  <c r="B1511" i="2"/>
  <c r="B47" i="2"/>
  <c r="B88" i="2"/>
  <c r="B2235" i="2"/>
  <c r="B2199" i="2"/>
  <c r="B1120" i="2"/>
  <c r="B2506" i="2"/>
  <c r="B1921" i="2"/>
  <c r="B3110" i="2"/>
  <c r="B2728" i="2"/>
  <c r="B1082" i="2"/>
  <c r="B2174" i="2"/>
  <c r="B341" i="2"/>
  <c r="B3103" i="2"/>
  <c r="B1240" i="2"/>
  <c r="B26" i="2"/>
  <c r="B1216" i="2"/>
  <c r="B53" i="2"/>
  <c r="B3124" i="2"/>
  <c r="B666" i="2"/>
  <c r="B668" i="2"/>
  <c r="B1025" i="2"/>
  <c r="B165" i="2"/>
  <c r="B2376" i="2"/>
  <c r="B2885" i="2"/>
  <c r="B605" i="2"/>
  <c r="B986" i="2"/>
  <c r="B1572" i="2"/>
  <c r="B1133" i="2"/>
  <c r="B2887" i="2"/>
  <c r="B3196" i="2"/>
  <c r="B414" i="2"/>
  <c r="B993" i="2"/>
  <c r="B229" i="2"/>
  <c r="B2297" i="2"/>
  <c r="B928" i="2"/>
  <c r="B1327" i="2"/>
  <c r="B1876" i="2"/>
  <c r="B2146" i="2"/>
  <c r="B1638" i="2"/>
  <c r="B2569" i="2"/>
  <c r="B2546" i="2"/>
  <c r="B1262" i="2"/>
  <c r="B2975" i="2"/>
  <c r="B1497" i="2"/>
  <c r="B2967" i="2"/>
  <c r="B292" i="2"/>
  <c r="B2409" i="2"/>
  <c r="B1181" i="2"/>
  <c r="B460" i="2"/>
  <c r="B2678" i="2"/>
  <c r="B610" i="2"/>
  <c r="B2646" i="2"/>
  <c r="B652" i="2"/>
  <c r="B506" i="2"/>
  <c r="B569" i="2"/>
  <c r="B59" i="2"/>
  <c r="B631" i="2"/>
  <c r="B2989" i="2"/>
  <c r="B580" i="2"/>
  <c r="B264" i="2"/>
  <c r="B34" i="2"/>
  <c r="B1021" i="2"/>
  <c r="B40" i="2"/>
  <c r="B95" i="2"/>
  <c r="B232" i="2"/>
  <c r="B564" i="2"/>
  <c r="B256" i="2"/>
  <c r="B1083" i="2"/>
  <c r="B303" i="2"/>
  <c r="B57" i="2"/>
  <c r="B115" i="2"/>
  <c r="B3045" i="2"/>
  <c r="B695" i="2"/>
  <c r="B585" i="2"/>
  <c r="B14" i="2"/>
  <c r="B1114" i="2"/>
  <c r="B672" i="2"/>
  <c r="B43" i="2"/>
  <c r="B2012" i="2"/>
  <c r="B1310" i="2"/>
  <c r="B126" i="2"/>
  <c r="B1549" i="2"/>
  <c r="B1677" i="2"/>
  <c r="B3212" i="2"/>
  <c r="B2401" i="2"/>
  <c r="B2697" i="2"/>
  <c r="B858" i="2"/>
  <c r="B2302" i="2"/>
  <c r="B3025" i="2"/>
  <c r="B1774" i="2"/>
  <c r="B190" i="2"/>
  <c r="B1146" i="2"/>
  <c r="B1505" i="2"/>
  <c r="B3034" i="2"/>
  <c r="B1026" i="2"/>
  <c r="B504" i="2"/>
  <c r="B711" i="2"/>
  <c r="B282" i="2"/>
  <c r="B191" i="2"/>
  <c r="B149" i="2"/>
  <c r="B250" i="2"/>
  <c r="B377" i="2"/>
  <c r="B616" i="2"/>
  <c r="B2840" i="2"/>
  <c r="B2449" i="2"/>
  <c r="B208" i="2"/>
  <c r="B86" i="2"/>
  <c r="B220" i="2"/>
  <c r="B388" i="2"/>
  <c r="B221" i="2"/>
  <c r="B3149" i="2"/>
  <c r="B463" i="2"/>
  <c r="B44" i="2"/>
  <c r="B153" i="2"/>
  <c r="B952" i="2"/>
  <c r="B157" i="2"/>
  <c r="B869" i="2"/>
  <c r="B1810" i="2"/>
  <c r="B1578" i="2"/>
  <c r="B942" i="2"/>
  <c r="B1713" i="2"/>
  <c r="B173" i="2"/>
  <c r="B2458" i="2"/>
  <c r="B646" i="2"/>
  <c r="B170" i="2"/>
  <c r="B10" i="2"/>
  <c r="B971" i="2"/>
  <c r="B873" i="2"/>
  <c r="B46" i="2"/>
  <c r="B2661" i="2"/>
  <c r="B1813" i="2"/>
  <c r="B2752" i="2"/>
  <c r="B3179" i="2"/>
  <c r="B198" i="2"/>
  <c r="B2595" i="2"/>
  <c r="B2645" i="2"/>
  <c r="B2197" i="2"/>
  <c r="B2859" i="2"/>
  <c r="B3140" i="2"/>
  <c r="B2314" i="2"/>
  <c r="B354" i="2"/>
  <c r="B667" i="2"/>
  <c r="B552" i="2"/>
  <c r="B871" i="2"/>
  <c r="B812" i="2"/>
  <c r="B763" i="2"/>
  <c r="B81" i="2"/>
  <c r="B2009" i="2"/>
  <c r="B1023" i="2"/>
  <c r="B828" i="2"/>
  <c r="B829" i="2"/>
  <c r="B55" i="2"/>
  <c r="B1031" i="2"/>
  <c r="B185" i="2"/>
  <c r="B1089" i="2"/>
  <c r="B544" i="2"/>
  <c r="B27" i="2"/>
  <c r="B467" i="2"/>
  <c r="B209" i="2"/>
  <c r="B222" i="2"/>
  <c r="B598" i="2"/>
  <c r="B1543" i="2"/>
  <c r="B1889" i="2"/>
  <c r="B1787" i="2"/>
  <c r="B2810" i="2"/>
  <c r="B1527" i="2"/>
  <c r="B2237" i="2"/>
  <c r="B2172" i="2"/>
  <c r="B1906" i="2"/>
  <c r="B2684" i="2"/>
  <c r="B2674" i="2"/>
  <c r="B998" i="2"/>
  <c r="B2281" i="2"/>
  <c r="B806" i="2"/>
  <c r="B988" i="2"/>
  <c r="B1975" i="2"/>
  <c r="B457" i="2"/>
  <c r="B2372" i="2"/>
  <c r="B2741" i="2"/>
  <c r="B529" i="2"/>
  <c r="B1559" i="2"/>
  <c r="B537" i="2"/>
  <c r="B1145" i="2"/>
  <c r="B770" i="2"/>
  <c r="B386" i="2"/>
  <c r="B239" i="2"/>
  <c r="B1030" i="2"/>
  <c r="B1474" i="2"/>
  <c r="B202" i="2"/>
  <c r="B2899" i="2"/>
  <c r="B1183" i="2"/>
  <c r="B958" i="2"/>
  <c r="B658" i="2"/>
  <c r="B1730" i="2"/>
  <c r="B764" i="2"/>
  <c r="B453" i="2"/>
  <c r="B3073" i="2"/>
  <c r="B611" i="2"/>
  <c r="B1096" i="2"/>
  <c r="B930" i="2"/>
  <c r="B3203" i="2"/>
  <c r="B71" i="2"/>
  <c r="B2564" i="2"/>
  <c r="B1680" i="2"/>
  <c r="B2868" i="2"/>
  <c r="B2380" i="2"/>
  <c r="B739" i="2"/>
  <c r="B2603" i="2"/>
  <c r="B2344" i="2"/>
  <c r="B420" i="2"/>
  <c r="B2392" i="2"/>
  <c r="B1907" i="2"/>
  <c r="B776" i="2"/>
  <c r="B2738" i="2"/>
  <c r="B642" i="2"/>
  <c r="B2484" i="2"/>
  <c r="B417" i="2"/>
  <c r="B1797" i="2"/>
  <c r="B2145" i="2"/>
  <c r="B1102" i="2"/>
  <c r="B2551" i="2"/>
  <c r="B909" i="2"/>
  <c r="B1091" i="2"/>
  <c r="B582" i="2"/>
  <c r="B2622" i="2"/>
  <c r="B203" i="2"/>
  <c r="B565" i="2"/>
  <c r="B790" i="2"/>
  <c r="B3036" i="2"/>
  <c r="B479" i="2"/>
  <c r="B1184" i="2"/>
  <c r="B1039" i="2"/>
  <c r="B877" i="2"/>
  <c r="B922" i="2"/>
  <c r="B486" i="2"/>
  <c r="B1373" i="2"/>
  <c r="B545" i="2"/>
  <c r="B297" i="2"/>
  <c r="B692" i="2"/>
  <c r="B194" i="2"/>
  <c r="B935" i="2"/>
  <c r="B635" i="2"/>
  <c r="B52" i="2"/>
  <c r="B3102" i="2"/>
  <c r="B3201" i="2"/>
  <c r="B3209" i="2"/>
  <c r="B213" i="2"/>
  <c r="B391" i="2"/>
  <c r="B690" i="2"/>
  <c r="B2769" i="2"/>
  <c r="B2421" i="2"/>
  <c r="B2336" i="2"/>
  <c r="B1058" i="2"/>
  <c r="B892" i="2"/>
  <c r="B2036" i="2"/>
  <c r="B319" i="2"/>
  <c r="B700" i="2"/>
  <c r="B160" i="2"/>
  <c r="B2545" i="2"/>
  <c r="B51" i="2"/>
  <c r="B482" i="2"/>
  <c r="B142" i="2"/>
  <c r="B566" i="2"/>
  <c r="B779" i="2"/>
  <c r="B361" i="2"/>
  <c r="B2431" i="2"/>
  <c r="B1569" i="2"/>
  <c r="B1598" i="2"/>
  <c r="B1094" i="2"/>
  <c r="B979" i="2"/>
  <c r="B1162" i="2"/>
  <c r="B3106" i="2"/>
  <c r="B35" i="2"/>
  <c r="B535" i="2"/>
  <c r="B1711" i="2"/>
  <c r="B145" i="2"/>
  <c r="B868" i="2"/>
  <c r="B845" i="2"/>
  <c r="B811" i="2"/>
  <c r="B234" i="2"/>
  <c r="B750" i="2"/>
  <c r="B1000" i="2"/>
  <c r="B1196" i="2"/>
  <c r="B925" i="2"/>
  <c r="B987" i="2"/>
  <c r="B277" i="2"/>
  <c r="B797" i="2"/>
  <c r="B314" i="2"/>
  <c r="B2997" i="2"/>
  <c r="B305" i="2"/>
  <c r="B196" i="2"/>
  <c r="B1947" i="2"/>
  <c r="B2829" i="2"/>
  <c r="B1045" i="2"/>
  <c r="B510" i="2"/>
  <c r="B167" i="2"/>
  <c r="B241" i="2"/>
  <c r="B328" i="2"/>
  <c r="B2215" i="2"/>
  <c r="B1169" i="2"/>
  <c r="B802" i="2"/>
  <c r="B526" i="2"/>
  <c r="B607" i="2"/>
  <c r="B1944" i="2"/>
  <c r="B2478" i="2"/>
  <c r="B3028" i="2"/>
  <c r="B1018" i="2"/>
  <c r="B477" i="2"/>
  <c r="B900" i="2"/>
  <c r="B624" i="2"/>
  <c r="B1125" i="2"/>
  <c r="B152" i="2"/>
  <c r="B304" i="2"/>
  <c r="B2206" i="2"/>
  <c r="B347" i="2"/>
  <c r="B866" i="2"/>
  <c r="B943" i="2"/>
  <c r="B887" i="2"/>
  <c r="B192" i="2"/>
  <c r="B954" i="2"/>
  <c r="B378" i="2"/>
  <c r="B3186" i="2"/>
  <c r="B1180" i="2"/>
  <c r="B140" i="2"/>
  <c r="B1930" i="2"/>
  <c r="B1110" i="2"/>
  <c r="B1274" i="2"/>
  <c r="B272" i="2"/>
  <c r="B938" i="2"/>
  <c r="B18" i="2"/>
  <c r="B168" i="2"/>
  <c r="B671" i="2"/>
  <c r="B612" i="2"/>
  <c r="B2043" i="2"/>
  <c r="B421" i="2"/>
  <c r="B2946" i="2"/>
  <c r="B743" i="2"/>
  <c r="B307" i="2"/>
  <c r="B385" i="2"/>
  <c r="B684" i="2"/>
  <c r="B682" i="2"/>
  <c r="B105" i="2"/>
  <c r="B423" i="2"/>
  <c r="B2373" i="2"/>
  <c r="B359" i="2"/>
  <c r="B1609" i="2"/>
  <c r="B2731" i="2"/>
  <c r="B832" i="2"/>
  <c r="B389" i="2"/>
  <c r="B2910" i="2"/>
  <c r="B204" i="2"/>
  <c r="B3165" i="2"/>
  <c r="B1113" i="2"/>
  <c r="B977" i="2"/>
  <c r="B379" i="2"/>
  <c r="B2977" i="2"/>
  <c r="B362" i="2"/>
  <c r="B1069" i="2"/>
  <c r="B9" i="2"/>
  <c r="B975" i="2"/>
  <c r="B1015" i="2"/>
  <c r="B606" i="2"/>
  <c r="B2974" i="2"/>
  <c r="B2775" i="2"/>
  <c r="B1189" i="2"/>
  <c r="B1038" i="2"/>
  <c r="B792" i="2"/>
  <c r="B862" i="2"/>
  <c r="B2523" i="2"/>
  <c r="B3189" i="2"/>
  <c r="B643" i="2"/>
  <c r="B788" i="2"/>
  <c r="B730" i="2"/>
  <c r="B2066" i="2"/>
  <c r="B853" i="2"/>
  <c r="B312" i="2"/>
  <c r="B237" i="2"/>
  <c r="B2807" i="2"/>
  <c r="B490" i="2"/>
  <c r="B2420" i="2"/>
  <c r="B186" i="2"/>
  <c r="B42" i="2"/>
  <c r="B1397" i="2"/>
  <c r="B446" i="2"/>
  <c r="B984" i="2"/>
  <c r="B638" i="2"/>
  <c r="B2589" i="2"/>
  <c r="B1128" i="2"/>
  <c r="B1337" i="2"/>
  <c r="B1399" i="2"/>
  <c r="B2889" i="2"/>
  <c r="B2978" i="2"/>
  <c r="B1152" i="2"/>
  <c r="B375" i="2"/>
  <c r="B2090" i="2"/>
  <c r="B592" i="2"/>
  <c r="B3126" i="2"/>
  <c r="B205" i="2"/>
  <c r="B2203" i="2"/>
  <c r="B321" i="2"/>
  <c r="B1458" i="2"/>
  <c r="B199" i="2"/>
  <c r="B757" i="2"/>
  <c r="B493" i="2"/>
  <c r="B1767" i="2"/>
  <c r="B458" i="2"/>
  <c r="B992" i="2"/>
  <c r="B950" i="2"/>
  <c r="B826" i="2"/>
  <c r="B2205" i="2"/>
  <c r="B777" i="2"/>
  <c r="B1981" i="2"/>
  <c r="B418" i="2"/>
  <c r="B1433" i="2"/>
  <c r="B227" i="2"/>
  <c r="B1653" i="2"/>
  <c r="B1166" i="2"/>
  <c r="B1917" i="2"/>
  <c r="B50" i="2"/>
  <c r="B543" i="2"/>
  <c r="B1105" i="2"/>
  <c r="B259" i="2"/>
  <c r="B2996" i="2"/>
  <c r="B1440" i="2"/>
  <c r="B337" i="2"/>
  <c r="B344" i="2"/>
  <c r="B1041" i="2"/>
  <c r="B1364" i="2"/>
  <c r="B856" i="2"/>
  <c r="B538" i="2"/>
  <c r="B1143" i="2"/>
  <c r="B1248" i="2"/>
  <c r="B653" i="2"/>
  <c r="B3086" i="2"/>
  <c r="B2468" i="2"/>
  <c r="B3226" i="2"/>
  <c r="B37" i="2"/>
  <c r="B3105" i="2"/>
  <c r="B251" i="2"/>
  <c r="B33" i="2"/>
  <c r="B2823" i="2"/>
  <c r="B302" i="2"/>
  <c r="B2623" i="2"/>
  <c r="B390" i="2"/>
  <c r="B941" i="2"/>
  <c r="B599" i="2"/>
  <c r="B2212" i="2"/>
  <c r="B127" i="2"/>
  <c r="B1342" i="2"/>
  <c r="B369" i="2"/>
  <c r="B466" i="2"/>
  <c r="B558" i="2"/>
  <c r="B2689" i="2"/>
  <c r="B665" i="2"/>
  <c r="B1675" i="2"/>
  <c r="B1783" i="2"/>
  <c r="B2865" i="2"/>
  <c r="B1001" i="2"/>
  <c r="B1161" i="2"/>
  <c r="B131" i="2"/>
  <c r="B677" i="2"/>
  <c r="B1063" i="2"/>
  <c r="B573" i="2"/>
  <c r="B615" i="2"/>
  <c r="B76" i="2"/>
  <c r="B651" i="2"/>
  <c r="B1235" i="2"/>
  <c r="B1812" i="2"/>
  <c r="B106" i="2"/>
  <c r="B1226" i="2"/>
  <c r="B568" i="2"/>
  <c r="B400" i="2"/>
  <c r="B147" i="2"/>
  <c r="B1062" i="2"/>
  <c r="B207" i="2"/>
  <c r="B623" i="2"/>
  <c r="B697" i="2"/>
  <c r="B3168" i="2"/>
  <c r="B1742" i="2"/>
  <c r="B534" i="2"/>
  <c r="B918" i="2"/>
  <c r="B488" i="2"/>
  <c r="B2668" i="2"/>
  <c r="B659" i="2"/>
  <c r="B1294" i="2"/>
  <c r="B705" i="2"/>
  <c r="B532" i="2"/>
  <c r="B3215" i="2"/>
  <c r="B2341" i="2"/>
  <c r="B923" i="2"/>
  <c r="B2647" i="2"/>
  <c r="B2526" i="2"/>
  <c r="B32" i="2"/>
  <c r="B271" i="2"/>
  <c r="B3018" i="2"/>
  <c r="B2278" i="2"/>
  <c r="B1781" i="2"/>
  <c r="B2911" i="2"/>
  <c r="B1172" i="2"/>
  <c r="B2563" i="2"/>
  <c r="B1068" i="2"/>
  <c r="B679" i="2"/>
  <c r="B898" i="2"/>
  <c r="B3007" i="2"/>
  <c r="B531" i="2"/>
  <c r="B2209" i="2"/>
  <c r="B1837" i="2"/>
  <c r="B782" i="2"/>
  <c r="B908" i="2"/>
  <c r="B327" i="2"/>
  <c r="B451" i="2"/>
  <c r="B990" i="2"/>
  <c r="B461" i="2"/>
  <c r="B2369" i="2"/>
  <c r="B1579" i="2"/>
  <c r="B519" i="2"/>
  <c r="B65" i="2"/>
  <c r="B155" i="2"/>
  <c r="B187" i="2"/>
  <c r="B1022" i="2"/>
  <c r="B641" i="2"/>
  <c r="B581" i="2"/>
  <c r="B3142" i="2"/>
  <c r="B2970" i="2"/>
  <c r="B212" i="2"/>
  <c r="B1065" i="2"/>
  <c r="B699" i="2"/>
  <c r="B130" i="2"/>
  <c r="B815" i="2"/>
  <c r="B287" i="2"/>
  <c r="B2665" i="2"/>
  <c r="B808" i="2"/>
  <c r="B959" i="2"/>
  <c r="B265" i="2"/>
  <c r="B2612" i="2"/>
  <c r="B285" i="2"/>
  <c r="B893" i="2"/>
  <c r="B507" i="2"/>
  <c r="B2370" i="2"/>
  <c r="B438" i="2"/>
  <c r="B838" i="2"/>
  <c r="B2142" i="2"/>
  <c r="B1029" i="2"/>
  <c r="B3063" i="2"/>
  <c r="B1539" i="2"/>
  <c r="B101" i="2"/>
  <c r="B60" i="2"/>
  <c r="B902" i="2"/>
  <c r="B180" i="2"/>
  <c r="B693" i="2"/>
  <c r="B1155" i="2"/>
  <c r="B416" i="2"/>
  <c r="B210" i="2"/>
  <c r="B927" i="2"/>
  <c r="B1521" i="2"/>
  <c r="B69" i="2"/>
  <c r="B1077" i="2"/>
  <c r="B1992" i="2"/>
  <c r="B2998" i="2"/>
  <c r="B114" i="2"/>
  <c r="B22" i="2"/>
  <c r="B1008" i="2"/>
  <c r="B1381" i="2"/>
  <c r="B2710" i="2"/>
  <c r="B123" i="2"/>
  <c r="B2382" i="2"/>
  <c r="B933" i="2"/>
  <c r="B823" i="2"/>
  <c r="B80" i="2"/>
  <c r="B936" i="2"/>
  <c r="B574" i="2"/>
  <c r="B820" i="2"/>
  <c r="B2782" i="2"/>
  <c r="B726" i="2"/>
  <c r="B447" i="2"/>
  <c r="B13" i="2"/>
  <c r="B1005" i="2"/>
  <c r="B972" i="2"/>
  <c r="B236" i="2"/>
  <c r="B673" i="2"/>
  <c r="B980" i="2"/>
  <c r="B708" i="2"/>
  <c r="B2081" i="2"/>
  <c r="B1028" i="2"/>
  <c r="B84" i="2"/>
  <c r="B317" i="2"/>
  <c r="B102" i="2"/>
  <c r="B1582" i="2"/>
  <c r="B2953" i="2"/>
  <c r="B1087" i="2"/>
  <c r="B111" i="2"/>
  <c r="B433" i="2"/>
  <c r="B2386" i="2"/>
  <c r="B3016" i="2"/>
  <c r="B591" i="2"/>
  <c r="B2300" i="2"/>
  <c r="B640" i="2"/>
  <c r="B999" i="2"/>
  <c r="B108" i="2"/>
  <c r="B2902" i="2"/>
  <c r="B3019" i="2"/>
  <c r="B63" i="2"/>
  <c r="B1027" i="2"/>
  <c r="B3118" i="2"/>
  <c r="B575" i="2"/>
  <c r="B785" i="2"/>
  <c r="B915" i="2"/>
  <c r="B3107" i="2"/>
  <c r="B2995" i="2"/>
  <c r="B217" i="2"/>
  <c r="B503" i="2"/>
  <c r="B594" i="2"/>
  <c r="B1402" i="2"/>
  <c r="B509" i="2"/>
  <c r="B1175" i="2"/>
  <c r="B822" i="2"/>
  <c r="B709" i="2"/>
  <c r="B563" i="2"/>
  <c r="B498" i="2"/>
  <c r="B176" i="2"/>
  <c r="B1455" i="2"/>
  <c r="B1336" i="2"/>
  <c r="B2986" i="2"/>
  <c r="B352" i="2"/>
  <c r="B1036" i="2"/>
  <c r="B901" i="2"/>
  <c r="B2663" i="2"/>
  <c r="B974" i="2"/>
  <c r="B970" i="2"/>
  <c r="B1193" i="2"/>
  <c r="B248" i="2"/>
  <c r="B1583" i="2"/>
  <c r="B445" i="2"/>
  <c r="B809" i="2"/>
  <c r="B2971" i="2"/>
  <c r="B1003" i="2"/>
  <c r="B1727" i="2"/>
  <c r="B733" i="2"/>
  <c r="B704" i="2"/>
  <c r="B2760" i="2"/>
  <c r="B1960" i="2"/>
  <c r="B439" i="2"/>
  <c r="B349" i="2"/>
  <c r="B1042" i="2"/>
  <c r="B833" i="2"/>
  <c r="B278" i="2"/>
  <c r="B929" i="2"/>
  <c r="B968" i="2"/>
  <c r="B1389" i="2"/>
  <c r="B166" i="2"/>
  <c r="B422" i="2"/>
  <c r="B372" i="2"/>
  <c r="B435" i="2"/>
  <c r="B99" i="2"/>
  <c r="H2" i="2" l="1"/>
  <c r="C3021" i="2" s="1"/>
  <c r="D3021" i="2" s="1"/>
  <c r="C188" i="2" l="1"/>
  <c r="D188" i="2" s="1"/>
  <c r="C548" i="2"/>
  <c r="D548" i="2" s="1"/>
  <c r="C3102" i="2"/>
  <c r="D3102" i="2" s="1"/>
  <c r="C3208" i="2"/>
  <c r="D3208" i="2" s="1"/>
  <c r="C2944" i="2"/>
  <c r="D2944" i="2" s="1"/>
  <c r="C2869" i="2"/>
  <c r="S2869" i="2" s="1"/>
  <c r="C3195" i="2"/>
  <c r="S3195" i="2" s="1"/>
  <c r="C3158" i="2"/>
  <c r="D3158" i="2" s="1"/>
  <c r="C1792" i="2"/>
  <c r="D1792" i="2" s="1"/>
  <c r="C3154" i="2"/>
  <c r="S3154" i="2" s="1"/>
  <c r="C1746" i="2"/>
  <c r="S1746" i="2" s="1"/>
  <c r="C2108" i="2"/>
  <c r="D2108" i="2" s="1"/>
  <c r="C2838" i="2"/>
  <c r="D2838" i="2" s="1"/>
  <c r="C1374" i="2"/>
  <c r="S1374" i="2" s="1"/>
  <c r="C1834" i="2"/>
  <c r="S1834" i="2" s="1"/>
  <c r="C2410" i="2"/>
  <c r="S2410" i="2" s="1"/>
  <c r="C2674" i="2"/>
  <c r="S2674" i="2" s="1"/>
  <c r="C1259" i="2"/>
  <c r="D1259" i="2" s="1"/>
  <c r="C1386" i="2"/>
  <c r="D1386" i="2" s="1"/>
  <c r="C2290" i="2"/>
  <c r="D2290" i="2" s="1"/>
  <c r="C1452" i="2"/>
  <c r="D1452" i="2" s="1"/>
  <c r="C384" i="2"/>
  <c r="D384" i="2" s="1"/>
  <c r="C2055" i="2"/>
  <c r="S2055" i="2" s="1"/>
  <c r="C2272" i="2"/>
  <c r="S2272" i="2" s="1"/>
  <c r="C2273" i="2"/>
  <c r="D2273" i="2" s="1"/>
  <c r="C2639" i="2"/>
  <c r="D2639" i="2" s="1"/>
  <c r="C1213" i="2"/>
  <c r="D1213" i="2" s="1"/>
  <c r="C881" i="2"/>
  <c r="S881" i="2" s="1"/>
  <c r="C71" i="2"/>
  <c r="S71" i="2" s="1"/>
  <c r="C699" i="2"/>
  <c r="D699" i="2" s="1"/>
  <c r="C2275" i="2"/>
  <c r="D2275" i="2" s="1"/>
  <c r="C1907" i="2"/>
  <c r="D1907" i="2" s="1"/>
  <c r="C3056" i="2"/>
  <c r="S3056" i="2" s="1"/>
  <c r="C407" i="2"/>
  <c r="D407" i="2" s="1"/>
  <c r="C623" i="2"/>
  <c r="D623" i="2" s="1"/>
  <c r="C420" i="2"/>
  <c r="D420" i="2" s="1"/>
  <c r="C436" i="2"/>
  <c r="D436" i="2" s="1"/>
  <c r="C86" i="2"/>
  <c r="D86" i="2" s="1"/>
  <c r="C647" i="2"/>
  <c r="D647" i="2" s="1"/>
  <c r="C1958" i="2"/>
  <c r="D1958" i="2" s="1"/>
  <c r="C2951" i="2"/>
  <c r="D2951" i="2" s="1"/>
  <c r="C2046" i="2"/>
  <c r="D2046" i="2" s="1"/>
  <c r="C3100" i="2"/>
  <c r="D3100" i="2" s="1"/>
  <c r="C90" i="2"/>
  <c r="D90" i="2" s="1"/>
  <c r="C1223" i="2"/>
  <c r="S1223" i="2" s="1"/>
  <c r="C1448" i="2"/>
  <c r="D1448" i="2" s="1"/>
  <c r="C2846" i="2"/>
  <c r="S2846" i="2" s="1"/>
  <c r="C889" i="2"/>
  <c r="D889" i="2" s="1"/>
  <c r="C2480" i="2"/>
  <c r="D2480" i="2" s="1"/>
  <c r="C2316" i="2"/>
  <c r="D2316" i="2" s="1"/>
  <c r="C2807" i="2"/>
  <c r="S2807" i="2" s="1"/>
  <c r="C2660" i="2"/>
  <c r="S2660" i="2" s="1"/>
  <c r="C1078" i="2"/>
  <c r="D1078" i="2" s="1"/>
  <c r="C757" i="2"/>
  <c r="D757" i="2" s="1"/>
  <c r="C846" i="2"/>
  <c r="D846" i="2" s="1"/>
  <c r="C1536" i="2"/>
  <c r="S1536" i="2" s="1"/>
  <c r="C1964" i="2"/>
  <c r="S1964" i="2" s="1"/>
  <c r="C2028" i="2"/>
  <c r="D2028" i="2" s="1"/>
  <c r="C1159" i="2"/>
  <c r="D1159" i="2" s="1"/>
  <c r="C884" i="2"/>
  <c r="D884" i="2" s="1"/>
  <c r="C604" i="2"/>
  <c r="D604" i="2" s="1"/>
  <c r="C134" i="2"/>
  <c r="D134" i="2" s="1"/>
  <c r="C1104" i="2"/>
  <c r="S1104" i="2" s="1"/>
  <c r="C1647" i="2"/>
  <c r="D1647" i="2" s="1"/>
  <c r="C287" i="2"/>
  <c r="D287" i="2" s="1"/>
  <c r="C1975" i="2"/>
  <c r="D1975" i="2" s="1"/>
  <c r="C2505" i="2"/>
  <c r="D2505" i="2" s="1"/>
  <c r="C243" i="2"/>
  <c r="D243" i="2" s="1"/>
  <c r="C2994" i="2"/>
  <c r="S2994" i="2" s="1"/>
  <c r="C1784" i="2"/>
  <c r="D1784" i="2" s="1"/>
  <c r="C650" i="2"/>
  <c r="D650" i="2" s="1"/>
  <c r="C1139" i="2"/>
  <c r="D1139" i="2" s="1"/>
  <c r="C2060" i="2"/>
  <c r="D2060" i="2" s="1"/>
  <c r="C2981" i="2"/>
  <c r="D2981" i="2" s="1"/>
  <c r="C2030" i="2"/>
  <c r="S2030" i="2" s="1"/>
  <c r="C2132" i="2"/>
  <c r="D2132" i="2" s="1"/>
  <c r="C3122" i="2"/>
  <c r="D3122" i="2" s="1"/>
  <c r="C1986" i="2"/>
  <c r="D1986" i="2" s="1"/>
  <c r="C3064" i="2"/>
  <c r="D3064" i="2" s="1"/>
  <c r="C695" i="2"/>
  <c r="D695" i="2" s="1"/>
  <c r="C3125" i="2"/>
  <c r="D3125" i="2" s="1"/>
  <c r="C213" i="2"/>
  <c r="D213" i="2" s="1"/>
  <c r="C1180" i="2"/>
  <c r="D1180" i="2" s="1"/>
  <c r="C2072" i="2"/>
  <c r="D2072" i="2" s="1"/>
  <c r="C1368" i="2"/>
  <c r="D1368" i="2" s="1"/>
  <c r="C36" i="2"/>
  <c r="D36" i="2" s="1"/>
  <c r="C1493" i="2"/>
  <c r="D1493" i="2" s="1"/>
  <c r="C2894" i="2"/>
  <c r="S2894" i="2" s="1"/>
  <c r="C2103" i="2"/>
  <c r="D2103" i="2" s="1"/>
  <c r="C2265" i="2"/>
  <c r="S2265" i="2" s="1"/>
  <c r="C2353" i="2"/>
  <c r="D2353" i="2" s="1"/>
  <c r="C1802" i="2"/>
  <c r="D1802" i="2" s="1"/>
  <c r="C33" i="2"/>
  <c r="D33" i="2" s="1"/>
  <c r="S3021" i="2"/>
  <c r="C2362" i="2"/>
  <c r="S2362" i="2" s="1"/>
  <c r="C1955" i="2"/>
  <c r="D1955" i="2" s="1"/>
  <c r="C1956" i="2"/>
  <c r="S1956" i="2" s="1"/>
  <c r="C1740" i="2"/>
  <c r="S1740" i="2" s="1"/>
  <c r="C169" i="2"/>
  <c r="D169" i="2" s="1"/>
  <c r="C170" i="2"/>
  <c r="S170" i="2" s="1"/>
  <c r="C1537" i="2"/>
  <c r="D1537" i="2" s="1"/>
  <c r="C712" i="2"/>
  <c r="D712" i="2" s="1"/>
  <c r="C429" i="2"/>
  <c r="D429" i="2" s="1"/>
  <c r="C858" i="2"/>
  <c r="D858" i="2" s="1"/>
  <c r="C3229" i="2"/>
  <c r="D3229" i="2" s="1"/>
  <c r="C1545" i="2"/>
  <c r="D1545" i="2" s="1"/>
  <c r="C2559" i="2"/>
  <c r="D2559" i="2" s="1"/>
  <c r="C3087" i="2"/>
  <c r="S3087" i="2" s="1"/>
  <c r="C267" i="2"/>
  <c r="D267" i="2" s="1"/>
  <c r="C1867" i="2"/>
  <c r="D1867" i="2" s="1"/>
  <c r="C2531" i="2"/>
  <c r="D2531" i="2" s="1"/>
  <c r="C951" i="2"/>
  <c r="D951" i="2" s="1"/>
  <c r="C2768" i="2"/>
  <c r="C2887" i="2"/>
  <c r="D2887" i="2" s="1"/>
  <c r="C396" i="2"/>
  <c r="S396" i="2" s="1"/>
  <c r="C1728" i="2"/>
  <c r="S1728" i="2" s="1"/>
  <c r="C2434" i="2"/>
  <c r="D2434" i="2" s="1"/>
  <c r="C3010" i="2"/>
  <c r="D3010" i="2" s="1"/>
  <c r="C3137" i="2"/>
  <c r="D3137" i="2" s="1"/>
  <c r="C2801" i="2"/>
  <c r="S2801" i="2" s="1"/>
  <c r="C2872" i="2"/>
  <c r="D2872" i="2" s="1"/>
  <c r="C1352" i="2"/>
  <c r="D1352" i="2" s="1"/>
  <c r="C329" i="2"/>
  <c r="S329" i="2" s="1"/>
  <c r="C2720" i="2"/>
  <c r="D2720" i="2" s="1"/>
  <c r="C2056" i="2"/>
  <c r="D2056" i="2" s="1"/>
  <c r="C1516" i="2"/>
  <c r="D1516" i="2" s="1"/>
  <c r="C1571" i="2"/>
  <c r="D1571" i="2" s="1"/>
  <c r="C2129" i="2"/>
  <c r="S2129" i="2" s="1"/>
  <c r="C1813" i="2"/>
  <c r="D1813" i="2" s="1"/>
  <c r="C447" i="2"/>
  <c r="D447" i="2" s="1"/>
  <c r="C1821" i="2"/>
  <c r="D1821" i="2" s="1"/>
  <c r="C498" i="2"/>
  <c r="D498" i="2" s="1"/>
  <c r="C1754" i="2"/>
  <c r="S1754" i="2" s="1"/>
  <c r="C2767" i="2"/>
  <c r="D2767" i="2" s="1"/>
  <c r="C311" i="2"/>
  <c r="D311" i="2" s="1"/>
  <c r="C459" i="2"/>
  <c r="S459" i="2" s="1"/>
  <c r="C2204" i="2"/>
  <c r="S2204" i="2" s="1"/>
  <c r="C2773" i="2"/>
  <c r="D2773" i="2" s="1"/>
  <c r="C913" i="2"/>
  <c r="D913" i="2" s="1"/>
  <c r="C1072" i="2"/>
  <c r="D1072" i="2" s="1"/>
  <c r="C2299" i="2"/>
  <c r="D2299" i="2" s="1"/>
  <c r="C1206" i="2"/>
  <c r="D1206" i="2" s="1"/>
  <c r="C1742" i="2"/>
  <c r="D1742" i="2" s="1"/>
  <c r="C980" i="2"/>
  <c r="D980" i="2" s="1"/>
  <c r="C2821" i="2"/>
  <c r="D2821" i="2" s="1"/>
  <c r="C3198" i="2"/>
  <c r="D3198" i="2" s="1"/>
  <c r="C2141" i="2"/>
  <c r="D2141" i="2" s="1"/>
  <c r="C1881" i="2"/>
  <c r="D1881" i="2" s="1"/>
  <c r="C674" i="2"/>
  <c r="D674" i="2" s="1"/>
  <c r="C714" i="2"/>
  <c r="D714" i="2" s="1"/>
  <c r="C1911" i="2"/>
  <c r="D1911" i="2" s="1"/>
  <c r="C2718" i="2"/>
  <c r="S2718" i="2" s="1"/>
  <c r="C1980" i="2"/>
  <c r="D1980" i="2" s="1"/>
  <c r="C443" i="2"/>
  <c r="D443" i="2" s="1"/>
  <c r="C1494" i="2"/>
  <c r="D1494" i="2" s="1"/>
  <c r="C2711" i="2"/>
  <c r="D2711" i="2" s="1"/>
  <c r="C195" i="2"/>
  <c r="D195" i="2" s="1"/>
  <c r="C737" i="2"/>
  <c r="D737" i="2" s="1"/>
  <c r="C2927" i="2"/>
  <c r="S2927" i="2" s="1"/>
  <c r="C1568" i="2"/>
  <c r="D1568" i="2" s="1"/>
  <c r="C1730" i="2"/>
  <c r="D1730" i="2" s="1"/>
  <c r="C482" i="2"/>
  <c r="D482" i="2" s="1"/>
  <c r="C2955" i="2"/>
  <c r="S2955" i="2" s="1"/>
  <c r="C3041" i="2"/>
  <c r="S3041" i="2" s="1"/>
  <c r="C1816" i="2"/>
  <c r="D1816" i="2" s="1"/>
  <c r="C1573" i="2"/>
  <c r="D1573" i="2" s="1"/>
  <c r="C1220" i="2"/>
  <c r="D1220" i="2" s="1"/>
  <c r="C2612" i="2"/>
  <c r="D2612" i="2" s="1"/>
  <c r="C2813" i="2"/>
  <c r="D2813" i="2" s="1"/>
  <c r="C2277" i="2"/>
  <c r="D2277" i="2" s="1"/>
  <c r="C984" i="2"/>
  <c r="D984" i="2" s="1"/>
  <c r="C1229" i="2"/>
  <c r="D1229" i="2" s="1"/>
  <c r="C1253" i="2"/>
  <c r="S1253" i="2" s="1"/>
  <c r="C144" i="2"/>
  <c r="D144" i="2" s="1"/>
  <c r="C693" i="2"/>
  <c r="D693" i="2" s="1"/>
  <c r="C424" i="2"/>
  <c r="S424" i="2" s="1"/>
  <c r="C2218" i="2"/>
  <c r="D2218" i="2" s="1"/>
  <c r="C1188" i="2"/>
  <c r="D1188" i="2" s="1"/>
  <c r="C969" i="2"/>
  <c r="D969" i="2" s="1"/>
  <c r="C1186" i="2"/>
  <c r="D1186" i="2" s="1"/>
  <c r="C253" i="2"/>
  <c r="S253" i="2" s="1"/>
  <c r="C2635" i="2"/>
  <c r="D2635" i="2" s="1"/>
  <c r="C3163" i="2"/>
  <c r="S3163" i="2" s="1"/>
  <c r="C2681" i="2"/>
  <c r="S2681" i="2" s="1"/>
  <c r="C2423" i="2"/>
  <c r="S2423" i="2" s="1"/>
  <c r="C70" i="2"/>
  <c r="D70" i="2" s="1"/>
  <c r="C3079" i="2"/>
  <c r="D3079" i="2" s="1"/>
  <c r="C1097" i="2"/>
  <c r="D1097" i="2" s="1"/>
  <c r="C1694" i="2"/>
  <c r="D1694" i="2" s="1"/>
  <c r="C1651" i="2"/>
  <c r="D1651" i="2" s="1"/>
  <c r="C1687" i="2"/>
  <c r="D1687" i="2" s="1"/>
  <c r="C198" i="2"/>
  <c r="S198" i="2" s="1"/>
  <c r="C556" i="2"/>
  <c r="D556" i="2" s="1"/>
  <c r="S1159" i="2"/>
  <c r="C2130" i="2"/>
  <c r="D2130" i="2" s="1"/>
  <c r="C1130" i="2"/>
  <c r="D1130" i="2" s="1"/>
  <c r="C1696" i="2"/>
  <c r="D1696" i="2" s="1"/>
  <c r="C12" i="2"/>
  <c r="S12" i="2" s="1"/>
  <c r="C2960" i="2"/>
  <c r="D2960" i="2" s="1"/>
  <c r="C1552" i="2"/>
  <c r="D1552" i="2" s="1"/>
  <c r="C1908" i="2"/>
  <c r="C2118" i="2"/>
  <c r="D2118" i="2" s="1"/>
  <c r="C3216" i="2"/>
  <c r="C2961" i="2"/>
  <c r="D2961" i="2" s="1"/>
  <c r="C2414" i="2"/>
  <c r="C2376" i="2"/>
  <c r="C303" i="2"/>
  <c r="S303" i="2" s="1"/>
  <c r="C1256" i="2"/>
  <c r="S1256" i="2" s="1"/>
  <c r="C307" i="2"/>
  <c r="D307" i="2" s="1"/>
  <c r="C2946" i="2"/>
  <c r="D2946" i="2" s="1"/>
  <c r="C2279" i="2"/>
  <c r="C619" i="2"/>
  <c r="D619" i="2" s="1"/>
  <c r="C2266" i="2"/>
  <c r="D2266" i="2" s="1"/>
  <c r="S3102" i="2"/>
  <c r="C689" i="2"/>
  <c r="D689" i="2" s="1"/>
  <c r="C1040" i="2"/>
  <c r="D1040" i="2" s="1"/>
  <c r="S1213" i="2"/>
  <c r="C241" i="2"/>
  <c r="D241" i="2" s="1"/>
  <c r="S1386" i="2"/>
  <c r="C1558" i="2"/>
  <c r="D1558" i="2" s="1"/>
  <c r="C1852" i="2"/>
  <c r="C680" i="2"/>
  <c r="D680" i="2" s="1"/>
  <c r="C2529" i="2"/>
  <c r="C3012" i="2"/>
  <c r="C502" i="2"/>
  <c r="C2323" i="2"/>
  <c r="C2184" i="2"/>
  <c r="C149" i="2"/>
  <c r="C2442" i="2"/>
  <c r="C2495" i="2"/>
  <c r="C2082" i="2"/>
  <c r="C354" i="2"/>
  <c r="C1376" i="2"/>
  <c r="S188" i="2"/>
  <c r="C547" i="2"/>
  <c r="C2672" i="2"/>
  <c r="C2004" i="2"/>
  <c r="C2602" i="2"/>
  <c r="C3146" i="2"/>
  <c r="C3022" i="2"/>
  <c r="C1612" i="2"/>
  <c r="C1663" i="2"/>
  <c r="C1307" i="2"/>
  <c r="C222" i="2"/>
  <c r="C2101" i="2"/>
  <c r="C480" i="2"/>
  <c r="C1049" i="2"/>
  <c r="C362" i="2"/>
  <c r="C923" i="2"/>
  <c r="C1929" i="2"/>
  <c r="C3050" i="2"/>
  <c r="C1841" i="2"/>
  <c r="C2586" i="2"/>
  <c r="C1325" i="2"/>
  <c r="C1305" i="2"/>
  <c r="C1194" i="2"/>
  <c r="C2349" i="2"/>
  <c r="C2110" i="2"/>
  <c r="C964" i="2"/>
  <c r="C1048" i="2"/>
  <c r="C75" i="2"/>
  <c r="C2989" i="2"/>
  <c r="C2968" i="2"/>
  <c r="C2112" i="2"/>
  <c r="C2168" i="2"/>
  <c r="C1480" i="2"/>
  <c r="C3132" i="2"/>
  <c r="C1575" i="2"/>
  <c r="C1310" i="2"/>
  <c r="C2547" i="2"/>
  <c r="C172" i="2"/>
  <c r="C2973" i="2"/>
  <c r="C504" i="2"/>
  <c r="C2725" i="2"/>
  <c r="C155" i="2"/>
  <c r="C2549" i="2"/>
  <c r="C1371" i="2"/>
  <c r="C391" i="2"/>
  <c r="C801" i="2"/>
  <c r="C1590" i="2"/>
  <c r="C2766" i="2"/>
  <c r="C3194" i="2"/>
  <c r="C652" i="2"/>
  <c r="C855" i="2"/>
  <c r="C2489" i="2"/>
  <c r="C1528" i="2"/>
  <c r="C1755" i="2"/>
  <c r="C2330" i="2"/>
  <c r="C1303" i="2"/>
  <c r="C2599" i="2"/>
  <c r="C1239" i="2"/>
  <c r="C1997" i="2"/>
  <c r="C91" i="2"/>
  <c r="C2947" i="2"/>
  <c r="C1243" i="2"/>
  <c r="C2615" i="2"/>
  <c r="C627" i="2"/>
  <c r="C1513" i="2"/>
  <c r="C272" i="2"/>
  <c r="C3084" i="2"/>
  <c r="C1397" i="2"/>
  <c r="C1747" i="2"/>
  <c r="C382" i="2"/>
  <c r="C209" i="2"/>
  <c r="C1709" i="2"/>
  <c r="C386" i="2"/>
  <c r="C375" i="2"/>
  <c r="C2833" i="2"/>
  <c r="C2938" i="2"/>
  <c r="C611" i="2"/>
  <c r="C1896" i="2"/>
  <c r="C349" i="2"/>
  <c r="C1889" i="2"/>
  <c r="C2371" i="2"/>
  <c r="C2732" i="2"/>
  <c r="C406" i="2"/>
  <c r="C2772" i="2"/>
  <c r="C2979" i="2"/>
  <c r="C2654" i="2"/>
  <c r="C2328" i="2"/>
  <c r="C691" i="2"/>
  <c r="C670" i="2"/>
  <c r="C2748" i="2"/>
  <c r="C2303" i="2"/>
  <c r="C1918" i="2"/>
  <c r="C65" i="2"/>
  <c r="C3134" i="2"/>
  <c r="C814" i="2"/>
  <c r="C120" i="2"/>
  <c r="C2254" i="2"/>
  <c r="C2791" i="2"/>
  <c r="C2992" i="2"/>
  <c r="C2730" i="2"/>
  <c r="C2431" i="2"/>
  <c r="C560" i="2"/>
  <c r="C1205" i="2"/>
  <c r="C1853" i="2"/>
  <c r="C1828" i="2"/>
  <c r="C2847" i="2"/>
  <c r="C1428" i="2"/>
  <c r="C1707" i="2"/>
  <c r="C3058" i="2"/>
  <c r="C3013" i="2"/>
  <c r="C3212" i="2"/>
  <c r="C1089" i="2"/>
  <c r="C1581" i="2"/>
  <c r="C2384" i="2"/>
  <c r="C2166" i="2"/>
  <c r="C2408" i="2"/>
  <c r="C2206" i="2"/>
  <c r="C334" i="2"/>
  <c r="C81" i="2"/>
  <c r="C2780" i="2"/>
  <c r="C1815" i="2"/>
  <c r="C2648" i="2"/>
  <c r="C2306" i="2"/>
  <c r="C904" i="2"/>
  <c r="C2216" i="2"/>
  <c r="C3189" i="2"/>
  <c r="C1695" i="2"/>
  <c r="C1782" i="2"/>
  <c r="C2557" i="2"/>
  <c r="C1796" i="2"/>
  <c r="C937" i="2"/>
  <c r="C2824" i="2"/>
  <c r="C2049" i="2"/>
  <c r="C2515" i="2"/>
  <c r="C1439" i="2"/>
  <c r="C1189" i="2"/>
  <c r="C1891" i="2"/>
  <c r="C1287" i="2"/>
  <c r="C9" i="2"/>
  <c r="C2121" i="2"/>
  <c r="C1351" i="2"/>
  <c r="C2300" i="2"/>
  <c r="C219" i="2"/>
  <c r="C1962" i="2"/>
  <c r="C2415" i="2"/>
  <c r="C58" i="2"/>
  <c r="C2001" i="2"/>
  <c r="C566" i="2"/>
  <c r="C1060" i="2"/>
  <c r="C1045" i="2"/>
  <c r="C2467" i="2"/>
  <c r="C1224" i="2"/>
  <c r="C2259" i="2"/>
  <c r="C3167" i="2"/>
  <c r="C2568" i="2"/>
  <c r="C1739" i="2"/>
  <c r="C1115" i="2"/>
  <c r="C330" i="2"/>
  <c r="C1797" i="2"/>
  <c r="C1251" i="2"/>
  <c r="C1123" i="2"/>
  <c r="C1110" i="2"/>
  <c r="C99" i="2"/>
  <c r="C2774" i="2"/>
  <c r="C18" i="2"/>
  <c r="C408" i="2"/>
  <c r="C2736" i="2"/>
  <c r="C529" i="2"/>
  <c r="C2267" i="2"/>
  <c r="C1118" i="2"/>
  <c r="C1872" i="2"/>
  <c r="C3066" i="2"/>
  <c r="C2245" i="2"/>
  <c r="C109" i="2"/>
  <c r="C462" i="2"/>
  <c r="C2482" i="2"/>
  <c r="C103" i="2"/>
  <c r="C1944" i="2"/>
  <c r="C1667" i="2"/>
  <c r="C160" i="2"/>
  <c r="C2739" i="2"/>
  <c r="C2331" i="2"/>
  <c r="C3207" i="2"/>
  <c r="C2823" i="2"/>
  <c r="C2177" i="2"/>
  <c r="C67" i="2"/>
  <c r="C758" i="2"/>
  <c r="C1056" i="2"/>
  <c r="C1417" i="2"/>
  <c r="C2941" i="2"/>
  <c r="C1331" i="2"/>
  <c r="C40" i="2"/>
  <c r="C3067" i="2"/>
  <c r="C2634" i="2"/>
  <c r="C29" i="2"/>
  <c r="C77" i="2"/>
  <c r="C1496" i="2"/>
  <c r="C1042" i="2"/>
  <c r="C2957" i="2"/>
  <c r="C3191" i="2"/>
  <c r="C1051" i="2"/>
  <c r="C1808" i="2"/>
  <c r="C73" i="2"/>
  <c r="C1606" i="2"/>
  <c r="C3219" i="2"/>
  <c r="C3096" i="2"/>
  <c r="C789" i="2"/>
  <c r="C2878" i="2"/>
  <c r="C2345" i="2"/>
  <c r="C1613" i="2"/>
  <c r="C1311" i="2"/>
  <c r="C2461" i="2"/>
  <c r="C2147" i="2"/>
  <c r="C3104" i="2"/>
  <c r="C2494" i="2"/>
  <c r="C906" i="2"/>
  <c r="C2481" i="2"/>
  <c r="C337" i="2"/>
  <c r="C2590" i="2"/>
  <c r="C1435" i="2"/>
  <c r="C2845" i="2"/>
  <c r="C2200" i="2"/>
  <c r="C449" i="2"/>
  <c r="C1024" i="2"/>
  <c r="C2213" i="2"/>
  <c r="C2995" i="2"/>
  <c r="C2656" i="2"/>
  <c r="C108" i="2"/>
  <c r="C319" i="2"/>
  <c r="C145" i="2"/>
  <c r="C2967" i="2"/>
  <c r="C125" i="2"/>
  <c r="C299" i="2"/>
  <c r="C177" i="2"/>
  <c r="C2760" i="2"/>
  <c r="C2667" i="2"/>
  <c r="C2455" i="2"/>
  <c r="C2016" i="2"/>
  <c r="C3069" i="2"/>
  <c r="C180" i="2"/>
  <c r="C2354" i="2"/>
  <c r="C2260" i="2"/>
  <c r="C392" i="2"/>
  <c r="C1114" i="2"/>
  <c r="C586" i="2"/>
  <c r="C621" i="2"/>
  <c r="C682" i="2"/>
  <c r="C3070" i="2"/>
  <c r="C66" i="2"/>
  <c r="C2583" i="2"/>
  <c r="C1409" i="2"/>
  <c r="C2731" i="2"/>
  <c r="C435" i="2"/>
  <c r="C3180" i="2"/>
  <c r="C1517" i="2"/>
  <c r="C1490" i="2"/>
  <c r="C1915" i="2"/>
  <c r="C2523" i="2"/>
  <c r="C248" i="2"/>
  <c r="C2246" i="2"/>
  <c r="C932" i="2"/>
  <c r="C2304" i="2"/>
  <c r="C3178" i="2"/>
  <c r="C1515" i="2"/>
  <c r="C692" i="2"/>
  <c r="C1499" i="2"/>
  <c r="C1622" i="2"/>
  <c r="C2658" i="2"/>
  <c r="C2325" i="2"/>
  <c r="C197" i="2"/>
  <c r="C2444" i="2"/>
  <c r="C1298" i="2"/>
  <c r="C3177" i="2"/>
  <c r="C2296" i="2"/>
  <c r="C1683" i="2"/>
  <c r="C3088" i="2"/>
  <c r="C1731" i="2"/>
  <c r="C732" i="2"/>
  <c r="C76" i="2"/>
  <c r="C477" i="2"/>
  <c r="C3159" i="2"/>
  <c r="C640" i="2"/>
  <c r="C746" i="2"/>
  <c r="C3225" i="2"/>
  <c r="C829" i="2"/>
  <c r="C2333" i="2"/>
  <c r="C1532" i="2"/>
  <c r="C2630" i="2"/>
  <c r="C64" i="2"/>
  <c r="C1177" i="2"/>
  <c r="C322" i="2"/>
  <c r="C1812" i="2"/>
  <c r="C2874" i="2"/>
  <c r="C516" i="2"/>
  <c r="C2912" i="2"/>
  <c r="C106" i="2"/>
  <c r="C236" i="2"/>
  <c r="C2285" i="2"/>
  <c r="C3086" i="2"/>
  <c r="C1576" i="2"/>
  <c r="C2746" i="2"/>
  <c r="C1931" i="2"/>
  <c r="C3020" i="2"/>
  <c r="C1801" i="2"/>
  <c r="C1541" i="2"/>
  <c r="C970" i="2"/>
  <c r="C210" i="2"/>
  <c r="C1096" i="2"/>
  <c r="C2295" i="2"/>
  <c r="C1968" i="2"/>
  <c r="C897" i="2"/>
  <c r="C132" i="2"/>
  <c r="C1583" i="2"/>
  <c r="C2342" i="2"/>
  <c r="C41" i="2"/>
  <c r="C1195" i="2"/>
  <c r="C2282" i="2"/>
  <c r="C258" i="2"/>
  <c r="C244" i="2"/>
  <c r="C1248" i="2"/>
  <c r="C1723" i="2"/>
  <c r="C601" i="2"/>
  <c r="C1818" i="2"/>
  <c r="C2561" i="2"/>
  <c r="C2058" i="2"/>
  <c r="C1882" i="2"/>
  <c r="C2165" i="2"/>
  <c r="C515" i="2"/>
  <c r="C2678" i="2"/>
  <c r="C473" i="2"/>
  <c r="C2343" i="2"/>
  <c r="C1990" i="2"/>
  <c r="C1025" i="2"/>
  <c r="C1460" i="2"/>
  <c r="C3141" i="2"/>
  <c r="C174" i="2"/>
  <c r="C2183" i="2"/>
  <c r="C1863" i="2"/>
  <c r="C833" i="2"/>
  <c r="C2421" i="2"/>
  <c r="C85" i="2"/>
  <c r="C2126" i="2"/>
  <c r="C52" i="2"/>
  <c r="C933" i="2"/>
  <c r="C411" i="2"/>
  <c r="C2077" i="2"/>
  <c r="C230" i="2"/>
  <c r="C2344" i="2"/>
  <c r="C527" i="2"/>
  <c r="C1766" i="2"/>
  <c r="C1928" i="2"/>
  <c r="C509" i="2"/>
  <c r="C1242" i="2"/>
  <c r="C97" i="2"/>
  <c r="C2466" i="2"/>
  <c r="C1712" i="2"/>
  <c r="C2210" i="2"/>
  <c r="C1203" i="2"/>
  <c r="C2048" i="2"/>
  <c r="C2904" i="2"/>
  <c r="C1260" i="2"/>
  <c r="C45" i="2"/>
  <c r="C1847" i="2"/>
  <c r="C1839" i="2"/>
  <c r="C2702" i="2"/>
  <c r="C1098" i="2"/>
  <c r="C496" i="2"/>
  <c r="C1596" i="2"/>
  <c r="C2084" i="2"/>
  <c r="C2066" i="2"/>
  <c r="C387" i="2"/>
  <c r="C1858" i="2"/>
  <c r="C1216" i="2"/>
  <c r="C276" i="2"/>
  <c r="C802" i="2"/>
  <c r="C1992" i="2"/>
  <c r="C136" i="2"/>
  <c r="C2877" i="2"/>
  <c r="C2269" i="2"/>
  <c r="C2137" i="2"/>
  <c r="C553" i="2"/>
  <c r="C2585" i="2"/>
  <c r="C2450" i="2"/>
  <c r="C2600" i="2"/>
  <c r="C1281" i="2"/>
  <c r="C797" i="2"/>
  <c r="C721" i="2"/>
  <c r="C1196" i="2"/>
  <c r="C2253" i="2"/>
  <c r="C2237" i="2"/>
  <c r="C1301" i="2"/>
  <c r="C747" i="2"/>
  <c r="C2757" i="2"/>
  <c r="C2901" i="2"/>
  <c r="C2571" i="2"/>
  <c r="C2339" i="2"/>
  <c r="C749" i="2"/>
  <c r="C3032" i="2"/>
  <c r="C2873" i="2"/>
  <c r="C1941" i="2"/>
  <c r="C2044" i="2"/>
  <c r="C1140" i="2"/>
  <c r="C2475" i="2"/>
  <c r="C1898" i="2"/>
  <c r="C1657" i="2"/>
  <c r="C345" i="2"/>
  <c r="C1289" i="2"/>
  <c r="C2433" i="2"/>
  <c r="C2432" i="2"/>
  <c r="C1359" i="2"/>
  <c r="C2563" i="2"/>
  <c r="C2704" i="2"/>
  <c r="C2537" i="2"/>
  <c r="C1291" i="2"/>
  <c r="C1313" i="2"/>
  <c r="C142" i="2"/>
  <c r="C1202" i="2"/>
  <c r="C80" i="2"/>
  <c r="C2799" i="2"/>
  <c r="C2244" i="2"/>
  <c r="C2647" i="2"/>
  <c r="C582" i="2"/>
  <c r="C203" i="2"/>
  <c r="C2035" i="2"/>
  <c r="C59" i="2"/>
  <c r="C2885" i="2"/>
  <c r="C1526" i="2"/>
  <c r="C1321" i="2"/>
  <c r="C1862" i="2"/>
  <c r="C183" i="2"/>
  <c r="C2606" i="2"/>
  <c r="C1693" i="2"/>
  <c r="C2381" i="2"/>
  <c r="C522" i="2"/>
  <c r="C2511" i="2"/>
  <c r="C1888" i="2"/>
  <c r="C2800" i="2"/>
  <c r="C1518" i="2"/>
  <c r="C1788" i="2"/>
  <c r="C301" i="2"/>
  <c r="C567" i="2"/>
  <c r="C3038" i="2"/>
  <c r="C1151" i="2"/>
  <c r="C2064" i="2"/>
  <c r="C452" i="2"/>
  <c r="C2490" i="2"/>
  <c r="C269" i="2"/>
  <c r="C2695" i="2"/>
  <c r="C2070" i="2"/>
  <c r="C2997" i="2"/>
  <c r="C1210" i="2"/>
  <c r="C2986" i="2"/>
  <c r="C355" i="2"/>
  <c r="C3030" i="2"/>
  <c r="C1437" i="2"/>
  <c r="C2388" i="2"/>
  <c r="C2211" i="2"/>
  <c r="C3023" i="2"/>
  <c r="C3047" i="2"/>
  <c r="C1843" i="2"/>
  <c r="C1938" i="2"/>
  <c r="C3117" i="2"/>
  <c r="C2963" i="2"/>
  <c r="C2990" i="2"/>
  <c r="C2693" i="2"/>
  <c r="C232" i="2"/>
  <c r="C760" i="2"/>
  <c r="C270" i="2"/>
  <c r="C1478" i="2"/>
  <c r="C247" i="2"/>
  <c r="C47" i="2"/>
  <c r="C3113" i="2"/>
  <c r="C2294" i="2"/>
  <c r="C541" i="2"/>
  <c r="C781" i="2"/>
  <c r="C1620" i="2"/>
  <c r="C2232" i="2"/>
  <c r="C2111" i="2"/>
  <c r="C1616" i="2"/>
  <c r="C38" i="2"/>
  <c r="C2162" i="2"/>
  <c r="C1791" i="2"/>
  <c r="C3080" i="2"/>
  <c r="C790" i="2"/>
  <c r="C1391" i="2"/>
  <c r="C63" i="2"/>
  <c r="C1866" i="2"/>
  <c r="C905" i="2"/>
  <c r="C2631" i="2"/>
  <c r="C3140" i="2"/>
  <c r="C2486" i="2"/>
  <c r="C2007" i="2"/>
  <c r="C2788" i="2"/>
  <c r="C1827" i="2"/>
  <c r="C2636" i="2"/>
  <c r="C2741" i="2"/>
  <c r="C235" i="2"/>
  <c r="C2698" i="2"/>
  <c r="C512" i="2"/>
  <c r="C1013" i="2"/>
  <c r="C2409" i="2"/>
  <c r="C2867" i="2"/>
  <c r="C2570" i="2"/>
  <c r="C1320" i="2"/>
  <c r="C148" i="2"/>
  <c r="C2558" i="2"/>
  <c r="C2005" i="2"/>
  <c r="C2469" i="2"/>
  <c r="C157" i="2"/>
  <c r="C2470" i="2"/>
  <c r="C339" i="2"/>
  <c r="C717" i="2"/>
  <c r="C1580" i="2"/>
  <c r="C1523" i="2"/>
  <c r="C1966" i="2"/>
  <c r="C1785" i="2"/>
  <c r="C3196" i="2"/>
  <c r="C372" i="2"/>
  <c r="C2926" i="2"/>
  <c r="C105" i="2"/>
  <c r="C966" i="2"/>
  <c r="C2652" i="2"/>
  <c r="C2919" i="2"/>
  <c r="C2645" i="2"/>
  <c r="C2340" i="2"/>
  <c r="C2258" i="2"/>
  <c r="C490" i="2"/>
  <c r="C1090" i="2"/>
  <c r="C2336" i="2"/>
  <c r="C2913" i="2"/>
  <c r="C2812" i="2"/>
  <c r="C1296" i="2"/>
  <c r="C1586" i="2"/>
  <c r="C2929" i="2"/>
  <c r="C2996" i="2"/>
  <c r="C1890" i="2"/>
  <c r="C1991" i="2"/>
  <c r="C2255" i="2"/>
  <c r="C1475" i="2"/>
  <c r="C1191" i="2"/>
  <c r="C1166" i="2"/>
  <c r="C1142" i="2"/>
  <c r="C940" i="2"/>
  <c r="C2620" i="2"/>
  <c r="C1729" i="2"/>
  <c r="C388" i="2"/>
  <c r="C2036" i="2"/>
  <c r="C1378" i="2"/>
  <c r="C2085" i="2"/>
  <c r="C1106" i="2"/>
  <c r="C1861" i="2"/>
  <c r="C503" i="2"/>
  <c r="C1290" i="2"/>
  <c r="C1146" i="2"/>
  <c r="C1430" i="2"/>
  <c r="C1909" i="2"/>
  <c r="C2622" i="2"/>
  <c r="C648" i="2"/>
  <c r="C915" i="2"/>
  <c r="C3185" i="2"/>
  <c r="C1967" i="2"/>
  <c r="C1594" i="2"/>
  <c r="C2363" i="2"/>
  <c r="C771" i="2"/>
  <c r="C742" i="2"/>
  <c r="C1920" i="2"/>
  <c r="C696" i="2"/>
  <c r="C663" i="2"/>
  <c r="C1582" i="2"/>
  <c r="C1429" i="2"/>
  <c r="C1131" i="2"/>
  <c r="C2271" i="2"/>
  <c r="C2871" i="2"/>
  <c r="C655" i="2"/>
  <c r="C264" i="2"/>
  <c r="C1306" i="2"/>
  <c r="C2796" i="2"/>
  <c r="C536" i="2"/>
  <c r="C3101" i="2"/>
  <c r="C821" i="2"/>
  <c r="C1850" i="2"/>
  <c r="C1464" i="2"/>
  <c r="C2192" i="2"/>
  <c r="C1208" i="2"/>
  <c r="C2436" i="2"/>
  <c r="C1658" i="2"/>
  <c r="C3156" i="2"/>
  <c r="C2508" i="2"/>
  <c r="C1443" i="2"/>
  <c r="C2638" i="2"/>
  <c r="C2059" i="2"/>
  <c r="C2521" i="2"/>
  <c r="C517" i="2"/>
  <c r="C1385" i="2"/>
  <c r="C2214" i="2"/>
  <c r="C607" i="2"/>
  <c r="C2458" i="2"/>
  <c r="C638" i="2"/>
  <c r="C351" i="2"/>
  <c r="C1934" i="2"/>
  <c r="C2392" i="2"/>
  <c r="C426" i="2"/>
  <c r="C2018" i="2"/>
  <c r="C472" i="2"/>
  <c r="C2896" i="2"/>
  <c r="C1643" i="2"/>
  <c r="C3173" i="2"/>
  <c r="C1937" i="2"/>
  <c r="C1103" i="2"/>
  <c r="C1383" i="2"/>
  <c r="C3003" i="2"/>
  <c r="C620" i="2"/>
  <c r="C3190" i="2"/>
  <c r="C1649" i="2"/>
  <c r="C133" i="2"/>
  <c r="C363" i="2"/>
  <c r="C2623" i="2"/>
  <c r="C2514" i="2"/>
  <c r="C2522" i="2"/>
  <c r="C523" i="2"/>
  <c r="C2985" i="2"/>
  <c r="C513" i="2"/>
  <c r="C2503" i="2"/>
  <c r="C397" i="2"/>
  <c r="C1133" i="2"/>
  <c r="C1946" i="2"/>
  <c r="C302" i="2"/>
  <c r="C1632" i="2"/>
  <c r="C1173" i="2"/>
  <c r="C1543" i="2"/>
  <c r="C2154" i="2"/>
  <c r="C806" i="2"/>
  <c r="C215" i="2"/>
  <c r="C430" i="2"/>
  <c r="C1411" i="2"/>
  <c r="C238" i="2"/>
  <c r="C3083" i="2"/>
  <c r="C104" i="2"/>
  <c r="C3152" i="2"/>
  <c r="C2580" i="2"/>
  <c r="C1919" i="2"/>
  <c r="C2474" i="2"/>
  <c r="C2909" i="2"/>
  <c r="C49" i="2"/>
  <c r="C2403" i="2"/>
  <c r="C2593" i="2"/>
  <c r="C501" i="2"/>
  <c r="C2965" i="2"/>
  <c r="C1163" i="2"/>
  <c r="C3153" i="2"/>
  <c r="C2020" i="2"/>
  <c r="C3186" i="2"/>
  <c r="C2127" i="2"/>
  <c r="C2465" i="2"/>
  <c r="C159" i="2"/>
  <c r="C2668" i="2"/>
  <c r="C1611" i="2"/>
  <c r="C176" i="2"/>
  <c r="C2784" i="2"/>
  <c r="C2224" i="2"/>
  <c r="C2504" i="2"/>
  <c r="C1396" i="2"/>
  <c r="C359" i="2"/>
  <c r="C1183" i="2"/>
  <c r="C1459" i="2"/>
  <c r="C489" i="2"/>
  <c r="C466" i="2"/>
  <c r="C2135" i="2"/>
  <c r="C2367" i="2"/>
  <c r="C602" i="2"/>
  <c r="C899" i="2"/>
  <c r="C847" i="2"/>
  <c r="C1870" i="2"/>
  <c r="C2453" i="2"/>
  <c r="C189" i="2"/>
  <c r="C2619" i="2"/>
  <c r="C92" i="2"/>
  <c r="C2198" i="2"/>
  <c r="C2025" i="2"/>
  <c r="C292" i="2"/>
  <c r="C1233" i="2"/>
  <c r="C268" i="2"/>
  <c r="C87" i="2"/>
  <c r="C2281" i="2"/>
  <c r="C15" i="2"/>
  <c r="C2552" i="2"/>
  <c r="C2452" i="2"/>
  <c r="C2405" i="2"/>
  <c r="C657" i="2"/>
  <c r="C2416" i="2"/>
  <c r="C2844" i="2"/>
  <c r="C2017" i="2"/>
  <c r="C2484" i="2"/>
  <c r="C410" i="2"/>
  <c r="C2685" i="2"/>
  <c r="C2233" i="2"/>
  <c r="C1692" i="2"/>
  <c r="C2498" i="2"/>
  <c r="C2401" i="2"/>
  <c r="C2420" i="2"/>
  <c r="C2509" i="2"/>
  <c r="C2136" i="2"/>
  <c r="C2666" i="2"/>
  <c r="C1446" i="2"/>
  <c r="C1238" i="2"/>
  <c r="C3001" i="2"/>
  <c r="C20" i="2"/>
  <c r="C61" i="2"/>
  <c r="C2691" i="2"/>
  <c r="C343" i="2"/>
  <c r="C1116" i="2"/>
  <c r="C1468" i="2"/>
  <c r="C1107" i="2"/>
  <c r="C453" i="2"/>
  <c r="C3049" i="2"/>
  <c r="C883" i="2"/>
  <c r="C1887" i="2"/>
  <c r="C2451" i="2"/>
  <c r="C2031" i="2"/>
  <c r="C1566" i="2"/>
  <c r="C1204" i="2"/>
  <c r="C1625" i="2"/>
  <c r="C1833" i="2"/>
  <c r="C2805" i="2"/>
  <c r="C1333" i="2"/>
  <c r="C2229" i="2"/>
  <c r="C1660" i="2"/>
  <c r="C1367" i="2"/>
  <c r="C2389" i="2"/>
  <c r="C1715" i="2"/>
  <c r="C3228" i="2"/>
  <c r="C2690" i="2"/>
  <c r="C3193" i="2"/>
  <c r="C2594" i="2"/>
  <c r="C1661" i="2"/>
  <c r="C782" i="2"/>
  <c r="C2236" i="2"/>
  <c r="C511" i="2"/>
  <c r="C220" i="2"/>
  <c r="C661" i="2"/>
  <c r="C546" i="2"/>
  <c r="C2188" i="2"/>
  <c r="C818" i="2"/>
  <c r="C2447" i="2"/>
  <c r="C2792" i="2"/>
  <c r="C524" i="2"/>
  <c r="C1211" i="2"/>
  <c r="C595" i="2"/>
  <c r="C2144" i="2"/>
  <c r="C2661" i="2"/>
  <c r="C1337" i="2"/>
  <c r="C1806" i="2"/>
  <c r="C2238" i="2"/>
  <c r="C2393" i="2"/>
  <c r="C948" i="2"/>
  <c r="C1724" i="2"/>
  <c r="C1470" i="2"/>
  <c r="C17" i="2"/>
  <c r="C1773" i="2"/>
  <c r="C3204" i="2"/>
  <c r="C930" i="2"/>
  <c r="C51" i="2"/>
  <c r="C1794" i="2"/>
  <c r="C131" i="2"/>
  <c r="C2642" i="2"/>
  <c r="C2545" i="2"/>
  <c r="C173" i="2"/>
  <c r="C1199" i="2"/>
  <c r="C2820" i="2"/>
  <c r="C2148" i="2"/>
  <c r="C2426" i="2"/>
  <c r="C1565" i="2"/>
  <c r="C1772" i="2"/>
  <c r="C2208" i="2"/>
  <c r="C318" i="2"/>
  <c r="C1947" i="2"/>
  <c r="C3075" i="2"/>
  <c r="C960" i="2"/>
  <c r="C1401" i="2"/>
  <c r="C1212" i="2"/>
  <c r="C792" i="2"/>
  <c r="C1288" i="2"/>
  <c r="C151" i="2"/>
  <c r="C820" i="2"/>
  <c r="C1039" i="2"/>
  <c r="C93" i="2"/>
  <c r="C2930" i="2"/>
  <c r="C2518" i="2"/>
  <c r="C2029" i="2"/>
  <c r="C799" i="2"/>
  <c r="C1438" i="2"/>
  <c r="C82" i="2"/>
  <c r="C1382" i="2"/>
  <c r="C1837" i="2"/>
  <c r="C1509" i="2"/>
  <c r="C323" i="2"/>
  <c r="C1926" i="2"/>
  <c r="C1745" i="2"/>
  <c r="C138" i="2"/>
  <c r="C413" i="2"/>
  <c r="C3136" i="2"/>
  <c r="C1865" i="2"/>
  <c r="C3144" i="2"/>
  <c r="C1077" i="2"/>
  <c r="C528" i="2"/>
  <c r="C1996" i="2"/>
  <c r="C257" i="2"/>
  <c r="C2840" i="2"/>
  <c r="C486" i="2"/>
  <c r="C79" i="2"/>
  <c r="C1053" i="2"/>
  <c r="C1917" i="2"/>
  <c r="C245" i="2"/>
  <c r="C1708" i="2"/>
  <c r="C1733" i="2"/>
  <c r="C2551" i="2"/>
  <c r="C2609" i="2"/>
  <c r="C2321" i="2"/>
  <c r="C2721" i="2"/>
  <c r="C200" i="2"/>
  <c r="C10" i="2"/>
  <c r="C3231" i="2"/>
  <c r="C2829" i="2"/>
  <c r="C1387" i="2"/>
  <c r="C2688" i="2"/>
  <c r="C454" i="2"/>
  <c r="C1326" i="2"/>
  <c r="C2199" i="2"/>
  <c r="C891" i="2"/>
  <c r="C986" i="2"/>
  <c r="C1160" i="2"/>
  <c r="C455" i="2"/>
  <c r="C2777" i="2"/>
  <c r="C152" i="2"/>
  <c r="C1701" i="2"/>
  <c r="C2776" i="2"/>
  <c r="C1373" i="2"/>
  <c r="C2595" i="2"/>
  <c r="C1824" i="2"/>
  <c r="C1169" i="2"/>
  <c r="C2543" i="2"/>
  <c r="C918" i="2"/>
  <c r="C1605" i="2"/>
  <c r="C308" i="2"/>
  <c r="C2651" i="2"/>
  <c r="C637" i="2"/>
  <c r="C941" i="2"/>
  <c r="C2366" i="2"/>
  <c r="C767" i="2"/>
  <c r="C664" i="2"/>
  <c r="C1727" i="2"/>
  <c r="C644" i="2"/>
  <c r="C1703" i="2"/>
  <c r="C3015" i="2"/>
  <c r="C592" i="2"/>
  <c r="C2248" i="2"/>
  <c r="C1574" i="2"/>
  <c r="C2706" i="2"/>
  <c r="C212" i="2"/>
  <c r="C3031" i="2"/>
  <c r="C3002" i="2"/>
  <c r="C1900" i="2"/>
  <c r="C1379" i="2"/>
  <c r="C2984" i="2"/>
  <c r="C1155" i="2"/>
  <c r="C3168" i="2"/>
  <c r="C94" i="2"/>
  <c r="C2086" i="2"/>
  <c r="C1424" i="2"/>
  <c r="C193" i="2"/>
  <c r="C2268" i="2"/>
  <c r="C3111" i="2"/>
  <c r="C2832" i="2"/>
  <c r="C2092" i="2"/>
  <c r="C2853" i="2"/>
  <c r="C2264" i="2"/>
  <c r="C2897" i="2"/>
  <c r="C365" i="2"/>
  <c r="C2841" i="2"/>
  <c r="C1567" i="2"/>
  <c r="C2978" i="2"/>
  <c r="C2080" i="2"/>
  <c r="C2902" i="2"/>
  <c r="C378" i="2"/>
  <c r="C3221" i="2"/>
  <c r="C1389" i="2"/>
  <c r="C701" i="2"/>
  <c r="C606" i="2"/>
  <c r="C393" i="2"/>
  <c r="C493" i="2"/>
  <c r="C1245" i="2"/>
  <c r="C2755" i="2"/>
  <c r="C2032" i="2"/>
  <c r="C2317" i="2"/>
  <c r="C2653" i="2"/>
  <c r="C2588" i="2"/>
  <c r="C2286" i="2"/>
  <c r="C221" i="2"/>
  <c r="C570" i="2"/>
  <c r="C1332" i="2"/>
  <c r="C2729" i="2"/>
  <c r="C3138" i="2"/>
  <c r="C2418" i="2"/>
  <c r="C141" i="2"/>
  <c r="C2604" i="2"/>
  <c r="C1983" i="2"/>
  <c r="C2735" i="2"/>
  <c r="C2826" i="2"/>
  <c r="C2659" i="2"/>
  <c r="C1309" i="2"/>
  <c r="C2284" i="2"/>
  <c r="C1895" i="2"/>
  <c r="C2437" i="2"/>
  <c r="C779" i="2"/>
  <c r="C2133" i="2"/>
  <c r="C2577" i="2"/>
  <c r="C2675" i="2"/>
  <c r="C2786" i="2"/>
  <c r="C2988" i="2"/>
  <c r="C962" i="2"/>
  <c r="C3054" i="2"/>
  <c r="C2146" i="2"/>
  <c r="C321" i="2"/>
  <c r="C1344" i="2"/>
  <c r="C3139" i="2"/>
  <c r="C2274" i="2"/>
  <c r="C2161" i="2"/>
  <c r="C2603" i="2"/>
  <c r="C2186" i="2"/>
  <c r="C2687" i="2"/>
  <c r="C550" i="2"/>
  <c r="C1993" i="2"/>
  <c r="C1283" i="2"/>
  <c r="C628" i="2"/>
  <c r="C2942" i="2"/>
  <c r="C179" i="2"/>
  <c r="C2868" i="2"/>
  <c r="C609" i="2"/>
  <c r="C2789" i="2"/>
  <c r="C705" i="2"/>
  <c r="C2057" i="2"/>
  <c r="C1875" i="2"/>
  <c r="C280" i="2"/>
  <c r="C2747" i="2"/>
  <c r="C1010" i="2"/>
  <c r="C3098" i="2"/>
  <c r="C1003" i="2"/>
  <c r="C2900" i="2"/>
  <c r="C2579" i="2"/>
  <c r="C483" i="2"/>
  <c r="C2160" i="2"/>
  <c r="C2886" i="2"/>
  <c r="C1035" i="2"/>
  <c r="C1593" i="2"/>
  <c r="C643" i="2"/>
  <c r="C2065" i="2"/>
  <c r="C1741" i="2"/>
  <c r="C600" i="2"/>
  <c r="C2143" i="2"/>
  <c r="C13" i="2"/>
  <c r="C1910" i="2"/>
  <c r="C1084" i="2"/>
  <c r="C2828" i="2"/>
  <c r="C228" i="2"/>
  <c r="C293" i="2"/>
  <c r="C3143" i="2"/>
  <c r="C2241" i="2"/>
  <c r="C3220" i="2"/>
  <c r="C418" i="2"/>
  <c r="C1083" i="2"/>
  <c r="C641" i="2"/>
  <c r="C521" i="2"/>
  <c r="C3115" i="2"/>
  <c r="C540" i="2"/>
  <c r="C687" i="2"/>
  <c r="C681" i="2"/>
  <c r="C360" i="2"/>
  <c r="C957" i="2"/>
  <c r="C2592" i="2"/>
  <c r="C2109" i="2"/>
  <c r="C562" i="2"/>
  <c r="C1380" i="2"/>
  <c r="C1969" i="2"/>
  <c r="C475" i="2"/>
  <c r="C784" i="2"/>
  <c r="C2918" i="2"/>
  <c r="C2607" i="2"/>
  <c r="C1507" i="2"/>
  <c r="C370" i="2"/>
  <c r="C1848" i="2"/>
  <c r="C60" i="2"/>
  <c r="C2145" i="2"/>
  <c r="C1765" i="2"/>
  <c r="C1748" i="2"/>
  <c r="C2377" i="2"/>
  <c r="C3072" i="2"/>
  <c r="C1560" i="2"/>
  <c r="C1152" i="2"/>
  <c r="C11" i="2"/>
  <c r="C2975" i="2"/>
  <c r="C102" i="2"/>
  <c r="C2310" i="2"/>
  <c r="C1308" i="2"/>
  <c r="C1274" i="2"/>
  <c r="C2849" i="2"/>
  <c r="C1063" i="2"/>
  <c r="C642" i="2"/>
  <c r="C1164" i="2"/>
  <c r="C1346" i="2"/>
  <c r="C1524" i="2"/>
  <c r="C1970" i="2"/>
  <c r="C1749" i="2"/>
  <c r="C2932" i="2"/>
  <c r="C412" i="2"/>
  <c r="C2581" i="2"/>
  <c r="C341" i="2"/>
  <c r="C1503" i="2"/>
  <c r="C135" i="2"/>
  <c r="C1393" i="2"/>
  <c r="C441" i="2"/>
  <c r="C7" i="2"/>
  <c r="C748" i="2"/>
  <c r="C1634" i="2"/>
  <c r="C1153" i="2"/>
  <c r="C764" i="2"/>
  <c r="C2851" i="2"/>
  <c r="C2492" i="2"/>
  <c r="C1762" i="2"/>
  <c r="C283" i="2"/>
  <c r="C2278" i="2"/>
  <c r="C2716" i="2"/>
  <c r="C2550" i="2"/>
  <c r="C1172" i="2"/>
  <c r="C533" i="2"/>
  <c r="C3145" i="2"/>
  <c r="C369" i="2"/>
  <c r="C289" i="2"/>
  <c r="C1810" i="2"/>
  <c r="C2446" i="2"/>
  <c r="C3033" i="2"/>
  <c r="C2962" i="2"/>
  <c r="C201" i="2"/>
  <c r="C1038" i="2"/>
  <c r="C1820" i="2"/>
  <c r="C993" i="2"/>
  <c r="C162" i="2"/>
  <c r="C399" i="2"/>
  <c r="C2856" i="2"/>
  <c r="C1076" i="2"/>
  <c r="C1434" i="2"/>
  <c r="C2335" i="2"/>
  <c r="C1044" i="2"/>
  <c r="C191" i="2"/>
  <c r="C3028" i="2"/>
  <c r="C979" i="2"/>
  <c r="C2506" i="2"/>
  <c r="C2341" i="2"/>
  <c r="C129" i="2"/>
  <c r="C19" i="2"/>
  <c r="C1940" i="2"/>
  <c r="C2837" i="2"/>
  <c r="C114" i="2"/>
  <c r="C854" i="2"/>
  <c r="C1241" i="2"/>
  <c r="C2228" i="2"/>
  <c r="C2701" i="2"/>
  <c r="C2597" i="2"/>
  <c r="C1892" i="2"/>
  <c r="C2356" i="2"/>
  <c r="C3164" i="2"/>
  <c r="C596" i="2"/>
  <c r="C1357" i="2"/>
  <c r="C2945" i="2"/>
  <c r="C150" i="2"/>
  <c r="C1226" i="2"/>
  <c r="C35" i="2"/>
  <c r="C1705" i="2"/>
  <c r="C95" i="2"/>
  <c r="C2221" i="2"/>
  <c r="C1562" i="2"/>
  <c r="C1893" i="2"/>
  <c r="C2372" i="2"/>
  <c r="C1932" i="2"/>
  <c r="C3009" i="2"/>
  <c r="C237" i="2"/>
  <c r="C1673" i="2"/>
  <c r="C2094" i="2"/>
  <c r="C1640" i="2"/>
  <c r="C1751" i="2"/>
  <c r="C414" i="2"/>
  <c r="C2305" i="2"/>
  <c r="C2641" i="2"/>
  <c r="C1972" i="2"/>
  <c r="C1481" i="2"/>
  <c r="C1635" i="2"/>
  <c r="C2882" i="2"/>
  <c r="C2876" i="2"/>
  <c r="C2976" i="2"/>
  <c r="C3109" i="2"/>
  <c r="C298" i="2"/>
  <c r="C917" i="2"/>
  <c r="C6" i="2"/>
  <c r="C2993" i="2"/>
  <c r="C1825" i="2"/>
  <c r="C1227" i="2"/>
  <c r="C2682" i="2"/>
  <c r="C1122" i="2"/>
  <c r="C2703" i="2"/>
  <c r="C2859" i="2"/>
  <c r="C2157" i="2"/>
  <c r="C1589" i="2"/>
  <c r="C2223" i="2"/>
  <c r="C3172" i="2"/>
  <c r="C1542" i="2"/>
  <c r="C3106" i="2"/>
  <c r="C2879" i="2"/>
  <c r="C981" i="2"/>
  <c r="C376" i="2"/>
  <c r="C2171" i="2"/>
  <c r="C415" i="2"/>
  <c r="C1272" i="2"/>
  <c r="C297" i="2"/>
  <c r="C140" i="2"/>
  <c r="C1577" i="2"/>
  <c r="C2625" i="2"/>
  <c r="C2202" i="2"/>
  <c r="C2890" i="2"/>
  <c r="C1717" i="2"/>
  <c r="C654" i="2"/>
  <c r="C2553" i="2"/>
  <c r="C2386" i="2"/>
  <c r="C2008" i="2"/>
  <c r="C1419" i="2"/>
  <c r="C1744" i="2"/>
  <c r="C722" i="2"/>
  <c r="C999" i="2"/>
  <c r="C1901" i="2"/>
  <c r="C1777" i="2"/>
  <c r="C2000" i="2"/>
  <c r="C2491" i="2"/>
  <c r="C2006" i="2"/>
  <c r="C2068" i="2"/>
  <c r="C184" i="2"/>
  <c r="C2737" i="2"/>
  <c r="C2500" i="2"/>
  <c r="C1752" i="2"/>
  <c r="C3181" i="2"/>
  <c r="C2360" i="2"/>
  <c r="C98" i="2"/>
  <c r="C1086" i="2"/>
  <c r="C2906" i="2"/>
  <c r="C2424" i="2"/>
  <c r="C700" i="2"/>
  <c r="C1144" i="2"/>
  <c r="C615" i="2"/>
  <c r="C2814" i="2"/>
  <c r="C1786" i="2"/>
  <c r="C379" i="2"/>
  <c r="C1109" i="2"/>
  <c r="C1912" i="2"/>
  <c r="C2435" i="2"/>
  <c r="C2754" i="2"/>
  <c r="C2276" i="2"/>
  <c r="C2680" i="2"/>
  <c r="C2351" i="2"/>
  <c r="C830" i="2"/>
  <c r="C1842" i="2"/>
  <c r="C1678" i="2"/>
  <c r="C2037" i="2"/>
  <c r="C787" i="2"/>
  <c r="C2542" i="2"/>
  <c r="C468" i="2"/>
  <c r="C2861" i="2"/>
  <c r="C2923" i="2"/>
  <c r="C786" i="2"/>
  <c r="C1795" i="2"/>
  <c r="C1441" i="2"/>
  <c r="C1484" i="2"/>
  <c r="C1736" i="2"/>
  <c r="C679" i="2"/>
  <c r="C608" i="2"/>
  <c r="C320" i="2"/>
  <c r="C2616" i="2"/>
  <c r="C1617" i="2"/>
  <c r="C492" i="2"/>
  <c r="C2205" i="2"/>
  <c r="C769" i="2"/>
  <c r="C2368" i="2"/>
  <c r="C69" i="2"/>
  <c r="C2337" i="2"/>
  <c r="C2307" i="2"/>
  <c r="C2457" i="2"/>
  <c r="C2387" i="2"/>
  <c r="C635" i="2"/>
  <c r="C2347" i="2"/>
  <c r="C1033" i="2"/>
  <c r="C2538" i="2"/>
  <c r="C1878" i="2"/>
  <c r="C1699" i="2"/>
  <c r="C1422" i="2"/>
  <c r="C2357" i="2"/>
  <c r="C2870" i="2"/>
  <c r="C2742" i="2"/>
  <c r="C716" i="2"/>
  <c r="C2249" i="2"/>
  <c r="C662" i="2"/>
  <c r="C1267" i="2"/>
  <c r="C796" i="2"/>
  <c r="C1432" i="2"/>
  <c r="C3151" i="2"/>
  <c r="C1304" i="2"/>
  <c r="C336" i="2"/>
  <c r="C599" i="2"/>
  <c r="C534" i="2"/>
  <c r="C2105" i="2"/>
  <c r="C1778" i="2"/>
  <c r="C1883" i="2"/>
  <c r="C2412" i="2"/>
  <c r="C1971" i="2"/>
  <c r="C2689" i="2"/>
  <c r="C610" i="2"/>
  <c r="C1936" i="2"/>
  <c r="C1805" i="2"/>
  <c r="C1629" i="2"/>
  <c r="C1781" i="2"/>
  <c r="C2195" i="2"/>
  <c r="C68" i="2"/>
  <c r="C3108" i="2"/>
  <c r="C122" i="2"/>
  <c r="C1129" i="2"/>
  <c r="C1702" i="2"/>
  <c r="C1836" i="2"/>
  <c r="C750" i="2"/>
  <c r="C888" i="2"/>
  <c r="C181" i="2"/>
  <c r="C1633" i="2"/>
  <c r="C1939" i="2"/>
  <c r="C876" i="2"/>
  <c r="C2212" i="2"/>
  <c r="C389" i="2"/>
  <c r="C2573" i="2"/>
  <c r="C2527" i="2"/>
  <c r="C3121" i="2"/>
  <c r="C2565" i="2"/>
  <c r="C78" i="2"/>
  <c r="C116" i="2"/>
  <c r="C358" i="2"/>
  <c r="C2831" i="2"/>
  <c r="C448" i="2"/>
  <c r="C2280" i="2"/>
  <c r="C3128" i="2"/>
  <c r="C2359" i="2"/>
  <c r="C741" i="2"/>
  <c r="C3078" i="2"/>
  <c r="C591" i="2"/>
  <c r="C1665" i="2"/>
  <c r="C1644" i="2"/>
  <c r="C1949" i="2"/>
  <c r="C2071" i="2"/>
  <c r="C2715" i="2"/>
  <c r="C2038" i="2"/>
  <c r="C2709" i="2"/>
  <c r="C2694" i="2"/>
  <c r="C976" i="2"/>
  <c r="C1034" i="2"/>
  <c r="C2428" i="2"/>
  <c r="C417" i="2"/>
  <c r="C2534" i="2"/>
  <c r="C24" i="2"/>
  <c r="C1402" i="2"/>
  <c r="C2555" i="2"/>
  <c r="C1450" i="2"/>
  <c r="C2798" i="2"/>
  <c r="C2999" i="2"/>
  <c r="C3065" i="2"/>
  <c r="C1295" i="2"/>
  <c r="C1128" i="2"/>
  <c r="C2197" i="2"/>
  <c r="C613" i="2"/>
  <c r="C2574" i="2"/>
  <c r="C338" i="2"/>
  <c r="C1185" i="2"/>
  <c r="C1603" i="2"/>
  <c r="C2517" i="2"/>
  <c r="C1018" i="2"/>
  <c r="C168" i="2"/>
  <c r="C239" i="2"/>
  <c r="C126" i="2"/>
  <c r="C3060" i="2"/>
  <c r="C1718" i="2"/>
  <c r="C1190" i="2"/>
  <c r="C54" i="2"/>
  <c r="C733" i="2"/>
  <c r="C194" i="2"/>
  <c r="C507" i="2"/>
  <c r="C3210" i="2"/>
  <c r="C3094" i="2"/>
  <c r="C2473" i="2"/>
  <c r="C2843" i="2"/>
  <c r="C2763" i="2"/>
  <c r="C281" i="2"/>
  <c r="C2544" i="2"/>
  <c r="C3026" i="2"/>
  <c r="C3068" i="2"/>
  <c r="C2655" i="2"/>
  <c r="C2134" i="2"/>
  <c r="C1029" i="2"/>
  <c r="C593" i="2"/>
  <c r="C1774" i="2"/>
  <c r="C2104" i="2"/>
  <c r="C2977" i="2"/>
  <c r="C1148" i="2"/>
  <c r="C2051" i="2"/>
  <c r="C1684" i="2"/>
  <c r="C3005" i="2"/>
  <c r="C242" i="2"/>
  <c r="C3213" i="2"/>
  <c r="C1315" i="2"/>
  <c r="C2329" i="2"/>
  <c r="C2618" i="2"/>
  <c r="C2584" i="2"/>
  <c r="C1916" i="2"/>
  <c r="C1803" i="2"/>
  <c r="C526" i="2"/>
  <c r="C277" i="2"/>
  <c r="C204" i="2"/>
  <c r="C2117" i="2"/>
  <c r="C2512" i="2"/>
  <c r="C2150" i="2"/>
  <c r="C1547" i="2"/>
  <c r="C117" i="2"/>
  <c r="C2163" i="2"/>
  <c r="C2443" i="2"/>
  <c r="C3008" i="2"/>
  <c r="C1648" i="2"/>
  <c r="C3126" i="2"/>
  <c r="C2119" i="2"/>
  <c r="C1275" i="2"/>
  <c r="C2378" i="2"/>
  <c r="C1348" i="2"/>
  <c r="C2713" i="2"/>
  <c r="C368" i="2"/>
  <c r="C869" i="2"/>
  <c r="C2291" i="2"/>
  <c r="C845" i="2"/>
  <c r="C2758" i="2"/>
  <c r="C744" i="2"/>
  <c r="C514" i="2"/>
  <c r="C927" i="2"/>
  <c r="C401" i="2"/>
  <c r="C3171" i="2"/>
  <c r="C1873" i="2"/>
  <c r="C1093" i="2"/>
  <c r="C2061" i="2"/>
  <c r="C963" i="2"/>
  <c r="C1066" i="2"/>
  <c r="C3039" i="2"/>
  <c r="C2225" i="2"/>
  <c r="C2683" i="2"/>
  <c r="C1884" i="2"/>
  <c r="C2835" i="2"/>
  <c r="C2022" i="2"/>
  <c r="C1592" i="2"/>
  <c r="C2719" i="2"/>
  <c r="C2556" i="2"/>
  <c r="C778" i="2"/>
  <c r="C2925" i="2"/>
  <c r="C925" i="2"/>
  <c r="C3142" i="2"/>
  <c r="C1546" i="2"/>
  <c r="C2726" i="2"/>
  <c r="C1602" i="2"/>
  <c r="C147" i="2"/>
  <c r="C53" i="2"/>
  <c r="C1469" i="2"/>
  <c r="C1292" i="2"/>
  <c r="C1314" i="2"/>
  <c r="C800" i="2"/>
  <c r="C3019" i="2"/>
  <c r="C1005" i="2"/>
  <c r="C2013" i="2"/>
  <c r="C2857" i="2"/>
  <c r="C154" i="2"/>
  <c r="C1759" i="2"/>
  <c r="C3199" i="2"/>
  <c r="C2081" i="2"/>
  <c r="C1143" i="2"/>
  <c r="C1406" i="2"/>
  <c r="C1319" i="2"/>
  <c r="C1137" i="2"/>
  <c r="C1570" i="2"/>
  <c r="C929" i="2"/>
  <c r="C2155" i="2"/>
  <c r="C840" i="2"/>
  <c r="C997" i="2"/>
  <c r="C279" i="2"/>
  <c r="C2203" i="2"/>
  <c r="C118" i="2"/>
  <c r="C1974" i="2"/>
  <c r="C1922" i="2"/>
  <c r="C3062" i="2"/>
  <c r="C261" i="2"/>
  <c r="C2632" i="2"/>
  <c r="C2270" i="2"/>
  <c r="C1198" i="2"/>
  <c r="C2396" i="2"/>
  <c r="C2513" i="2"/>
  <c r="C1814" i="2"/>
  <c r="C1282" i="2"/>
  <c r="C1511" i="2"/>
  <c r="C2219" i="2"/>
  <c r="C817" i="2"/>
  <c r="C72" i="2"/>
  <c r="C1350" i="2"/>
  <c r="C1674" i="2"/>
  <c r="C2497" i="2"/>
  <c r="C1000" i="2"/>
  <c r="C1399" i="2"/>
  <c r="C634" i="2"/>
  <c r="C2120" i="2"/>
  <c r="C870" i="2"/>
  <c r="C702" i="2"/>
  <c r="C1840" i="2"/>
  <c r="C458" i="2"/>
  <c r="C216" i="2"/>
  <c r="C1041" i="2"/>
  <c r="C124" i="2"/>
  <c r="C2399" i="2"/>
  <c r="C3170" i="2"/>
  <c r="C2546" i="2"/>
  <c r="C3074" i="2"/>
  <c r="C1134" i="2"/>
  <c r="C875" i="2"/>
  <c r="C842" i="2"/>
  <c r="C2501" i="2"/>
  <c r="C990" i="2"/>
  <c r="C530" i="2"/>
  <c r="C882" i="2"/>
  <c r="C2793" i="2"/>
  <c r="C2429" i="2"/>
  <c r="C250" i="2"/>
  <c r="C2943" i="2"/>
  <c r="C1366" i="2"/>
  <c r="C2100" i="2"/>
  <c r="C2676" i="2"/>
  <c r="C2935" i="2"/>
  <c r="C2560" i="2"/>
  <c r="C885" i="2"/>
  <c r="C3182" i="2"/>
  <c r="C2463" i="2"/>
  <c r="C2863" i="2"/>
  <c r="C2649" i="2"/>
  <c r="C347" i="2"/>
  <c r="C1415" i="2"/>
  <c r="C128" i="2"/>
  <c r="C3077" i="2"/>
  <c r="C996" i="2"/>
  <c r="C1555" i="2"/>
  <c r="C1265" i="2"/>
  <c r="C568" i="2"/>
  <c r="C156" i="2"/>
  <c r="C537" i="2"/>
  <c r="C903" i="2"/>
  <c r="C139" i="2"/>
  <c r="C2113" i="2"/>
  <c r="C1662" i="2"/>
  <c r="C1019" i="2"/>
  <c r="C1716" i="2"/>
  <c r="C827" i="2"/>
  <c r="C1263" i="2"/>
  <c r="C1714" i="2"/>
  <c r="C725" i="2"/>
  <c r="C1845" i="2"/>
  <c r="C1601" i="2"/>
  <c r="C1584" i="2"/>
  <c r="C1618" i="2"/>
  <c r="C1294" i="2"/>
  <c r="C467" i="2"/>
  <c r="C1244" i="2"/>
  <c r="C2091" i="2"/>
  <c r="C862" i="2"/>
  <c r="C2322" i="2"/>
  <c r="C431" i="2"/>
  <c r="C2830" i="2"/>
  <c r="C3040" i="2"/>
  <c r="C2862" i="2"/>
  <c r="C56" i="2"/>
  <c r="C327" i="2"/>
  <c r="C961" i="2"/>
  <c r="C143" i="2"/>
  <c r="C3174" i="2"/>
  <c r="C2242" i="2"/>
  <c r="C2456" i="2"/>
  <c r="C690" i="2"/>
  <c r="C2175" i="2"/>
  <c r="C587" i="2"/>
  <c r="C666" i="2"/>
  <c r="C1767" i="2"/>
  <c r="C285" i="2"/>
  <c r="C3135" i="2"/>
  <c r="C2425" i="2"/>
  <c r="C101" i="2"/>
  <c r="C2598" i="2"/>
  <c r="C214" i="2"/>
  <c r="C3053" i="2"/>
  <c r="C1704" i="2"/>
  <c r="C2815" i="2"/>
  <c r="C816" i="2"/>
  <c r="C1017" i="2"/>
  <c r="C2375" i="2"/>
  <c r="C3192" i="2"/>
  <c r="C428" i="2"/>
  <c r="C2915" i="2"/>
  <c r="C2827" i="2"/>
  <c r="C1454" i="2"/>
  <c r="C50" i="2"/>
  <c r="C1334" i="2"/>
  <c r="C3119" i="2"/>
  <c r="C2131" i="2"/>
  <c r="C2067" i="2"/>
  <c r="C1079" i="2"/>
  <c r="C931" i="2"/>
  <c r="C2752" i="2"/>
  <c r="C1218" i="2"/>
  <c r="C1361" i="2"/>
  <c r="C2040" i="2"/>
  <c r="C835" i="2"/>
  <c r="C519" i="2"/>
  <c r="C1855" i="2"/>
  <c r="C1487" i="2"/>
  <c r="C1638" i="2"/>
  <c r="C1065" i="2"/>
  <c r="C1988" i="2"/>
  <c r="C2313" i="2"/>
  <c r="C1363" i="2"/>
  <c r="C1763" i="2"/>
  <c r="C683" i="2"/>
  <c r="C977" i="2"/>
  <c r="C1036" i="2"/>
  <c r="C924" i="2"/>
  <c r="C532" i="2"/>
  <c r="C22" i="2"/>
  <c r="C2510" i="2"/>
  <c r="C2179" i="2"/>
  <c r="C2794" i="2"/>
  <c r="C1800" i="2"/>
  <c r="C1664" i="2"/>
  <c r="C1685" i="2"/>
  <c r="C2448" i="2"/>
  <c r="C571" i="2"/>
  <c r="C1360" i="2"/>
  <c r="C1874" i="2"/>
  <c r="C2140" i="2"/>
  <c r="C1753" i="2"/>
  <c r="C434" i="2"/>
  <c r="C1477" i="2"/>
  <c r="C2816" i="2"/>
  <c r="C26" i="2"/>
  <c r="C2240" i="2"/>
  <c r="C763" i="2"/>
  <c r="C1440" i="2"/>
  <c r="C3218" i="2"/>
  <c r="C422" i="2"/>
  <c r="C2079" i="2"/>
  <c r="C381" i="2"/>
  <c r="C1121" i="2"/>
  <c r="C545" i="2"/>
  <c r="C1623" i="2"/>
  <c r="C2156" i="2"/>
  <c r="C2931" i="2"/>
  <c r="C1927" i="2"/>
  <c r="C263" i="2"/>
  <c r="C1544" i="2"/>
  <c r="C2936" i="2"/>
  <c r="C402" i="2"/>
  <c r="C2723" i="2"/>
  <c r="C2696" i="2"/>
  <c r="C2483" i="2"/>
  <c r="C2346" i="2"/>
  <c r="C2728" i="2"/>
  <c r="C2626" i="2"/>
  <c r="C57" i="2"/>
  <c r="C2569" i="2"/>
  <c r="C934" i="2"/>
  <c r="C3214" i="2"/>
  <c r="C971" i="2"/>
  <c r="C1150" i="2"/>
  <c r="C192" i="2"/>
  <c r="C312" i="2"/>
  <c r="C202" i="2"/>
  <c r="C777" i="2"/>
  <c r="C2106" i="2"/>
  <c r="C2610" i="2"/>
  <c r="C2745" i="2"/>
  <c r="C1899" i="2"/>
  <c r="C3224" i="2"/>
  <c r="C1578" i="2"/>
  <c r="C3076" i="2"/>
  <c r="C2528" i="2"/>
  <c r="C1764" i="2"/>
  <c r="C2738" i="2"/>
  <c r="C1619" i="2"/>
  <c r="C2445" i="2"/>
  <c r="C274" i="2"/>
  <c r="C1187" i="2"/>
  <c r="C2917" i="2"/>
  <c r="C1671" i="2"/>
  <c r="C831" i="2"/>
  <c r="C1372" i="2"/>
  <c r="C852" i="2"/>
  <c r="C1811" i="2"/>
  <c r="C2991" i="2"/>
  <c r="C967" i="2"/>
  <c r="C754" i="2"/>
  <c r="C324" i="2"/>
  <c r="C1154" i="2"/>
  <c r="C2891" i="2"/>
  <c r="C446" i="2"/>
  <c r="C1339" i="2"/>
  <c r="C2332" i="2"/>
  <c r="C1431" i="2"/>
  <c r="C645" i="2"/>
  <c r="C1930" i="2"/>
  <c r="C583" i="2"/>
  <c r="C2257" i="2"/>
  <c r="C2530" i="2"/>
  <c r="C1067" i="2"/>
  <c r="C2895" i="2"/>
  <c r="C949" i="2"/>
  <c r="C1770" i="2"/>
  <c r="C2611" i="2"/>
  <c r="C3024" i="2"/>
  <c r="C1054" i="2"/>
  <c r="C2441" i="2"/>
  <c r="C3016" i="2"/>
  <c r="C2052" i="2"/>
  <c r="C488" i="2"/>
  <c r="C585" i="2"/>
  <c r="C912" i="2"/>
  <c r="C1455" i="2"/>
  <c r="C811" i="2"/>
  <c r="C922" i="2"/>
  <c r="C1880" i="2"/>
  <c r="C678" i="2"/>
  <c r="C841" i="2"/>
  <c r="C1027" i="2"/>
  <c r="C1771" i="2"/>
  <c r="C1111" i="2"/>
  <c r="C2850" i="2"/>
  <c r="C310" i="2"/>
  <c r="C731" i="2"/>
  <c r="C2235" i="2"/>
  <c r="C3148" i="2"/>
  <c r="C325" i="2"/>
  <c r="C231" i="2"/>
  <c r="C2779" i="2"/>
  <c r="C2525" i="2"/>
  <c r="C2217" i="2"/>
  <c r="C844" i="2"/>
  <c r="C936" i="2"/>
  <c r="C1854" i="2"/>
  <c r="C2710" i="2"/>
  <c r="C2053" i="2"/>
  <c r="C2948" i="2"/>
  <c r="C395" i="2"/>
  <c r="C2524" i="2"/>
  <c r="C1720" i="2"/>
  <c r="C2903" i="2"/>
  <c r="C2608" i="2"/>
  <c r="C738" i="2"/>
  <c r="C1510" i="2"/>
  <c r="C826" i="2"/>
  <c r="C898" i="2"/>
  <c r="C445" i="2"/>
  <c r="C1963" i="2"/>
  <c r="C1280" i="2"/>
  <c r="C2374" i="2"/>
  <c r="C423" i="2"/>
  <c r="C2589" i="2"/>
  <c r="C1341" i="2"/>
  <c r="C2292" i="2"/>
  <c r="C911" i="2"/>
  <c r="C1278" i="2"/>
  <c r="C1299" i="2"/>
  <c r="C478" i="2"/>
  <c r="C2422" i="2"/>
  <c r="C3209" i="2"/>
  <c r="C456" i="2"/>
  <c r="C1418" i="2"/>
  <c r="C211" i="2"/>
  <c r="C2324" i="2"/>
  <c r="C1037" i="2"/>
  <c r="C1420" i="2"/>
  <c r="C617" i="2"/>
  <c r="C2646" i="2"/>
  <c r="C1793" i="2"/>
  <c r="C574" i="2"/>
  <c r="C262" i="2"/>
  <c r="C1630" i="2"/>
  <c r="C665" i="2"/>
  <c r="C74" i="2"/>
  <c r="C484" i="2"/>
  <c r="C2865" i="2"/>
  <c r="C1412" i="2"/>
  <c r="C1614" i="2"/>
  <c r="C352" i="2"/>
  <c r="C2302" i="2"/>
  <c r="C1973" i="2"/>
  <c r="C42" i="2"/>
  <c r="C671" i="2"/>
  <c r="C353" i="2"/>
  <c r="C2493" i="2"/>
  <c r="C2664" i="2"/>
  <c r="C3092" i="2"/>
  <c r="C23" i="2"/>
  <c r="C1354" i="2"/>
  <c r="C1984" i="2"/>
  <c r="C1014" i="2"/>
  <c r="C959" i="2"/>
  <c r="C2215" i="2"/>
  <c r="C1442" i="2"/>
  <c r="C2575" i="2"/>
  <c r="C775" i="2"/>
  <c r="C1270" i="2"/>
  <c r="C112" i="2"/>
  <c r="C989" i="2"/>
  <c r="C2073" i="2"/>
  <c r="C485" i="2"/>
  <c r="C405" i="2"/>
  <c r="C572" i="2"/>
  <c r="C398" i="2"/>
  <c r="C1743" i="2"/>
  <c r="C275" i="2"/>
  <c r="C1921" i="2"/>
  <c r="C2836" i="2"/>
  <c r="C2939" i="2"/>
  <c r="C1977" i="2"/>
  <c r="C677" i="2"/>
  <c r="C2039" i="2"/>
  <c r="C1249" i="2"/>
  <c r="C2397" i="2"/>
  <c r="C575" i="2"/>
  <c r="C2782" i="2"/>
  <c r="C2911" i="2"/>
  <c r="C561" i="2"/>
  <c r="C2390" i="2"/>
  <c r="C2536" i="2"/>
  <c r="C1427" i="2"/>
  <c r="C1335" i="2"/>
  <c r="C1710" i="2"/>
  <c r="C1999" i="2"/>
  <c r="C371" i="2"/>
  <c r="C1819" i="2"/>
  <c r="C1698" i="2"/>
  <c r="C2334" i="2"/>
  <c r="C1458" i="2"/>
  <c r="C745" i="2"/>
  <c r="C364" i="2"/>
  <c r="C2308" i="2"/>
  <c r="C1525" i="2"/>
  <c r="C2671" i="2"/>
  <c r="C1390" i="2"/>
  <c r="C861" i="2"/>
  <c r="C2042" i="2"/>
  <c r="C1551" i="2"/>
  <c r="C1317" i="2"/>
  <c r="C2239" i="2"/>
  <c r="C1055" i="2"/>
  <c r="C631" i="2"/>
  <c r="C2627" i="2"/>
  <c r="C1285" i="2"/>
  <c r="C2083" i="2"/>
  <c r="C404" i="2"/>
  <c r="C2499" i="2"/>
  <c r="C1829" i="2"/>
  <c r="C390" i="2"/>
  <c r="C3127" i="2"/>
  <c r="C1979" i="2"/>
  <c r="C685" i="2"/>
  <c r="C14" i="2"/>
  <c r="C1410" i="2"/>
  <c r="C2705" i="2"/>
  <c r="C1826" i="2"/>
  <c r="C130" i="2"/>
  <c r="C229" i="2"/>
  <c r="C871" i="2"/>
  <c r="C2234" i="2"/>
  <c r="C1994" i="2"/>
  <c r="C1653" i="2"/>
  <c r="C1176" i="2"/>
  <c r="C2954" i="2"/>
  <c r="C2002" i="2"/>
  <c r="C1553" i="2"/>
  <c r="C1538" i="2"/>
  <c r="C2138" i="2"/>
  <c r="C1217" i="2"/>
  <c r="C497" i="2"/>
  <c r="C2717" i="2"/>
  <c r="C1868" i="2"/>
  <c r="C2756" i="2"/>
  <c r="C1073" i="2"/>
  <c r="C988" i="2"/>
  <c r="C743" i="2"/>
  <c r="C2540" i="2"/>
  <c r="C266" i="2"/>
  <c r="C444" i="2"/>
  <c r="C590" i="2"/>
  <c r="C2400" i="2"/>
  <c r="C2708" i="2"/>
  <c r="C658" i="2"/>
  <c r="C481" i="2"/>
  <c r="C2933" i="2"/>
  <c r="C622" i="2"/>
  <c r="C1012" i="2"/>
  <c r="C633" i="2"/>
  <c r="C983" i="2"/>
  <c r="C1302" i="2"/>
  <c r="C1009" i="2"/>
  <c r="C1461" i="2"/>
  <c r="C314" i="2"/>
  <c r="C2460" i="2"/>
  <c r="C96" i="2"/>
  <c r="C83" i="2"/>
  <c r="C2176" i="2"/>
  <c r="C205" i="2"/>
  <c r="C1679" i="2"/>
  <c r="C972" i="2"/>
  <c r="C1062" i="2"/>
  <c r="C2670" i="2"/>
  <c r="C577" i="2"/>
  <c r="C982" i="2"/>
  <c r="C2170" i="2"/>
  <c r="C1626" i="2"/>
  <c r="C419" i="2"/>
  <c r="C208" i="2"/>
  <c r="C1068" i="2"/>
  <c r="C44" i="2"/>
  <c r="C740" i="2"/>
  <c r="C2047" i="2"/>
  <c r="C832" i="2"/>
  <c r="C2770" i="2"/>
  <c r="C2953" i="2"/>
  <c r="C1849" i="2"/>
  <c r="C1126" i="2"/>
  <c r="C1564" i="2"/>
  <c r="C3176" i="2"/>
  <c r="C3043" i="2"/>
  <c r="C629" i="2"/>
  <c r="C2099" i="2"/>
  <c r="C331" i="2"/>
  <c r="C2379" i="2"/>
  <c r="C1099" i="2"/>
  <c r="C2439" i="2"/>
  <c r="C2596" i="2"/>
  <c r="C305" i="2"/>
  <c r="C2045" i="2"/>
  <c r="C1113" i="2"/>
  <c r="C672" i="2"/>
  <c r="C1655" i="2"/>
  <c r="C914" i="2"/>
  <c r="C900" i="2"/>
  <c r="C686" i="2"/>
  <c r="C1713" i="2"/>
  <c r="C32" i="2"/>
  <c r="C342" i="2"/>
  <c r="C843" i="2"/>
  <c r="C991" i="2"/>
  <c r="C2578" i="2"/>
  <c r="C2159" i="2"/>
  <c r="C850" i="2"/>
  <c r="C1100" i="2"/>
  <c r="C2686" i="2"/>
  <c r="C2804" i="2"/>
  <c r="C939" i="2"/>
  <c r="C476" i="2"/>
  <c r="C1902" i="2"/>
  <c r="C1569" i="2"/>
  <c r="C1722" i="2"/>
  <c r="C1903" i="2"/>
  <c r="C1362" i="2"/>
  <c r="C3103" i="2"/>
  <c r="C2554" i="2"/>
  <c r="C1600" i="2"/>
  <c r="C1943" i="2"/>
  <c r="C2614" i="2"/>
  <c r="C1871" i="2"/>
  <c r="C569" i="2"/>
  <c r="C928" i="2"/>
  <c r="C163" i="2"/>
  <c r="C1254" i="2"/>
  <c r="C2958" i="2"/>
  <c r="C2464" i="2"/>
  <c r="C1047" i="2"/>
  <c r="C1798" i="2"/>
  <c r="C1588" i="2"/>
  <c r="C676" i="2"/>
  <c r="C1561" i="2"/>
  <c r="C3129" i="2"/>
  <c r="C260" i="2"/>
  <c r="C1508" i="2"/>
  <c r="C433" i="2"/>
  <c r="C2089" i="2"/>
  <c r="C1414" i="2"/>
  <c r="C335" i="2"/>
  <c r="C326" i="2"/>
  <c r="C2107" i="2"/>
  <c r="C1364" i="2"/>
  <c r="C3029" i="2"/>
  <c r="C2153" i="2"/>
  <c r="C2765" i="2"/>
  <c r="C1897" i="2"/>
  <c r="C1572" i="2"/>
  <c r="C1954" i="2"/>
  <c r="C1343" i="2"/>
  <c r="C2088" i="2"/>
  <c r="C1624" i="2"/>
  <c r="C31" i="2"/>
  <c r="C1221" i="2"/>
  <c r="C1621" i="2"/>
  <c r="C2548" i="2"/>
  <c r="C3057" i="2"/>
  <c r="C2478" i="2"/>
  <c r="C2852" i="2"/>
  <c r="C1465" i="2"/>
  <c r="C2164" i="2"/>
  <c r="C2526" i="2"/>
  <c r="C1157" i="2"/>
  <c r="C1522" i="2"/>
  <c r="C2114" i="2"/>
  <c r="C1181" i="2"/>
  <c r="C1846" i="2"/>
  <c r="C3000" i="2"/>
  <c r="C2182" i="2"/>
  <c r="C2621" i="2"/>
  <c r="C1408" i="2"/>
  <c r="C1268" i="2"/>
  <c r="C539" i="2"/>
  <c r="C2684" i="2"/>
  <c r="C1610" i="2"/>
  <c r="C865" i="2"/>
  <c r="C1512" i="2"/>
  <c r="C551" i="2"/>
  <c r="C1948" i="2"/>
  <c r="C2098" i="2"/>
  <c r="C1222" i="2"/>
  <c r="C2533" i="2"/>
  <c r="C2567" i="2"/>
  <c r="C2892" i="2"/>
  <c r="C2964" i="2"/>
  <c r="C471" i="2"/>
  <c r="C2628" i="2"/>
  <c r="C867" i="2"/>
  <c r="C1353" i="2"/>
  <c r="C1070" i="2"/>
  <c r="C2724" i="2"/>
  <c r="C1421" i="2"/>
  <c r="C1554" i="2"/>
  <c r="C2519" i="2"/>
  <c r="C1349" i="2"/>
  <c r="C1615" i="2"/>
  <c r="C2196" i="2"/>
  <c r="C1476" i="2"/>
  <c r="C3118" i="2"/>
  <c r="C2759" i="2"/>
  <c r="C3073" i="2"/>
  <c r="C1857" i="2"/>
  <c r="C2884" i="2"/>
  <c r="C776" i="2"/>
  <c r="C1520" i="2"/>
  <c r="C1725" i="2"/>
  <c r="C1192" i="2"/>
  <c r="C3089" i="2"/>
  <c r="C1447" i="2"/>
  <c r="C2430" i="2"/>
  <c r="C1604" i="2"/>
  <c r="C1721" i="2"/>
  <c r="C736" i="2"/>
  <c r="C1125" i="2"/>
  <c r="C3175" i="2"/>
  <c r="C2090" i="2"/>
  <c r="C1851" i="2"/>
  <c r="C987" i="2"/>
  <c r="C580" i="2"/>
  <c r="C1844" i="2"/>
  <c r="C3027" i="2"/>
  <c r="C1489" i="2"/>
  <c r="C2956" i="2"/>
  <c r="C3184" i="2"/>
  <c r="C780" i="2"/>
  <c r="C2093" i="2"/>
  <c r="C1200" i="2"/>
  <c r="C2320" i="2"/>
  <c r="C947" i="2"/>
  <c r="C2411" i="2"/>
  <c r="C968" i="2"/>
  <c r="C1668" i="2"/>
  <c r="C1171" i="2"/>
  <c r="C494" i="2"/>
  <c r="C1913" i="2"/>
  <c r="C978" i="2"/>
  <c r="C1250" i="2"/>
  <c r="C1182" i="2"/>
  <c r="C2516" i="2"/>
  <c r="C2123" i="2"/>
  <c r="C907" i="2"/>
  <c r="C2825" i="2"/>
  <c r="C357" i="2"/>
  <c r="C2256" i="2"/>
  <c r="C728" i="2"/>
  <c r="C2096" i="2"/>
  <c r="C576" i="2"/>
  <c r="C1787" i="2"/>
  <c r="C675" i="2"/>
  <c r="C1284" i="2"/>
  <c r="C1240" i="2"/>
  <c r="C1449" i="2"/>
  <c r="C2811" i="2"/>
  <c r="C697" i="2"/>
  <c r="C1756" i="2"/>
  <c r="C761" i="2"/>
  <c r="C2980" i="2"/>
  <c r="C1639" i="2"/>
  <c r="C1330" i="2"/>
  <c r="C1277" i="2"/>
  <c r="C223" i="2"/>
  <c r="C2839" i="2"/>
  <c r="C282" i="2"/>
  <c r="C1822" i="2"/>
  <c r="C1162" i="2"/>
  <c r="C630" i="2"/>
  <c r="C1950" i="2"/>
  <c r="C1207" i="2"/>
  <c r="C3034" i="2"/>
  <c r="C2097" i="2"/>
  <c r="C2875" i="2"/>
  <c r="C2535" i="2"/>
  <c r="C1324" i="2"/>
  <c r="C1783" i="2"/>
  <c r="C751" i="2"/>
  <c r="C46" i="2"/>
  <c r="C668" i="2"/>
  <c r="C3160" i="2"/>
  <c r="C1328" i="2"/>
  <c r="C207" i="2"/>
  <c r="C234" i="2"/>
  <c r="C558" i="2"/>
  <c r="C2761" i="2"/>
  <c r="C137" i="2"/>
  <c r="C1400" i="2"/>
  <c r="C470" i="2"/>
  <c r="C2734" i="2"/>
  <c r="C2027" i="2"/>
  <c r="C199" i="2"/>
  <c r="C457" i="2"/>
  <c r="C2987" i="2"/>
  <c r="C3124" i="2"/>
  <c r="C2054" i="2"/>
  <c r="C2289" i="2"/>
  <c r="C2041" i="2"/>
  <c r="C2477" i="2"/>
  <c r="C2383" i="2"/>
  <c r="C1119" i="2"/>
  <c r="C1269" i="2"/>
  <c r="C656" i="2"/>
  <c r="C383" i="2"/>
  <c r="C1563" i="2"/>
  <c r="C2637" i="2"/>
  <c r="C2673" i="2"/>
  <c r="C1838" i="2"/>
  <c r="C1776" i="2"/>
  <c r="C158" i="2"/>
  <c r="C2669" i="2"/>
  <c r="C774" i="2"/>
  <c r="C227" i="2"/>
  <c r="C2309" i="2"/>
  <c r="C1599" i="2"/>
  <c r="C1074" i="2"/>
  <c r="C916" i="2"/>
  <c r="C1960" i="2"/>
  <c r="C1466" i="2"/>
  <c r="C1677" i="2"/>
  <c r="C1252" i="2"/>
  <c r="C552" i="2"/>
  <c r="C1398" i="2"/>
  <c r="C1869" i="2"/>
  <c r="C1031" i="2"/>
  <c r="C1342" i="2"/>
  <c r="C2657" i="2"/>
  <c r="C2247" i="2"/>
  <c r="C1236" i="2"/>
  <c r="C317" i="2"/>
  <c r="C710" i="2"/>
  <c r="C2974" i="2"/>
  <c r="C878" i="2"/>
  <c r="C992" i="2"/>
  <c r="C1156" i="2"/>
  <c r="C252" i="2"/>
  <c r="C2679" i="2"/>
  <c r="C1501" i="2"/>
  <c r="C500" i="2"/>
  <c r="C84" i="2"/>
  <c r="C1082" i="2"/>
  <c r="C2809" i="2"/>
  <c r="C1550" i="2"/>
  <c r="C3110" i="2"/>
  <c r="C2364" i="2"/>
  <c r="C2910" i="2"/>
  <c r="C1388" i="2"/>
  <c r="C2010" i="2"/>
  <c r="C1832" i="2"/>
  <c r="C1413" i="2"/>
  <c r="C944" i="2"/>
  <c r="C2733" i="2"/>
  <c r="C1046" i="2"/>
  <c r="C1092" i="2"/>
  <c r="C186" i="2"/>
  <c r="C1445" i="2"/>
  <c r="C1886" i="2"/>
  <c r="C1174" i="2"/>
  <c r="C1436" i="2"/>
  <c r="C554" i="2"/>
  <c r="C1101" i="2"/>
  <c r="C2174" i="2"/>
  <c r="C2697" i="2"/>
  <c r="C2795" i="2"/>
  <c r="C549" i="2"/>
  <c r="C89" i="2"/>
  <c r="C1132" i="2"/>
  <c r="C873" i="2"/>
  <c r="C218" i="2"/>
  <c r="C440" i="2"/>
  <c r="C942" i="2"/>
  <c r="C1001" i="2"/>
  <c r="C1462" i="2"/>
  <c r="C2311" i="2"/>
  <c r="C1105" i="2"/>
  <c r="C848" i="2"/>
  <c r="C1161" i="2"/>
  <c r="C373" i="2"/>
  <c r="C1534" i="2"/>
  <c r="C2914" i="2"/>
  <c r="C1735" i="2"/>
  <c r="C288" i="2"/>
  <c r="C3187" i="2"/>
  <c r="C943" i="2"/>
  <c r="C146" i="2"/>
  <c r="C3200" i="2"/>
  <c r="C1711" i="2"/>
  <c r="C1230" i="2"/>
  <c r="C2532" i="2"/>
  <c r="C2201" i="2"/>
  <c r="C618" i="2"/>
  <c r="C538" i="2"/>
  <c r="C294" i="2"/>
  <c r="C403" i="2"/>
  <c r="C707" i="2"/>
  <c r="C706" i="2"/>
  <c r="C1209" i="2"/>
  <c r="C1775" i="2"/>
  <c r="C2762" i="2"/>
  <c r="C39" i="2"/>
  <c r="C1505" i="2"/>
  <c r="C1817" i="2"/>
  <c r="C1069" i="2"/>
  <c r="C465" i="2"/>
  <c r="C2350" i="2"/>
  <c r="C2566" i="2"/>
  <c r="C807" i="2"/>
  <c r="C2949" i="2"/>
  <c r="C2142" i="2"/>
  <c r="C2692" i="2"/>
  <c r="C2753" i="2"/>
  <c r="C1982" i="2"/>
  <c r="C2026" i="2"/>
  <c r="C2462" i="2"/>
  <c r="C296" i="2"/>
  <c r="C2404" i="2"/>
  <c r="C2899" i="2"/>
  <c r="C3211" i="2"/>
  <c r="C598" i="2"/>
  <c r="C2190" i="2"/>
  <c r="C2395" i="2"/>
  <c r="C2298" i="2"/>
  <c r="C1780" i="2"/>
  <c r="C2983" i="2"/>
  <c r="C2817" i="2"/>
  <c r="C1394" i="2"/>
  <c r="C3059" i="2"/>
  <c r="C1556" i="2"/>
  <c r="C224" i="2"/>
  <c r="C2222" i="2"/>
  <c r="C1760" i="2"/>
  <c r="C2358" i="2"/>
  <c r="C127" i="2"/>
  <c r="C646" i="2"/>
  <c r="C2507" i="2"/>
  <c r="C2194" i="2"/>
  <c r="C724" i="2"/>
  <c r="C1978" i="2"/>
  <c r="C2385" i="2"/>
  <c r="C1769" i="2"/>
  <c r="C825" i="2"/>
  <c r="C2102" i="2"/>
  <c r="C973" i="2"/>
  <c r="C2078" i="2"/>
  <c r="C255" i="2"/>
  <c r="C1652" i="2"/>
  <c r="C3082" i="2"/>
  <c r="C2187" i="2"/>
  <c r="C278" i="2"/>
  <c r="C1809" i="2"/>
  <c r="C3004" i="2"/>
  <c r="C1340" i="2"/>
  <c r="C1008" i="2"/>
  <c r="C2643" i="2"/>
  <c r="C3014" i="2"/>
  <c r="C2014" i="2"/>
  <c r="C107" i="2"/>
  <c r="C425" i="2"/>
  <c r="C1807" i="2"/>
  <c r="C2019" i="2"/>
  <c r="C1120" i="2"/>
  <c r="C3114" i="2"/>
  <c r="C2787" i="2"/>
  <c r="C1945" i="2"/>
  <c r="C3051" i="2"/>
  <c r="C3226" i="2"/>
  <c r="C579" i="2"/>
  <c r="C1864" i="2"/>
  <c r="C791" i="2"/>
  <c r="C2750" i="2"/>
  <c r="C88" i="2"/>
  <c r="C1670" i="2"/>
  <c r="C588" i="2"/>
  <c r="C2151" i="2"/>
  <c r="C1654" i="2"/>
  <c r="C896" i="2"/>
  <c r="C1234" i="2"/>
  <c r="C573" i="2"/>
  <c r="C965" i="2"/>
  <c r="C1365" i="2"/>
  <c r="C439" i="2"/>
  <c r="C1369" i="2"/>
  <c r="C803" i="2"/>
  <c r="C874" i="2"/>
  <c r="C1521" i="2"/>
  <c r="C2370" i="2"/>
  <c r="C770" i="2"/>
  <c r="C1094" i="2"/>
  <c r="C1095" i="2"/>
  <c r="C1804" i="2"/>
  <c r="C1138" i="2"/>
  <c r="C726" i="2"/>
  <c r="C2665" i="2"/>
  <c r="C892" i="2"/>
  <c r="C954" i="2"/>
  <c r="C2880" i="2"/>
  <c r="C1495" i="2"/>
  <c r="C2227" i="2"/>
  <c r="C3085" i="2"/>
  <c r="C798" i="2"/>
  <c r="C2288" i="2"/>
  <c r="C1697" i="2"/>
  <c r="C1482" i="2"/>
  <c r="C1178" i="2"/>
  <c r="C1686" i="2"/>
  <c r="C3061" i="2"/>
  <c r="C2700" i="2"/>
  <c r="C2" i="2"/>
  <c r="C2250" i="2"/>
  <c r="C708" i="2"/>
  <c r="C1627" i="2"/>
  <c r="C2743" i="2"/>
  <c r="C1276" i="2"/>
  <c r="C2650" i="2"/>
  <c r="C1064" i="2"/>
  <c r="C1768" i="2"/>
  <c r="C1682" i="2"/>
  <c r="C535" i="2"/>
  <c r="C1959" i="2"/>
  <c r="C460" i="2"/>
  <c r="C2629" i="2"/>
  <c r="C2860" i="2"/>
  <c r="C153" i="2"/>
  <c r="C2226" i="2"/>
  <c r="C385" i="2"/>
  <c r="C688" i="2"/>
  <c r="C451" i="2"/>
  <c r="C795" i="2"/>
  <c r="C2075" i="2"/>
  <c r="C3206" i="2"/>
  <c r="C1312" i="2"/>
  <c r="C1914" i="2"/>
  <c r="C1646" i="2"/>
  <c r="C2427" i="2"/>
  <c r="C3201" i="2"/>
  <c r="C520" i="2"/>
  <c r="C752" i="2"/>
  <c r="C1370" i="2"/>
  <c r="C48" i="2"/>
  <c r="C2572" i="2"/>
  <c r="C348" i="2"/>
  <c r="C1358" i="2"/>
  <c r="C1004" i="2"/>
  <c r="C2011" i="2"/>
  <c r="C2252" i="2"/>
  <c r="C306" i="2"/>
  <c r="C2315" i="2"/>
  <c r="C2024" i="2"/>
  <c r="C703" i="2"/>
  <c r="C1232" i="2"/>
  <c r="C1672" i="2"/>
  <c r="C55" i="2"/>
  <c r="C3203" i="2"/>
  <c r="C1091" i="2"/>
  <c r="C1273" i="2"/>
  <c r="C217" i="2"/>
  <c r="C1951" i="2"/>
  <c r="C1467" i="2"/>
  <c r="C765" i="2"/>
  <c r="C956" i="2"/>
  <c r="C518" i="2"/>
  <c r="C1023" i="2"/>
  <c r="C3116" i="2"/>
  <c r="C165" i="2"/>
  <c r="C1758" i="2"/>
  <c r="C2488" i="2"/>
  <c r="C2893" i="2"/>
  <c r="C730" i="2"/>
  <c r="C113" i="2"/>
  <c r="C2417" i="2"/>
  <c r="C555" i="2"/>
  <c r="C2624" i="2"/>
  <c r="C2472" i="2"/>
  <c r="C2920" i="2"/>
  <c r="C37" i="2"/>
  <c r="C1631" i="2"/>
  <c r="C2781" i="2"/>
  <c r="C704" i="2"/>
  <c r="C2231" i="2"/>
  <c r="C1738" i="2"/>
  <c r="C2262" i="2"/>
  <c r="C1355" i="2"/>
  <c r="C2361" i="2"/>
  <c r="C2033" i="2"/>
  <c r="C3011" i="2"/>
  <c r="C123" i="2"/>
  <c r="C1719" i="2"/>
  <c r="C715" i="2"/>
  <c r="C2744" i="2"/>
  <c r="C1075" i="2"/>
  <c r="C346" i="2"/>
  <c r="C1924" i="2"/>
  <c r="C1011" i="2"/>
  <c r="C409" i="2"/>
  <c r="C1504" i="2"/>
  <c r="C2864" i="2"/>
  <c r="C2562" i="2"/>
  <c r="C723" i="2"/>
  <c r="C2338" i="2"/>
  <c r="C1732" i="2"/>
  <c r="C1540" i="2"/>
  <c r="C3222" i="2"/>
  <c r="C2009" i="2"/>
  <c r="C2178" i="2"/>
  <c r="C2662" i="2"/>
  <c r="C1597" i="2"/>
  <c r="C625" i="2"/>
  <c r="C1087" i="2"/>
  <c r="C43" i="2"/>
  <c r="C284" i="2"/>
  <c r="C2727" i="2"/>
  <c r="C1942" i="2"/>
  <c r="C304" i="2"/>
  <c r="C2283" i="2"/>
  <c r="C2382" i="2"/>
  <c r="C2972" i="2"/>
  <c r="C851" i="2"/>
  <c r="C1381" i="2"/>
  <c r="C860" i="2"/>
  <c r="C115" i="2"/>
  <c r="C246" i="2"/>
  <c r="C2069" i="2"/>
  <c r="C2485" i="2"/>
  <c r="C909" i="2"/>
  <c r="C605" i="2"/>
  <c r="C1587" i="2"/>
  <c r="C880" i="2"/>
  <c r="C1338" i="2"/>
  <c r="C2587" i="2"/>
  <c r="C175" i="2"/>
  <c r="C1433" i="2"/>
  <c r="C1799" i="2"/>
  <c r="C2319" i="2"/>
  <c r="C718" i="2"/>
  <c r="C1637" i="2"/>
  <c r="C1595" i="2"/>
  <c r="C838" i="2"/>
  <c r="C2169" i="2"/>
  <c r="C333" i="2"/>
  <c r="C1117" i="2"/>
  <c r="C563" i="2"/>
  <c r="C639" i="2"/>
  <c r="C856" i="2"/>
  <c r="C2355" i="2"/>
  <c r="C3099" i="2"/>
  <c r="C1486" i="2"/>
  <c r="C1032" i="2"/>
  <c r="C1377" i="2"/>
  <c r="C1228" i="2"/>
  <c r="C249" i="2"/>
  <c r="C1059" i="2"/>
  <c r="C1279" i="2"/>
  <c r="C164" i="2"/>
  <c r="C1257" i="2"/>
  <c r="C3161" i="2"/>
  <c r="C464" i="2"/>
  <c r="C908" i="2"/>
  <c r="C584" i="2"/>
  <c r="C2966" i="2"/>
  <c r="C1636" i="2"/>
  <c r="C2803" i="2"/>
  <c r="C985" i="2"/>
  <c r="C919" i="2"/>
  <c r="C1316" i="2"/>
  <c r="C2633" i="2"/>
  <c r="C544" i="2"/>
  <c r="C2751" i="2"/>
  <c r="C1530" i="2"/>
  <c r="C812" i="2"/>
  <c r="C2459" i="2"/>
  <c r="C225" i="2"/>
  <c r="C366" i="2"/>
  <c r="C2209" i="2"/>
  <c r="C2771" i="2"/>
  <c r="C2373" i="2"/>
  <c r="C667" i="2"/>
  <c r="C1656" i="2"/>
  <c r="C2898" i="2"/>
  <c r="C581" i="2"/>
  <c r="C1136" i="2"/>
  <c r="C110" i="2"/>
  <c r="C3052" i="2"/>
  <c r="C902" i="2"/>
  <c r="C542" i="2"/>
  <c r="C1237" i="2"/>
  <c r="C810" i="2"/>
  <c r="C1016" i="2"/>
  <c r="C3048" i="2"/>
  <c r="C2172" i="2"/>
  <c r="C2952" i="2"/>
  <c r="C1231" i="2"/>
  <c r="C1492" i="2"/>
  <c r="C2889" i="2"/>
  <c r="C1952" i="2"/>
  <c r="C719" i="2"/>
  <c r="C3044" i="2"/>
  <c r="C2783" i="2"/>
  <c r="C2969" i="2"/>
  <c r="C2677" i="2"/>
  <c r="C804" i="2"/>
  <c r="C2769" i="2"/>
  <c r="C1179" i="2"/>
  <c r="C2940" i="2"/>
  <c r="C2775" i="2"/>
  <c r="C632" i="2"/>
  <c r="C1271" i="2"/>
  <c r="C2124" i="2"/>
  <c r="C2015" i="2"/>
  <c r="C2139" i="2"/>
  <c r="C111" i="2"/>
  <c r="C557" i="2"/>
  <c r="C3188" i="2"/>
  <c r="C1071" i="2"/>
  <c r="C1124" i="2"/>
  <c r="C2797" i="2"/>
  <c r="C1607" i="2"/>
  <c r="C171" i="2"/>
  <c r="C196" i="2"/>
  <c r="C1527" i="2"/>
  <c r="C2591" i="2"/>
  <c r="C3006" i="2"/>
  <c r="C295" i="2"/>
  <c r="C1894" i="2"/>
  <c r="C887" i="2"/>
  <c r="C1149" i="2"/>
  <c r="C2959" i="2"/>
  <c r="C3133" i="2"/>
  <c r="C2487" i="2"/>
  <c r="C427" i="2"/>
  <c r="C813" i="2"/>
  <c r="C1219" i="2"/>
  <c r="C506" i="2"/>
  <c r="C1297" i="2"/>
  <c r="C1906" i="2"/>
  <c r="C2352" i="2"/>
  <c r="C474" i="2"/>
  <c r="C495" i="2"/>
  <c r="C1591" i="2"/>
  <c r="C2808" i="2"/>
  <c r="C1258" i="2"/>
  <c r="C2413" i="2"/>
  <c r="C2180" i="2"/>
  <c r="C1500" i="2"/>
  <c r="C597" i="2"/>
  <c r="C819" i="2"/>
  <c r="C1058" i="2"/>
  <c r="C2116" i="2"/>
  <c r="C1485" i="2"/>
  <c r="C910" i="2"/>
  <c r="C469" i="2"/>
  <c r="C1329" i="2"/>
  <c r="C1147" i="2"/>
  <c r="C1135" i="2"/>
  <c r="C3093" i="2"/>
  <c r="C772" i="2"/>
  <c r="C3230" i="2"/>
  <c r="C3217" i="2"/>
  <c r="C3223" i="2"/>
  <c r="C1404" i="2"/>
  <c r="C1497" i="2"/>
  <c r="C2454" i="2"/>
  <c r="C2095" i="2"/>
  <c r="C442" i="2"/>
  <c r="C1904" i="2"/>
  <c r="C2348" i="2"/>
  <c r="C1471" i="2"/>
  <c r="C1318" i="2"/>
  <c r="C649" i="2"/>
  <c r="C684" i="2"/>
  <c r="C974" i="2"/>
  <c r="C2050" i="2"/>
  <c r="C1549" i="2"/>
  <c r="C659" i="2"/>
  <c r="C3045" i="2"/>
  <c r="C2021" i="2"/>
  <c r="C1127" i="2"/>
  <c r="C998" i="2"/>
  <c r="C1856" i="2"/>
  <c r="C2287" i="2"/>
  <c r="C603" i="2"/>
  <c r="C1158" i="2"/>
  <c r="C2922" i="2"/>
  <c r="C1061" i="2"/>
  <c r="C2365" i="2"/>
  <c r="C3131" i="2"/>
  <c r="C25" i="2"/>
  <c r="C1425" i="2"/>
  <c r="C2125" i="2"/>
  <c r="C808" i="2"/>
  <c r="C1261" i="2"/>
  <c r="C2778" i="2"/>
  <c r="C3063" i="2"/>
  <c r="C2712" i="2"/>
  <c r="C1676" i="2"/>
  <c r="C698" i="2"/>
  <c r="C3215" i="2"/>
  <c r="C955" i="2"/>
  <c r="C626" i="2"/>
  <c r="C1706" i="2"/>
  <c r="C4" i="2"/>
  <c r="C2314" i="2"/>
  <c r="C315" i="2"/>
  <c r="C921" i="2"/>
  <c r="C3071" i="2"/>
  <c r="C1028" i="2"/>
  <c r="C794" i="2"/>
  <c r="C1214" i="2"/>
  <c r="C2822" i="2"/>
  <c r="C1080" i="2"/>
  <c r="C834" i="2"/>
  <c r="C1691" i="2"/>
  <c r="C2576" i="2"/>
  <c r="C16" i="2"/>
  <c r="C926" i="2"/>
  <c r="C2251" i="2"/>
  <c r="C1043" i="2"/>
  <c r="C3035" i="2"/>
  <c r="C823" i="2"/>
  <c r="C589" i="2"/>
  <c r="C1925" i="2"/>
  <c r="C616" i="2"/>
  <c r="C28" i="2"/>
  <c r="C2520" i="2"/>
  <c r="C2819" i="2"/>
  <c r="C1876" i="2"/>
  <c r="C935" i="2"/>
  <c r="C3157" i="2"/>
  <c r="C975" i="2"/>
  <c r="C1514" i="2"/>
  <c r="C636" i="2"/>
  <c r="C2297" i="2"/>
  <c r="C3007" i="2"/>
  <c r="C651" i="2"/>
  <c r="C2149" i="2"/>
  <c r="C2740" i="2"/>
  <c r="C952" i="2"/>
  <c r="C2806" i="2"/>
  <c r="C161" i="2"/>
  <c r="C265" i="2"/>
  <c r="C755" i="2"/>
  <c r="C34" i="2"/>
  <c r="C1479" i="2"/>
  <c r="C1197" i="2"/>
  <c r="C1456" i="2"/>
  <c r="C2848" i="2"/>
  <c r="C1779" i="2"/>
  <c r="C3179" i="2"/>
  <c r="C2982" i="2"/>
  <c r="C828" i="2"/>
  <c r="C508" i="2"/>
  <c r="C185" i="2"/>
  <c r="C1457" i="2"/>
  <c r="C3205" i="2"/>
  <c r="C853" i="2"/>
  <c r="C2640" i="2"/>
  <c r="C2834" i="2"/>
  <c r="C938" i="2"/>
  <c r="C2605" i="2"/>
  <c r="C421" i="2"/>
  <c r="C2407" i="2"/>
  <c r="C3183" i="2"/>
  <c r="C1407" i="2"/>
  <c r="C735" i="2"/>
  <c r="C2189" i="2"/>
  <c r="C836" i="2"/>
  <c r="C1395" i="2"/>
  <c r="C251" i="2"/>
  <c r="C1989" i="2"/>
  <c r="C1519" i="2"/>
  <c r="C525" i="2"/>
  <c r="C950" i="2"/>
  <c r="C1877" i="2"/>
  <c r="C1488" i="2"/>
  <c r="C1579" i="2"/>
  <c r="C1007" i="2"/>
  <c r="C1102" i="2"/>
  <c r="C1659" i="2"/>
  <c r="C1262" i="2"/>
  <c r="C2479" i="2"/>
  <c r="C432" i="2"/>
  <c r="C1356" i="2"/>
  <c r="C3227" i="2"/>
  <c r="C1300" i="2"/>
  <c r="C374" i="2"/>
  <c r="C1790" i="2"/>
  <c r="C788" i="2"/>
  <c r="C1935" i="2"/>
  <c r="C291" i="2"/>
  <c r="C2881" i="2"/>
  <c r="C2074" i="2"/>
  <c r="C2023" i="2"/>
  <c r="C2802" i="2"/>
  <c r="C1451" i="2"/>
  <c r="C824" i="2"/>
  <c r="C1052" i="2"/>
  <c r="C3055" i="2"/>
  <c r="C3046" i="2"/>
  <c r="C340" i="2"/>
  <c r="C1327" i="2"/>
  <c r="C487" i="2"/>
  <c r="C594" i="2"/>
  <c r="C1020" i="2"/>
  <c r="C946" i="2"/>
  <c r="C877" i="2"/>
  <c r="C1472" i="2"/>
  <c r="C2115" i="2"/>
  <c r="C316" i="2"/>
  <c r="C178" i="2"/>
  <c r="C2617" i="2"/>
  <c r="C3197" i="2"/>
  <c r="C1085" i="2"/>
  <c r="C2128" i="2"/>
  <c r="C1885" i="2"/>
  <c r="C461" i="2"/>
  <c r="C438" i="2"/>
  <c r="C2937" i="2"/>
  <c r="C849" i="2"/>
  <c r="C1022" i="2"/>
  <c r="C1021" i="2"/>
  <c r="C1057" i="2"/>
  <c r="C2854" i="2"/>
  <c r="C894" i="2"/>
  <c r="C612" i="2"/>
  <c r="C1905" i="2"/>
  <c r="C839" i="2"/>
  <c r="C2916" i="2"/>
  <c r="C809" i="2"/>
  <c r="C2158" i="2"/>
  <c r="C1145" i="2"/>
  <c r="C3042" i="2"/>
  <c r="C5" i="2"/>
  <c r="C3095" i="2"/>
  <c r="C2220" i="2"/>
  <c r="C491" i="2"/>
  <c r="C2181" i="2"/>
  <c r="C739" i="2"/>
  <c r="C233" i="2"/>
  <c r="C1336" i="2"/>
  <c r="C463" i="2"/>
  <c r="C1690" i="2"/>
  <c r="C2207" i="2"/>
  <c r="C1608" i="2"/>
  <c r="C2076" i="2"/>
  <c r="C1533" i="2"/>
  <c r="C2921" i="2"/>
  <c r="C890" i="2"/>
  <c r="C1170" i="2"/>
  <c r="C2312" i="2"/>
  <c r="C614" i="2"/>
  <c r="C2722" i="2"/>
  <c r="C1405" i="2"/>
  <c r="C994" i="2"/>
  <c r="C3130" i="2"/>
  <c r="C669" i="2"/>
  <c r="C2866" i="2"/>
  <c r="C1650" i="2"/>
  <c r="C2924" i="2"/>
  <c r="C2564" i="2"/>
  <c r="C531" i="2"/>
  <c r="C1750" i="2"/>
  <c r="C2663" i="2"/>
  <c r="C2326" i="2"/>
  <c r="C1426" i="2"/>
  <c r="C8" i="2"/>
  <c r="C2476" i="2"/>
  <c r="C2842" i="2"/>
  <c r="C377" i="2"/>
  <c r="C1535" i="2"/>
  <c r="C1502" i="2"/>
  <c r="C886" i="2"/>
  <c r="C3" i="2"/>
  <c r="C1531" i="2"/>
  <c r="C505" i="2"/>
  <c r="C119" i="2"/>
  <c r="C3025" i="2"/>
  <c r="C2173" i="2"/>
  <c r="C1112" i="2"/>
  <c r="C2818" i="2"/>
  <c r="C756" i="2"/>
  <c r="C3120" i="2"/>
  <c r="C868" i="2"/>
  <c r="C1789" i="2"/>
  <c r="C394" i="2"/>
  <c r="C499" i="2"/>
  <c r="C805" i="2"/>
  <c r="C624" i="2"/>
  <c r="C2391" i="2"/>
  <c r="C27" i="2"/>
  <c r="C2301" i="2"/>
  <c r="C863" i="2"/>
  <c r="C1392" i="2"/>
  <c r="C2034" i="2"/>
  <c r="C2369" i="2"/>
  <c r="C1737" i="2"/>
  <c r="C286" i="2"/>
  <c r="C2707" i="2"/>
  <c r="C2419" i="2"/>
  <c r="C1965" i="2"/>
  <c r="C2971" i="2"/>
  <c r="C729" i="2"/>
  <c r="C3166" i="2"/>
  <c r="C416" i="2"/>
  <c r="C2380" i="2"/>
  <c r="C859" i="2"/>
  <c r="C21" i="2"/>
  <c r="C1167" i="2"/>
  <c r="C2502" i="2"/>
  <c r="C273" i="2"/>
  <c r="C793" i="2"/>
  <c r="C2003" i="2"/>
  <c r="C1642" i="2"/>
  <c r="C2327" i="2"/>
  <c r="C711" i="2"/>
  <c r="C1184" i="2"/>
  <c r="C1645" i="2"/>
  <c r="C2261" i="2"/>
  <c r="C259" i="2"/>
  <c r="C1246" i="2"/>
  <c r="C2541" i="2"/>
  <c r="C1823" i="2"/>
  <c r="C290" i="2"/>
  <c r="C2907" i="2"/>
  <c r="C1255" i="2"/>
  <c r="C1666" i="2"/>
  <c r="C2539" i="2"/>
  <c r="C1322" i="2"/>
  <c r="C2749" i="2"/>
  <c r="C1641" i="2"/>
  <c r="C1879" i="2"/>
  <c r="C2582" i="2"/>
  <c r="C822" i="2"/>
  <c r="C62" i="2"/>
  <c r="C1981" i="2"/>
  <c r="C187" i="2"/>
  <c r="C673" i="2"/>
  <c r="C1831" i="2"/>
  <c r="C1225" i="2"/>
  <c r="C3091" i="2"/>
  <c r="C2402" i="2"/>
  <c r="C309" i="2"/>
  <c r="C1995" i="2"/>
  <c r="C400" i="2"/>
  <c r="C3155" i="2"/>
  <c r="C837" i="2"/>
  <c r="C3147" i="2"/>
  <c r="C578" i="2"/>
  <c r="C328" i="2"/>
  <c r="C2122" i="2"/>
  <c r="C1688" i="2"/>
  <c r="C356" i="2"/>
  <c r="C1757" i="2"/>
  <c r="C1491" i="2"/>
  <c r="C720" i="2"/>
  <c r="C920" i="2"/>
  <c r="C1957" i="2"/>
  <c r="C3036" i="2"/>
  <c r="C3081" i="2"/>
  <c r="C271" i="2"/>
  <c r="C1375" i="2"/>
  <c r="C1961" i="2"/>
  <c r="C2601" i="2"/>
  <c r="C895" i="2"/>
  <c r="C1006" i="2"/>
  <c r="C3017" i="2"/>
  <c r="C2928" i="2"/>
  <c r="C1165" i="2"/>
  <c r="C1193" i="2"/>
  <c r="C2063" i="2"/>
  <c r="C3162" i="2"/>
  <c r="C2858" i="2"/>
  <c r="C2699" i="2"/>
  <c r="C3105" i="2"/>
  <c r="C344" i="2"/>
  <c r="C2087" i="2"/>
  <c r="C166" i="2"/>
  <c r="C893" i="2"/>
  <c r="C2970" i="2"/>
  <c r="C2998" i="2"/>
  <c r="C3123" i="2"/>
  <c r="C1473" i="2"/>
  <c r="C1384" i="2"/>
  <c r="C1689" i="2"/>
  <c r="C559" i="2"/>
  <c r="C1539" i="2"/>
  <c r="C167" i="2"/>
  <c r="C2810" i="2"/>
  <c r="C2012" i="2"/>
  <c r="C1463" i="2"/>
  <c r="C762" i="2"/>
  <c r="C3149" i="2"/>
  <c r="C2790" i="2"/>
  <c r="C1141" i="2"/>
  <c r="C2167" i="2"/>
  <c r="C1830" i="2"/>
  <c r="C1247" i="2"/>
  <c r="C866" i="2"/>
  <c r="C1529" i="2"/>
  <c r="C753" i="2"/>
  <c r="C1108" i="2"/>
  <c r="C901" i="2"/>
  <c r="C1088" i="2"/>
  <c r="C1680" i="2"/>
  <c r="C256" i="2"/>
  <c r="C1498" i="2"/>
  <c r="C2398" i="2"/>
  <c r="C1168" i="2"/>
  <c r="C1286" i="2"/>
  <c r="C953" i="2"/>
  <c r="C2468" i="2"/>
  <c r="C380" i="2"/>
  <c r="C2934" i="2"/>
  <c r="C783" i="2"/>
  <c r="C857" i="2"/>
  <c r="C785" i="2"/>
  <c r="C879" i="2"/>
  <c r="C2883" i="2"/>
  <c r="C1444" i="2"/>
  <c r="C1987" i="2"/>
  <c r="C1015" i="2"/>
  <c r="C2950" i="2"/>
  <c r="C100" i="2"/>
  <c r="C1345" i="2"/>
  <c r="C2318" i="2"/>
  <c r="C1264" i="2"/>
  <c r="C1423" i="2"/>
  <c r="C254" i="2"/>
  <c r="C313" i="2"/>
  <c r="C1734" i="2"/>
  <c r="C1347" i="2"/>
  <c r="C2905" i="2"/>
  <c r="C1323" i="2"/>
  <c r="C2293" i="2"/>
  <c r="C694" i="2"/>
  <c r="C872" i="2"/>
  <c r="C361" i="2"/>
  <c r="C1483" i="2"/>
  <c r="C2888" i="2"/>
  <c r="C2644" i="2"/>
  <c r="C3202" i="2"/>
  <c r="C510" i="2"/>
  <c r="C1669" i="2"/>
  <c r="C653" i="2"/>
  <c r="C713" i="2"/>
  <c r="C3165" i="2"/>
  <c r="C2471" i="2"/>
  <c r="C2785" i="2"/>
  <c r="C958" i="2"/>
  <c r="C2613" i="2"/>
  <c r="C2496" i="2"/>
  <c r="C1266" i="2"/>
  <c r="C2152" i="2"/>
  <c r="C3169" i="2"/>
  <c r="C2764" i="2"/>
  <c r="C1474" i="2"/>
  <c r="C2230" i="2"/>
  <c r="C1081" i="2"/>
  <c r="C2043" i="2"/>
  <c r="C1235" i="2"/>
  <c r="C1026" i="2"/>
  <c r="C1598" i="2"/>
  <c r="C3090" i="2"/>
  <c r="C1403" i="2"/>
  <c r="C2406" i="2"/>
  <c r="C182" i="2"/>
  <c r="C564" i="2"/>
  <c r="C773" i="2"/>
  <c r="C1700" i="2"/>
  <c r="C1175" i="2"/>
  <c r="C1976" i="2"/>
  <c r="C1835" i="2"/>
  <c r="C121" i="2"/>
  <c r="C1953" i="2"/>
  <c r="C3107" i="2"/>
  <c r="C300" i="2"/>
  <c r="C1859" i="2"/>
  <c r="C1761" i="2"/>
  <c r="C1559" i="2"/>
  <c r="C2263" i="2"/>
  <c r="C995" i="2"/>
  <c r="C864" i="2"/>
  <c r="C1030" i="2"/>
  <c r="C1985" i="2"/>
  <c r="C945" i="2"/>
  <c r="C1675" i="2"/>
  <c r="C1923" i="2"/>
  <c r="C1726" i="2"/>
  <c r="C1050" i="2"/>
  <c r="C1506" i="2"/>
  <c r="C660" i="2"/>
  <c r="C1628" i="2"/>
  <c r="C3112" i="2"/>
  <c r="C479" i="2"/>
  <c r="C759" i="2"/>
  <c r="C2855" i="2"/>
  <c r="C734" i="2"/>
  <c r="C1609" i="2"/>
  <c r="C2394" i="2"/>
  <c r="C2714" i="2"/>
  <c r="C30" i="2"/>
  <c r="C3018" i="2"/>
  <c r="C1201" i="2"/>
  <c r="C2243" i="2"/>
  <c r="C1215" i="2"/>
  <c r="C1933" i="2"/>
  <c r="C367" i="2"/>
  <c r="C815" i="2"/>
  <c r="C332" i="2"/>
  <c r="C766" i="2"/>
  <c r="C350" i="2"/>
  <c r="C2062" i="2"/>
  <c r="C709" i="2"/>
  <c r="C2908" i="2"/>
  <c r="C1453" i="2"/>
  <c r="C1002" i="2"/>
  <c r="C1585" i="2"/>
  <c r="C3037" i="2"/>
  <c r="C2449" i="2"/>
  <c r="C543" i="2"/>
  <c r="C226" i="2"/>
  <c r="C2438" i="2"/>
  <c r="C2191" i="2"/>
  <c r="C206" i="2"/>
  <c r="C3097" i="2"/>
  <c r="C1548" i="2"/>
  <c r="C437" i="2"/>
  <c r="C2185" i="2"/>
  <c r="C3150" i="2"/>
  <c r="C2440" i="2"/>
  <c r="C727" i="2"/>
  <c r="C450" i="2"/>
  <c r="C1416" i="2"/>
  <c r="C190" i="2"/>
  <c r="C240" i="2"/>
  <c r="C1293" i="2"/>
  <c r="C565" i="2"/>
  <c r="C1681" i="2"/>
  <c r="C1860" i="2"/>
  <c r="C2193" i="2"/>
  <c r="C768" i="2"/>
  <c r="C1557" i="2"/>
  <c r="C1998" i="2"/>
  <c r="S2316" i="2" l="1"/>
  <c r="S548" i="2"/>
  <c r="D1746" i="2"/>
  <c r="S623" i="2"/>
  <c r="D3154" i="2"/>
  <c r="S3100" i="2"/>
  <c r="S2046" i="2"/>
  <c r="D2807" i="2"/>
  <c r="S2108" i="2"/>
  <c r="S1259" i="2"/>
  <c r="D1834" i="2"/>
  <c r="S3208" i="2"/>
  <c r="S3064" i="2"/>
  <c r="D3195" i="2"/>
  <c r="S2944" i="2"/>
  <c r="S1452" i="2"/>
  <c r="S436" i="2"/>
  <c r="S2838" i="2"/>
  <c r="D1374" i="2"/>
  <c r="S3158" i="2"/>
  <c r="D2410" i="2"/>
  <c r="S213" i="2"/>
  <c r="D2869" i="2"/>
  <c r="D1536" i="2"/>
  <c r="S2028" i="2"/>
  <c r="S384" i="2"/>
  <c r="D1223" i="2"/>
  <c r="S2639" i="2"/>
  <c r="S604" i="2"/>
  <c r="D71" i="2"/>
  <c r="S407" i="2"/>
  <c r="S2480" i="2"/>
  <c r="D3056" i="2"/>
  <c r="D1964" i="2"/>
  <c r="D2674" i="2"/>
  <c r="S1792" i="2"/>
  <c r="S2273" i="2"/>
  <c r="S2951" i="2"/>
  <c r="D881" i="2"/>
  <c r="S90" i="2"/>
  <c r="S884" i="2"/>
  <c r="D2660" i="2"/>
  <c r="S420" i="2"/>
  <c r="S2290" i="2"/>
  <c r="S2275" i="2"/>
  <c r="D2055" i="2"/>
  <c r="D2846" i="2"/>
  <c r="D1104" i="2"/>
  <c r="S846" i="2"/>
  <c r="S647" i="2"/>
  <c r="D2272" i="2"/>
  <c r="S889" i="2"/>
  <c r="S1958" i="2"/>
  <c r="S1907" i="2"/>
  <c r="S699" i="2"/>
  <c r="S757" i="2"/>
  <c r="S1448" i="2"/>
  <c r="S86" i="2"/>
  <c r="S1573" i="2"/>
  <c r="S712" i="2"/>
  <c r="S1078" i="2"/>
  <c r="S1784" i="2"/>
  <c r="S737" i="2"/>
  <c r="S2767" i="2"/>
  <c r="S134" i="2"/>
  <c r="D2801" i="2"/>
  <c r="S2218" i="2"/>
  <c r="S1975" i="2"/>
  <c r="S1352" i="2"/>
  <c r="S2887" i="2"/>
  <c r="S3198" i="2"/>
  <c r="S2277" i="2"/>
  <c r="S287" i="2"/>
  <c r="S1647" i="2"/>
  <c r="S1980" i="2"/>
  <c r="S1568" i="2"/>
  <c r="S243" i="2"/>
  <c r="D2994" i="2"/>
  <c r="S2505" i="2"/>
  <c r="S980" i="2"/>
  <c r="S650" i="2"/>
  <c r="S951" i="2"/>
  <c r="S695" i="2"/>
  <c r="S1139" i="2"/>
  <c r="S1955" i="2"/>
  <c r="D2718" i="2"/>
  <c r="S2612" i="2"/>
  <c r="D424" i="2"/>
  <c r="S858" i="2"/>
  <c r="D2894" i="2"/>
  <c r="D2129" i="2"/>
  <c r="D459" i="2"/>
  <c r="D2681" i="2"/>
  <c r="S3229" i="2"/>
  <c r="S2060" i="2"/>
  <c r="S1821" i="2"/>
  <c r="S1813" i="2"/>
  <c r="S2821" i="2"/>
  <c r="S2103" i="2"/>
  <c r="D1956" i="2"/>
  <c r="D2030" i="2"/>
  <c r="S1730" i="2"/>
  <c r="S3125" i="2"/>
  <c r="S2872" i="2"/>
  <c r="D2204" i="2"/>
  <c r="S2773" i="2"/>
  <c r="S1545" i="2"/>
  <c r="S1188" i="2"/>
  <c r="S482" i="2"/>
  <c r="S447" i="2"/>
  <c r="D2265" i="2"/>
  <c r="S443" i="2"/>
  <c r="S2981" i="2"/>
  <c r="D2955" i="2"/>
  <c r="D1740" i="2"/>
  <c r="S2813" i="2"/>
  <c r="S195" i="2"/>
  <c r="S3122" i="2"/>
  <c r="S267" i="2"/>
  <c r="S33" i="2"/>
  <c r="S674" i="2"/>
  <c r="S498" i="2"/>
  <c r="S1537" i="2"/>
  <c r="S1816" i="2"/>
  <c r="D1253" i="2"/>
  <c r="S2056" i="2"/>
  <c r="S2299" i="2"/>
  <c r="S1368" i="2"/>
  <c r="S2434" i="2"/>
  <c r="D1754" i="2"/>
  <c r="D1256" i="2"/>
  <c r="S913" i="2"/>
  <c r="D12" i="2"/>
  <c r="S1072" i="2"/>
  <c r="S1802" i="2"/>
  <c r="S2711" i="2"/>
  <c r="D3087" i="2"/>
  <c r="S1229" i="2"/>
  <c r="D1728" i="2"/>
  <c r="S2072" i="2"/>
  <c r="S1881" i="2"/>
  <c r="D329" i="2"/>
  <c r="D170" i="2"/>
  <c r="D3041" i="2"/>
  <c r="S2353" i="2"/>
  <c r="D396" i="2"/>
  <c r="S2132" i="2"/>
  <c r="S2720" i="2"/>
  <c r="S714" i="2"/>
  <c r="S36" i="2"/>
  <c r="S2141" i="2"/>
  <c r="S3079" i="2"/>
  <c r="S2635" i="2"/>
  <c r="D3163" i="2"/>
  <c r="S1651" i="2"/>
  <c r="S1493" i="2"/>
  <c r="S1911" i="2"/>
  <c r="S169" i="2"/>
  <c r="S2559" i="2"/>
  <c r="S1687" i="2"/>
  <c r="S2531" i="2"/>
  <c r="S1180" i="2"/>
  <c r="S1494" i="2"/>
  <c r="S969" i="2"/>
  <c r="S1206" i="2"/>
  <c r="S1516" i="2"/>
  <c r="S1571" i="2"/>
  <c r="D2362" i="2"/>
  <c r="S429" i="2"/>
  <c r="S693" i="2"/>
  <c r="S984" i="2"/>
  <c r="S1986" i="2"/>
  <c r="S1097" i="2"/>
  <c r="S2768" i="2"/>
  <c r="D2768" i="2"/>
  <c r="S1742" i="2"/>
  <c r="S144" i="2"/>
  <c r="S1220" i="2"/>
  <c r="S311" i="2"/>
  <c r="S3137" i="2"/>
  <c r="S3010" i="2"/>
  <c r="D2927" i="2"/>
  <c r="S1867" i="2"/>
  <c r="S70" i="2"/>
  <c r="D303" i="2"/>
  <c r="D253" i="2"/>
  <c r="S2118" i="2"/>
  <c r="D2423" i="2"/>
  <c r="S1694" i="2"/>
  <c r="S1186" i="2"/>
  <c r="S556" i="2"/>
  <c r="D198" i="2"/>
  <c r="S1696" i="2"/>
  <c r="S2130" i="2"/>
  <c r="S1130" i="2"/>
  <c r="S2266" i="2"/>
  <c r="S2960" i="2"/>
  <c r="S307" i="2"/>
  <c r="S2946" i="2"/>
  <c r="S1552" i="2"/>
  <c r="S2961" i="2"/>
  <c r="D3216" i="2"/>
  <c r="S3216" i="2"/>
  <c r="S1908" i="2"/>
  <c r="D1908" i="2"/>
  <c r="S2376" i="2"/>
  <c r="D2376" i="2"/>
  <c r="S2414" i="2"/>
  <c r="D2414" i="2"/>
  <c r="D2279" i="2"/>
  <c r="S2279" i="2"/>
  <c r="S689" i="2"/>
  <c r="S619" i="2"/>
  <c r="S1040" i="2"/>
  <c r="S1558" i="2"/>
  <c r="S241" i="2"/>
  <c r="S1852" i="2"/>
  <c r="D1852" i="2"/>
  <c r="S680" i="2"/>
  <c r="S2529" i="2"/>
  <c r="D2529" i="2"/>
  <c r="D2323" i="2"/>
  <c r="S2323" i="2"/>
  <c r="D502" i="2"/>
  <c r="S502" i="2"/>
  <c r="D3012" i="2"/>
  <c r="S3012" i="2"/>
  <c r="S2184" i="2"/>
  <c r="D2184" i="2"/>
  <c r="S149" i="2"/>
  <c r="D149" i="2"/>
  <c r="S2442" i="2"/>
  <c r="D2442" i="2"/>
  <c r="D2082" i="2"/>
  <c r="S2082" i="2"/>
  <c r="D2495" i="2"/>
  <c r="S2495" i="2"/>
  <c r="S1612" i="2"/>
  <c r="D1612" i="2"/>
  <c r="D2602" i="2"/>
  <c r="S2602" i="2"/>
  <c r="S2004" i="2"/>
  <c r="D2004" i="2"/>
  <c r="D1376" i="2"/>
  <c r="S1376" i="2"/>
  <c r="D3022" i="2"/>
  <c r="S3022" i="2"/>
  <c r="S2672" i="2"/>
  <c r="D2672" i="2"/>
  <c r="D3146" i="2"/>
  <c r="S3146" i="2"/>
  <c r="S547" i="2"/>
  <c r="D547" i="2"/>
  <c r="S2101" i="2"/>
  <c r="D2101" i="2"/>
  <c r="D1663" i="2"/>
  <c r="S1663" i="2"/>
  <c r="D222" i="2"/>
  <c r="S222" i="2"/>
  <c r="D354" i="2"/>
  <c r="S354" i="2"/>
  <c r="D1307" i="2"/>
  <c r="S1307" i="2"/>
  <c r="D964" i="2"/>
  <c r="S964" i="2"/>
  <c r="S2110" i="2"/>
  <c r="D2110" i="2"/>
  <c r="S2349" i="2"/>
  <c r="D2349" i="2"/>
  <c r="D1929" i="2"/>
  <c r="S1929" i="2"/>
  <c r="D1194" i="2"/>
  <c r="S1194" i="2"/>
  <c r="D2586" i="2"/>
  <c r="S2586" i="2"/>
  <c r="D923" i="2"/>
  <c r="S923" i="2"/>
  <c r="D1305" i="2"/>
  <c r="S1305" i="2"/>
  <c r="S1841" i="2"/>
  <c r="D1841" i="2"/>
  <c r="D362" i="2"/>
  <c r="S362" i="2"/>
  <c r="S1325" i="2"/>
  <c r="D1325" i="2"/>
  <c r="S3050" i="2"/>
  <c r="D3050" i="2"/>
  <c r="S1049" i="2"/>
  <c r="D1049" i="2"/>
  <c r="S75" i="2"/>
  <c r="D75" i="2"/>
  <c r="D1048" i="2"/>
  <c r="S1048" i="2"/>
  <c r="S480" i="2"/>
  <c r="D480" i="2"/>
  <c r="D1050" i="2"/>
  <c r="S1050" i="2"/>
  <c r="S2318" i="2"/>
  <c r="D2318" i="2"/>
  <c r="D1757" i="2"/>
  <c r="S1757" i="2"/>
  <c r="S756" i="2"/>
  <c r="D756" i="2"/>
  <c r="D316" i="2"/>
  <c r="S316" i="2"/>
  <c r="S2740" i="2"/>
  <c r="D2740" i="2"/>
  <c r="S2050" i="2"/>
  <c r="D2050" i="2"/>
  <c r="S2124" i="2"/>
  <c r="D2124" i="2"/>
  <c r="D856" i="2"/>
  <c r="S856" i="2"/>
  <c r="S1273" i="2"/>
  <c r="D1273" i="2"/>
  <c r="D1138" i="2"/>
  <c r="S1138" i="2"/>
  <c r="S3059" i="2"/>
  <c r="D3059" i="2"/>
  <c r="D186" i="2"/>
  <c r="S186" i="2"/>
  <c r="D207" i="2"/>
  <c r="S207" i="2"/>
  <c r="D2090" i="2"/>
  <c r="S2090" i="2"/>
  <c r="S3029" i="2"/>
  <c r="D3029" i="2"/>
  <c r="D1126" i="2"/>
  <c r="S1126" i="2"/>
  <c r="D14" i="2"/>
  <c r="S14" i="2"/>
  <c r="D1354" i="2"/>
  <c r="S1354" i="2"/>
  <c r="D2235" i="2"/>
  <c r="S2235" i="2"/>
  <c r="D192" i="2"/>
  <c r="S192" i="2"/>
  <c r="S1218" i="2"/>
  <c r="D1218" i="2"/>
  <c r="D568" i="2"/>
  <c r="S568" i="2"/>
  <c r="D1406" i="2"/>
  <c r="S1406" i="2"/>
  <c r="D242" i="2"/>
  <c r="S242" i="2"/>
  <c r="D3108" i="2"/>
  <c r="S3108" i="2"/>
  <c r="D2814" i="2"/>
  <c r="S2814" i="2"/>
  <c r="S2641" i="2"/>
  <c r="D2641" i="2"/>
  <c r="S1762" i="2"/>
  <c r="D1762" i="2"/>
  <c r="S2109" i="2"/>
  <c r="D2109" i="2"/>
  <c r="S1993" i="2"/>
  <c r="D1993" i="2"/>
  <c r="S378" i="2"/>
  <c r="D378" i="2"/>
  <c r="D3031" i="2"/>
  <c r="S3031" i="2"/>
  <c r="D200" i="2"/>
  <c r="S200" i="2"/>
  <c r="D1212" i="2"/>
  <c r="S1212" i="2"/>
  <c r="D595" i="2"/>
  <c r="S595" i="2"/>
  <c r="D61" i="2"/>
  <c r="S61" i="2"/>
  <c r="D2135" i="2"/>
  <c r="S2135" i="2"/>
  <c r="S3186" i="2"/>
  <c r="D3186" i="2"/>
  <c r="D49" i="2"/>
  <c r="S49" i="2"/>
  <c r="S238" i="2"/>
  <c r="D238" i="2"/>
  <c r="D523" i="2"/>
  <c r="S523" i="2"/>
  <c r="D620" i="2"/>
  <c r="S620" i="2"/>
  <c r="S472" i="2"/>
  <c r="D472" i="2"/>
  <c r="S607" i="2"/>
  <c r="D607" i="2"/>
  <c r="D2508" i="2"/>
  <c r="S2508" i="2"/>
  <c r="S821" i="2"/>
  <c r="D821" i="2"/>
  <c r="D2271" i="2"/>
  <c r="S2271" i="2"/>
  <c r="D1909" i="2"/>
  <c r="S1909" i="2"/>
  <c r="D1378" i="2"/>
  <c r="S1378" i="2"/>
  <c r="S1191" i="2"/>
  <c r="D1191" i="2"/>
  <c r="S1296" i="2"/>
  <c r="D1296" i="2"/>
  <c r="S2645" i="2"/>
  <c r="D2645" i="2"/>
  <c r="D1785" i="2"/>
  <c r="S1785" i="2"/>
  <c r="D2469" i="2"/>
  <c r="S2469" i="2"/>
  <c r="D1013" i="2"/>
  <c r="S1013" i="2"/>
  <c r="S2007" i="2"/>
  <c r="D2007" i="2"/>
  <c r="D790" i="2"/>
  <c r="S790" i="2"/>
  <c r="D1620" i="2"/>
  <c r="S1620" i="2"/>
  <c r="S270" i="2"/>
  <c r="D270" i="2"/>
  <c r="S1843" i="2"/>
  <c r="D1843" i="2"/>
  <c r="S2986" i="2"/>
  <c r="D2986" i="2"/>
  <c r="D2064" i="2"/>
  <c r="S2064" i="2"/>
  <c r="D1888" i="2"/>
  <c r="S1888" i="2"/>
  <c r="S1321" i="2"/>
  <c r="D1321" i="2"/>
  <c r="D2244" i="2"/>
  <c r="S2244" i="2"/>
  <c r="D2704" i="2"/>
  <c r="S2704" i="2"/>
  <c r="D1898" i="2"/>
  <c r="S1898" i="2"/>
  <c r="D2339" i="2"/>
  <c r="S2339" i="2"/>
  <c r="D1196" i="2"/>
  <c r="S1196" i="2"/>
  <c r="D2137" i="2"/>
  <c r="S2137" i="2"/>
  <c r="S1858" i="2"/>
  <c r="D1858" i="2"/>
  <c r="S1839" i="2"/>
  <c r="D1839" i="2"/>
  <c r="S1712" i="2"/>
  <c r="D1712" i="2"/>
  <c r="D2344" i="2"/>
  <c r="S2344" i="2"/>
  <c r="S2421" i="2"/>
  <c r="D2421" i="2"/>
  <c r="D1990" i="2"/>
  <c r="S1990" i="2"/>
  <c r="S2561" i="2"/>
  <c r="D2561" i="2"/>
  <c r="D1195" i="2"/>
  <c r="S1195" i="2"/>
  <c r="S1096" i="2"/>
  <c r="D1096" i="2"/>
  <c r="D1576" i="2"/>
  <c r="S1576" i="2"/>
  <c r="S1812" i="2"/>
  <c r="D1812" i="2"/>
  <c r="S3225" i="2"/>
  <c r="D3225" i="2"/>
  <c r="S3088" i="2"/>
  <c r="D3088" i="2"/>
  <c r="S2658" i="2"/>
  <c r="D2658" i="2"/>
  <c r="S2246" i="2"/>
  <c r="D2246" i="2"/>
  <c r="S2731" i="2"/>
  <c r="D2731" i="2"/>
  <c r="S1114" i="2"/>
  <c r="D1114" i="2"/>
  <c r="S2667" i="2"/>
  <c r="D2667" i="2"/>
  <c r="S108" i="2"/>
  <c r="D108" i="2"/>
  <c r="S1435" i="2"/>
  <c r="D1435" i="2"/>
  <c r="D2461" i="2"/>
  <c r="S2461" i="2"/>
  <c r="S1606" i="2"/>
  <c r="D1606" i="2"/>
  <c r="S77" i="2"/>
  <c r="D77" i="2"/>
  <c r="D1056" i="2"/>
  <c r="S1056" i="2"/>
  <c r="S160" i="2"/>
  <c r="D160" i="2"/>
  <c r="D3066" i="2"/>
  <c r="S3066" i="2"/>
  <c r="D2774" i="2"/>
  <c r="S2774" i="2"/>
  <c r="S1739" i="2"/>
  <c r="D1739" i="2"/>
  <c r="D566" i="2"/>
  <c r="S566" i="2"/>
  <c r="D2121" i="2"/>
  <c r="S2121" i="2"/>
  <c r="D2824" i="2"/>
  <c r="S2824" i="2"/>
  <c r="S904" i="2"/>
  <c r="D904" i="2"/>
  <c r="D2408" i="2"/>
  <c r="S2408" i="2"/>
  <c r="D1707" i="2"/>
  <c r="S1707" i="2"/>
  <c r="S2730" i="2"/>
  <c r="D2730" i="2"/>
  <c r="D1918" i="2"/>
  <c r="S1918" i="2"/>
  <c r="D2772" i="2"/>
  <c r="S2772" i="2"/>
  <c r="S2938" i="2"/>
  <c r="D2938" i="2"/>
  <c r="S1397" i="2"/>
  <c r="D1397" i="2"/>
  <c r="D91" i="2"/>
  <c r="S91" i="2"/>
  <c r="S2489" i="2"/>
  <c r="D2489" i="2"/>
  <c r="D1371" i="2"/>
  <c r="S1371" i="2"/>
  <c r="D1310" i="2"/>
  <c r="S1310" i="2"/>
  <c r="S1215" i="2"/>
  <c r="D1215" i="2"/>
  <c r="D958" i="2"/>
  <c r="S958" i="2"/>
  <c r="D2790" i="2"/>
  <c r="S2790" i="2"/>
  <c r="S2749" i="2"/>
  <c r="D2749" i="2"/>
  <c r="D1426" i="2"/>
  <c r="S1426" i="2"/>
  <c r="D1327" i="2"/>
  <c r="S1327" i="2"/>
  <c r="D1197" i="2"/>
  <c r="S1197" i="2"/>
  <c r="S1425" i="2"/>
  <c r="D1425" i="2"/>
  <c r="S1894" i="2"/>
  <c r="D1894" i="2"/>
  <c r="D2966" i="2"/>
  <c r="S2966" i="2"/>
  <c r="D1504" i="2"/>
  <c r="S1504" i="2"/>
  <c r="D1312" i="2"/>
  <c r="S1312" i="2"/>
  <c r="S1654" i="2"/>
  <c r="D1654" i="2"/>
  <c r="D2753" i="2"/>
  <c r="S2753" i="2"/>
  <c r="S1388" i="2"/>
  <c r="D1388" i="2"/>
  <c r="S2027" i="2"/>
  <c r="D2027" i="2"/>
  <c r="S3184" i="2"/>
  <c r="D3184" i="2"/>
  <c r="D1465" i="2"/>
  <c r="S1465" i="2"/>
  <c r="D914" i="2"/>
  <c r="S914" i="2"/>
  <c r="D1217" i="2"/>
  <c r="S1217" i="2"/>
  <c r="D1427" i="2"/>
  <c r="S1427" i="2"/>
  <c r="S1037" i="2"/>
  <c r="D1037" i="2"/>
  <c r="S2895" i="2"/>
  <c r="D2895" i="2"/>
  <c r="S263" i="2"/>
  <c r="D263" i="2"/>
  <c r="D816" i="2"/>
  <c r="S816" i="2"/>
  <c r="S2100" i="2"/>
  <c r="D2100" i="2"/>
  <c r="S1005" i="2"/>
  <c r="D1005" i="2"/>
  <c r="S526" i="2"/>
  <c r="D526" i="2"/>
  <c r="D2715" i="2"/>
  <c r="S2715" i="2"/>
  <c r="D1033" i="2"/>
  <c r="S1033" i="2"/>
  <c r="D2008" i="2"/>
  <c r="S2008" i="2"/>
  <c r="S1940" i="2"/>
  <c r="D1940" i="2"/>
  <c r="S1274" i="2"/>
  <c r="D1274" i="2"/>
  <c r="S705" i="2"/>
  <c r="D705" i="2"/>
  <c r="D1332" i="2"/>
  <c r="S1332" i="2"/>
  <c r="S2264" i="2"/>
  <c r="D2264" i="2"/>
  <c r="D644" i="2"/>
  <c r="S644" i="2"/>
  <c r="D2776" i="2"/>
  <c r="S2776" i="2"/>
  <c r="D1917" i="2"/>
  <c r="S1917" i="2"/>
  <c r="D323" i="2"/>
  <c r="S323" i="2"/>
  <c r="D1565" i="2"/>
  <c r="S1565" i="2"/>
  <c r="D1724" i="2"/>
  <c r="S1724" i="2"/>
  <c r="D2690" i="2"/>
  <c r="S2690" i="2"/>
  <c r="D2805" i="2"/>
  <c r="S2805" i="2"/>
  <c r="S2224" i="2"/>
  <c r="D2224" i="2"/>
  <c r="D771" i="2"/>
  <c r="S771" i="2"/>
  <c r="D1293" i="2"/>
  <c r="S1293" i="2"/>
  <c r="S2185" i="2"/>
  <c r="D2185" i="2"/>
  <c r="D543" i="2"/>
  <c r="S543" i="2"/>
  <c r="D2062" i="2"/>
  <c r="S2062" i="2"/>
  <c r="D2243" i="2"/>
  <c r="S2243" i="2"/>
  <c r="D2855" i="2"/>
  <c r="S2855" i="2"/>
  <c r="S1726" i="2"/>
  <c r="D1726" i="2"/>
  <c r="D2263" i="2"/>
  <c r="S2263" i="2"/>
  <c r="D1835" i="2"/>
  <c r="S1835" i="2"/>
  <c r="D1403" i="2"/>
  <c r="S1403" i="2"/>
  <c r="S1474" i="2"/>
  <c r="D1474" i="2"/>
  <c r="S2785" i="2"/>
  <c r="D2785" i="2"/>
  <c r="S2644" i="2"/>
  <c r="D2644" i="2"/>
  <c r="D2905" i="2"/>
  <c r="S2905" i="2"/>
  <c r="D1345" i="2"/>
  <c r="S1345" i="2"/>
  <c r="S785" i="2"/>
  <c r="D785" i="2"/>
  <c r="D1168" i="2"/>
  <c r="S1168" i="2"/>
  <c r="S753" i="2"/>
  <c r="D753" i="2"/>
  <c r="D3149" i="2"/>
  <c r="S3149" i="2"/>
  <c r="D1689" i="2"/>
  <c r="S1689" i="2"/>
  <c r="S2087" i="2"/>
  <c r="D2087" i="2"/>
  <c r="S1165" i="2"/>
  <c r="D1165" i="2"/>
  <c r="D271" i="2"/>
  <c r="S271" i="2"/>
  <c r="D356" i="2"/>
  <c r="S356" i="2"/>
  <c r="D400" i="2"/>
  <c r="S400" i="2"/>
  <c r="S187" i="2"/>
  <c r="D187" i="2"/>
  <c r="D1322" i="2"/>
  <c r="S1322" i="2"/>
  <c r="S1246" i="2"/>
  <c r="D1246" i="2"/>
  <c r="D2003" i="2"/>
  <c r="S2003" i="2"/>
  <c r="S416" i="2"/>
  <c r="D416" i="2"/>
  <c r="D1737" i="2"/>
  <c r="S1737" i="2"/>
  <c r="S624" i="2"/>
  <c r="D624" i="2"/>
  <c r="D2818" i="2"/>
  <c r="S2818" i="2"/>
  <c r="D886" i="2"/>
  <c r="S886" i="2"/>
  <c r="S2326" i="2"/>
  <c r="D2326" i="2"/>
  <c r="S669" i="2"/>
  <c r="D669" i="2"/>
  <c r="S890" i="2"/>
  <c r="D890" i="2"/>
  <c r="D1336" i="2"/>
  <c r="S1336" i="2"/>
  <c r="D3042" i="2"/>
  <c r="S3042" i="2"/>
  <c r="S894" i="2"/>
  <c r="D894" i="2"/>
  <c r="S461" i="2"/>
  <c r="D461" i="2"/>
  <c r="D2115" i="2"/>
  <c r="S2115" i="2"/>
  <c r="S340" i="2"/>
  <c r="D340" i="2"/>
  <c r="S2074" i="2"/>
  <c r="D2074" i="2"/>
  <c r="S3227" i="2"/>
  <c r="D3227" i="2"/>
  <c r="S1579" i="2"/>
  <c r="D1579" i="2"/>
  <c r="S1395" i="2"/>
  <c r="D1395" i="2"/>
  <c r="S2605" i="2"/>
  <c r="D2605" i="2"/>
  <c r="S508" i="2"/>
  <c r="D508" i="2"/>
  <c r="D1479" i="2"/>
  <c r="S1479" i="2"/>
  <c r="D2149" i="2"/>
  <c r="S2149" i="2"/>
  <c r="D935" i="2"/>
  <c r="S935" i="2"/>
  <c r="D823" i="2"/>
  <c r="S823" i="2"/>
  <c r="D834" i="2"/>
  <c r="S834" i="2"/>
  <c r="D315" i="2"/>
  <c r="S315" i="2"/>
  <c r="D1676" i="2"/>
  <c r="S1676" i="2"/>
  <c r="S25" i="2"/>
  <c r="D25" i="2"/>
  <c r="D1856" i="2"/>
  <c r="S1856" i="2"/>
  <c r="D974" i="2"/>
  <c r="S974" i="2"/>
  <c r="S2095" i="2"/>
  <c r="D2095" i="2"/>
  <c r="S3093" i="2"/>
  <c r="D3093" i="2"/>
  <c r="D1058" i="2"/>
  <c r="S1058" i="2"/>
  <c r="D1591" i="2"/>
  <c r="S1591" i="2"/>
  <c r="D813" i="2"/>
  <c r="S813" i="2"/>
  <c r="D295" i="2"/>
  <c r="S295" i="2"/>
  <c r="S1124" i="2"/>
  <c r="D1124" i="2"/>
  <c r="D1271" i="2"/>
  <c r="S1271" i="2"/>
  <c r="D2969" i="2"/>
  <c r="S2969" i="2"/>
  <c r="S2952" i="2"/>
  <c r="D2952" i="2"/>
  <c r="S3052" i="2"/>
  <c r="D3052" i="2"/>
  <c r="S2771" i="2"/>
  <c r="D2771" i="2"/>
  <c r="D544" i="2"/>
  <c r="S544" i="2"/>
  <c r="D584" i="2"/>
  <c r="S584" i="2"/>
  <c r="S249" i="2"/>
  <c r="D249" i="2"/>
  <c r="D639" i="2"/>
  <c r="S639" i="2"/>
  <c r="S718" i="2"/>
  <c r="D718" i="2"/>
  <c r="D1587" i="2"/>
  <c r="S1587" i="2"/>
  <c r="S1381" i="2"/>
  <c r="D1381" i="2"/>
  <c r="D284" i="2"/>
  <c r="S284" i="2"/>
  <c r="D3222" i="2"/>
  <c r="S3222" i="2"/>
  <c r="S409" i="2"/>
  <c r="D409" i="2"/>
  <c r="D123" i="2"/>
  <c r="S123" i="2"/>
  <c r="D704" i="2"/>
  <c r="S704" i="2"/>
  <c r="D2417" i="2"/>
  <c r="S2417" i="2"/>
  <c r="D1023" i="2"/>
  <c r="S1023" i="2"/>
  <c r="S1091" i="2"/>
  <c r="D1091" i="2"/>
  <c r="S306" i="2"/>
  <c r="D306" i="2"/>
  <c r="S1370" i="2"/>
  <c r="D1370" i="2"/>
  <c r="D3206" i="2"/>
  <c r="S3206" i="2"/>
  <c r="D2860" i="2"/>
  <c r="S2860" i="2"/>
  <c r="S2650" i="2"/>
  <c r="D2650" i="2"/>
  <c r="D3061" i="2"/>
  <c r="S3061" i="2"/>
  <c r="S2227" i="2"/>
  <c r="D2227" i="2"/>
  <c r="D1804" i="2"/>
  <c r="S1804" i="2"/>
  <c r="D1369" i="2"/>
  <c r="S1369" i="2"/>
  <c r="D2151" i="2"/>
  <c r="S2151" i="2"/>
  <c r="D3226" i="2"/>
  <c r="S3226" i="2"/>
  <c r="D425" i="2"/>
  <c r="S425" i="2"/>
  <c r="S1809" i="2"/>
  <c r="D1809" i="2"/>
  <c r="S2102" i="2"/>
  <c r="D2102" i="2"/>
  <c r="D646" i="2"/>
  <c r="S646" i="2"/>
  <c r="D1394" i="2"/>
  <c r="S1394" i="2"/>
  <c r="D3211" i="2"/>
  <c r="S3211" i="2"/>
  <c r="D2692" i="2"/>
  <c r="S2692" i="2"/>
  <c r="D1817" i="2"/>
  <c r="S1817" i="2"/>
  <c r="D403" i="2"/>
  <c r="S403" i="2"/>
  <c r="D3200" i="2"/>
  <c r="S3200" i="2"/>
  <c r="D373" i="2"/>
  <c r="S373" i="2"/>
  <c r="D440" i="2"/>
  <c r="S440" i="2"/>
  <c r="S2174" i="2"/>
  <c r="D2174" i="2"/>
  <c r="D1092" i="2"/>
  <c r="S1092" i="2"/>
  <c r="S2910" i="2"/>
  <c r="D2910" i="2"/>
  <c r="S1501" i="2"/>
  <c r="D1501" i="2"/>
  <c r="D317" i="2"/>
  <c r="S317" i="2"/>
  <c r="D552" i="2"/>
  <c r="S552" i="2"/>
  <c r="S2309" i="2"/>
  <c r="D2309" i="2"/>
  <c r="D2637" i="2"/>
  <c r="S2637" i="2"/>
  <c r="S2041" i="2"/>
  <c r="D2041" i="2"/>
  <c r="S2734" i="2"/>
  <c r="D2734" i="2"/>
  <c r="S1328" i="2"/>
  <c r="D1328" i="2"/>
  <c r="S2875" i="2"/>
  <c r="D2875" i="2"/>
  <c r="S282" i="2"/>
  <c r="D282" i="2"/>
  <c r="D1756" i="2"/>
  <c r="S1756" i="2"/>
  <c r="D576" i="2"/>
  <c r="S576" i="2"/>
  <c r="S2516" i="2"/>
  <c r="D2516" i="2"/>
  <c r="D968" i="2"/>
  <c r="S968" i="2"/>
  <c r="S2956" i="2"/>
  <c r="D2956" i="2"/>
  <c r="S3175" i="2"/>
  <c r="D3175" i="2"/>
  <c r="D1192" i="2"/>
  <c r="S1192" i="2"/>
  <c r="D3118" i="2"/>
  <c r="S3118" i="2"/>
  <c r="S2724" i="2"/>
  <c r="D2724" i="2"/>
  <c r="D2567" i="2"/>
  <c r="S2567" i="2"/>
  <c r="S1610" i="2"/>
  <c r="D1610" i="2"/>
  <c r="D1846" i="2"/>
  <c r="S1846" i="2"/>
  <c r="S2852" i="2"/>
  <c r="D2852" i="2"/>
  <c r="D2088" i="2"/>
  <c r="S2088" i="2"/>
  <c r="S1364" i="2"/>
  <c r="D1364" i="2"/>
  <c r="D260" i="2"/>
  <c r="S260" i="2"/>
  <c r="S2958" i="2"/>
  <c r="D2958" i="2"/>
  <c r="D1600" i="2"/>
  <c r="S1600" i="2"/>
  <c r="D476" i="2"/>
  <c r="S476" i="2"/>
  <c r="S991" i="2"/>
  <c r="D991" i="2"/>
  <c r="D1655" i="2"/>
  <c r="S1655" i="2"/>
  <c r="D2379" i="2"/>
  <c r="S2379" i="2"/>
  <c r="S1849" i="2"/>
  <c r="D1849" i="2"/>
  <c r="D208" i="2"/>
  <c r="S208" i="2"/>
  <c r="D972" i="2"/>
  <c r="S972" i="2"/>
  <c r="S1461" i="2"/>
  <c r="D1461" i="2"/>
  <c r="S481" i="2"/>
  <c r="D481" i="2"/>
  <c r="S743" i="2"/>
  <c r="D743" i="2"/>
  <c r="D2138" i="2"/>
  <c r="S2138" i="2"/>
  <c r="S2234" i="2"/>
  <c r="D2234" i="2"/>
  <c r="S685" i="2"/>
  <c r="D685" i="2"/>
  <c r="S1285" i="2"/>
  <c r="D1285" i="2"/>
  <c r="D861" i="2"/>
  <c r="S861" i="2"/>
  <c r="S2334" i="2"/>
  <c r="D2334" i="2"/>
  <c r="D2536" i="2"/>
  <c r="S2536" i="2"/>
  <c r="S2039" i="2"/>
  <c r="D2039" i="2"/>
  <c r="D398" i="2"/>
  <c r="S398" i="2"/>
  <c r="S775" i="2"/>
  <c r="D775" i="2"/>
  <c r="D23" i="2"/>
  <c r="S23" i="2"/>
  <c r="S2302" i="2"/>
  <c r="D2302" i="2"/>
  <c r="D1630" i="2"/>
  <c r="S1630" i="2"/>
  <c r="S2324" i="2"/>
  <c r="D2324" i="2"/>
  <c r="D1278" i="2"/>
  <c r="S1278" i="2"/>
  <c r="S1963" i="2"/>
  <c r="D1963" i="2"/>
  <c r="S1720" i="2"/>
  <c r="D1720" i="2"/>
  <c r="D844" i="2"/>
  <c r="S844" i="2"/>
  <c r="D731" i="2"/>
  <c r="S731" i="2"/>
  <c r="S1880" i="2"/>
  <c r="D1880" i="2"/>
  <c r="D3016" i="2"/>
  <c r="S3016" i="2"/>
  <c r="D1067" i="2"/>
  <c r="S1067" i="2"/>
  <c r="D1339" i="2"/>
  <c r="S1339" i="2"/>
  <c r="D1811" i="2"/>
  <c r="S1811" i="2"/>
  <c r="D2445" i="2"/>
  <c r="S2445" i="2"/>
  <c r="S1899" i="2"/>
  <c r="D1899" i="2"/>
  <c r="D1150" i="2"/>
  <c r="S1150" i="2"/>
  <c r="D2346" i="2"/>
  <c r="S2346" i="2"/>
  <c r="D1927" i="2"/>
  <c r="S1927" i="2"/>
  <c r="D422" i="2"/>
  <c r="S422" i="2"/>
  <c r="D434" i="2"/>
  <c r="S434" i="2"/>
  <c r="S1664" i="2"/>
  <c r="D1664" i="2"/>
  <c r="D1036" i="2"/>
  <c r="S1036" i="2"/>
  <c r="D1638" i="2"/>
  <c r="S1638" i="2"/>
  <c r="D2752" i="2"/>
  <c r="S2752" i="2"/>
  <c r="S1454" i="2"/>
  <c r="D1454" i="2"/>
  <c r="S2815" i="2"/>
  <c r="D2815" i="2"/>
  <c r="S285" i="2"/>
  <c r="D285" i="2"/>
  <c r="S3174" i="2"/>
  <c r="D3174" i="2"/>
  <c r="D431" i="2"/>
  <c r="S431" i="2"/>
  <c r="S1584" i="2"/>
  <c r="D1584" i="2"/>
  <c r="D1019" i="2"/>
  <c r="S1019" i="2"/>
  <c r="D1265" i="2"/>
  <c r="S1265" i="2"/>
  <c r="D2863" i="2"/>
  <c r="S2863" i="2"/>
  <c r="D1366" i="2"/>
  <c r="S1366" i="2"/>
  <c r="D2501" i="2"/>
  <c r="S2501" i="2"/>
  <c r="S124" i="2"/>
  <c r="D124" i="2"/>
  <c r="S634" i="2"/>
  <c r="D634" i="2"/>
  <c r="D2219" i="2"/>
  <c r="S2219" i="2"/>
  <c r="D2632" i="2"/>
  <c r="S2632" i="2"/>
  <c r="D997" i="2"/>
  <c r="S997" i="2"/>
  <c r="S1143" i="2"/>
  <c r="D1143" i="2"/>
  <c r="D3019" i="2"/>
  <c r="S3019" i="2"/>
  <c r="D2726" i="2"/>
  <c r="S2726" i="2"/>
  <c r="D1592" i="2"/>
  <c r="S1592" i="2"/>
  <c r="D963" i="2"/>
  <c r="S963" i="2"/>
  <c r="D744" i="2"/>
  <c r="S744" i="2"/>
  <c r="D2378" i="2"/>
  <c r="S2378" i="2"/>
  <c r="D117" i="2"/>
  <c r="S117" i="2"/>
  <c r="D1803" i="2"/>
  <c r="S1803" i="2"/>
  <c r="S3005" i="2"/>
  <c r="D3005" i="2"/>
  <c r="D1029" i="2"/>
  <c r="S1029" i="2"/>
  <c r="S2843" i="2"/>
  <c r="D2843" i="2"/>
  <c r="S1190" i="2"/>
  <c r="D1190" i="2"/>
  <c r="D1603" i="2"/>
  <c r="S1603" i="2"/>
  <c r="D3065" i="2"/>
  <c r="S3065" i="2"/>
  <c r="S417" i="2"/>
  <c r="D417" i="2"/>
  <c r="D2071" i="2"/>
  <c r="S2071" i="2"/>
  <c r="D3128" i="2"/>
  <c r="S3128" i="2"/>
  <c r="D3121" i="2"/>
  <c r="S3121" i="2"/>
  <c r="S181" i="2"/>
  <c r="D181" i="2"/>
  <c r="D68" i="2"/>
  <c r="S68" i="2"/>
  <c r="S1971" i="2"/>
  <c r="D1971" i="2"/>
  <c r="D1304" i="2"/>
  <c r="S1304" i="2"/>
  <c r="D2742" i="2"/>
  <c r="S2742" i="2"/>
  <c r="D2347" i="2"/>
  <c r="S2347" i="2"/>
  <c r="D769" i="2"/>
  <c r="S769" i="2"/>
  <c r="D1736" i="2"/>
  <c r="S1736" i="2"/>
  <c r="S2542" i="2"/>
  <c r="D2542" i="2"/>
  <c r="S2276" i="2"/>
  <c r="D2276" i="2"/>
  <c r="D615" i="2"/>
  <c r="S615" i="2"/>
  <c r="S3181" i="2"/>
  <c r="D3181" i="2"/>
  <c r="S2000" i="2"/>
  <c r="D2000" i="2"/>
  <c r="D2386" i="2"/>
  <c r="S2386" i="2"/>
  <c r="D140" i="2"/>
  <c r="S140" i="2"/>
  <c r="D3106" i="2"/>
  <c r="S3106" i="2"/>
  <c r="S1122" i="2"/>
  <c r="D1122" i="2"/>
  <c r="S3109" i="2"/>
  <c r="D3109" i="2"/>
  <c r="S2305" i="2"/>
  <c r="D2305" i="2"/>
  <c r="D1932" i="2"/>
  <c r="S1932" i="2"/>
  <c r="D1226" i="2"/>
  <c r="S1226" i="2"/>
  <c r="D2597" i="2"/>
  <c r="S2597" i="2"/>
  <c r="D19" i="2"/>
  <c r="S19" i="2"/>
  <c r="S2335" i="2"/>
  <c r="D2335" i="2"/>
  <c r="D1038" i="2"/>
  <c r="S1038" i="2"/>
  <c r="D3145" i="2"/>
  <c r="S3145" i="2"/>
  <c r="S2492" i="2"/>
  <c r="D2492" i="2"/>
  <c r="S1393" i="2"/>
  <c r="D1393" i="2"/>
  <c r="D1970" i="2"/>
  <c r="S1970" i="2"/>
  <c r="S1308" i="2"/>
  <c r="D1308" i="2"/>
  <c r="S2377" i="2"/>
  <c r="D2377" i="2"/>
  <c r="S2607" i="2"/>
  <c r="D2607" i="2"/>
  <c r="S2592" i="2"/>
  <c r="D2592" i="2"/>
  <c r="S641" i="2"/>
  <c r="D641" i="2"/>
  <c r="D2828" i="2"/>
  <c r="S2828" i="2"/>
  <c r="D643" i="2"/>
  <c r="S643" i="2"/>
  <c r="D1003" i="2"/>
  <c r="S1003" i="2"/>
  <c r="S2789" i="2"/>
  <c r="D2789" i="2"/>
  <c r="S550" i="2"/>
  <c r="D550" i="2"/>
  <c r="D321" i="2"/>
  <c r="S321" i="2"/>
  <c r="S2133" i="2"/>
  <c r="D2133" i="2"/>
  <c r="D2735" i="2"/>
  <c r="S2735" i="2"/>
  <c r="D570" i="2"/>
  <c r="S570" i="2"/>
  <c r="S1245" i="2"/>
  <c r="D1245" i="2"/>
  <c r="D2902" i="2"/>
  <c r="S2902" i="2"/>
  <c r="D2853" i="2"/>
  <c r="S2853" i="2"/>
  <c r="S94" i="2"/>
  <c r="D94" i="2"/>
  <c r="D212" i="2"/>
  <c r="S212" i="2"/>
  <c r="S1727" i="2"/>
  <c r="D1727" i="2"/>
  <c r="S1605" i="2"/>
  <c r="D1605" i="2"/>
  <c r="S1701" i="2"/>
  <c r="D1701" i="2"/>
  <c r="D1326" i="2"/>
  <c r="S1326" i="2"/>
  <c r="D2721" i="2"/>
  <c r="S2721" i="2"/>
  <c r="D1053" i="2"/>
  <c r="S1053" i="2"/>
  <c r="D3144" i="2"/>
  <c r="S3144" i="2"/>
  <c r="D1509" i="2"/>
  <c r="S1509" i="2"/>
  <c r="S2930" i="2"/>
  <c r="D2930" i="2"/>
  <c r="D1401" i="2"/>
  <c r="S1401" i="2"/>
  <c r="D2426" i="2"/>
  <c r="S2426" i="2"/>
  <c r="S1794" i="2"/>
  <c r="D1794" i="2"/>
  <c r="D948" i="2"/>
  <c r="S948" i="2"/>
  <c r="D1211" i="2"/>
  <c r="S1211" i="2"/>
  <c r="S220" i="2"/>
  <c r="D220" i="2"/>
  <c r="D3228" i="2"/>
  <c r="S3228" i="2"/>
  <c r="D1833" i="2"/>
  <c r="S1833" i="2"/>
  <c r="S3049" i="2"/>
  <c r="D3049" i="2"/>
  <c r="D20" i="2"/>
  <c r="S20" i="2"/>
  <c r="S2401" i="2"/>
  <c r="D2401" i="2"/>
  <c r="D2844" i="2"/>
  <c r="S2844" i="2"/>
  <c r="D87" i="2"/>
  <c r="S87" i="2"/>
  <c r="S189" i="2"/>
  <c r="D189" i="2"/>
  <c r="S466" i="2"/>
  <c r="D466" i="2"/>
  <c r="D2784" i="2"/>
  <c r="S2784" i="2"/>
  <c r="S2020" i="2"/>
  <c r="D2020" i="2"/>
  <c r="S2909" i="2"/>
  <c r="D2909" i="2"/>
  <c r="D1411" i="2"/>
  <c r="S1411" i="2"/>
  <c r="D302" i="2"/>
  <c r="S302" i="2"/>
  <c r="D2522" i="2"/>
  <c r="S2522" i="2"/>
  <c r="S3003" i="2"/>
  <c r="D3003" i="2"/>
  <c r="D2018" i="2"/>
  <c r="S2018" i="2"/>
  <c r="S2214" i="2"/>
  <c r="D2214" i="2"/>
  <c r="S3156" i="2"/>
  <c r="D3156" i="2"/>
  <c r="D3101" i="2"/>
  <c r="S3101" i="2"/>
  <c r="S1131" i="2"/>
  <c r="D1131" i="2"/>
  <c r="D2363" i="2"/>
  <c r="S2363" i="2"/>
  <c r="S1430" i="2"/>
  <c r="D1430" i="2"/>
  <c r="D2036" i="2"/>
  <c r="S2036" i="2"/>
  <c r="S1475" i="2"/>
  <c r="D1475" i="2"/>
  <c r="D2812" i="2"/>
  <c r="S2812" i="2"/>
  <c r="S2919" i="2"/>
  <c r="D2919" i="2"/>
  <c r="D1966" i="2"/>
  <c r="S1966" i="2"/>
  <c r="S2005" i="2"/>
  <c r="D2005" i="2"/>
  <c r="D512" i="2"/>
  <c r="S512" i="2"/>
  <c r="S2486" i="2"/>
  <c r="D2486" i="2"/>
  <c r="D3080" i="2"/>
  <c r="S3080" i="2"/>
  <c r="D781" i="2"/>
  <c r="S781" i="2"/>
  <c r="D760" i="2"/>
  <c r="S760" i="2"/>
  <c r="D3047" i="2"/>
  <c r="S3047" i="2"/>
  <c r="S1210" i="2"/>
  <c r="D1210" i="2"/>
  <c r="S1151" i="2"/>
  <c r="D1151" i="2"/>
  <c r="D2511" i="2"/>
  <c r="S2511" i="2"/>
  <c r="D1526" i="2"/>
  <c r="S1526" i="2"/>
  <c r="D2799" i="2"/>
  <c r="S2799" i="2"/>
  <c r="D2563" i="2"/>
  <c r="S2563" i="2"/>
  <c r="D2475" i="2"/>
  <c r="S2475" i="2"/>
  <c r="D2571" i="2"/>
  <c r="S2571" i="2"/>
  <c r="D721" i="2"/>
  <c r="S721" i="2"/>
  <c r="D2269" i="2"/>
  <c r="S2269" i="2"/>
  <c r="D387" i="2"/>
  <c r="S387" i="2"/>
  <c r="S1847" i="2"/>
  <c r="D1847" i="2"/>
  <c r="S2466" i="2"/>
  <c r="D2466" i="2"/>
  <c r="D230" i="2"/>
  <c r="S230" i="2"/>
  <c r="S833" i="2"/>
  <c r="D833" i="2"/>
  <c r="S2343" i="2"/>
  <c r="D2343" i="2"/>
  <c r="S1818" i="2"/>
  <c r="D1818" i="2"/>
  <c r="S41" i="2"/>
  <c r="D41" i="2"/>
  <c r="D210" i="2"/>
  <c r="S210" i="2"/>
  <c r="D3086" i="2"/>
  <c r="S3086" i="2"/>
  <c r="D322" i="2"/>
  <c r="S322" i="2"/>
  <c r="D746" i="2"/>
  <c r="S746" i="2"/>
  <c r="D1683" i="2"/>
  <c r="S1683" i="2"/>
  <c r="D1622" i="2"/>
  <c r="S1622" i="2"/>
  <c r="D248" i="2"/>
  <c r="S248" i="2"/>
  <c r="D1409" i="2"/>
  <c r="S1409" i="2"/>
  <c r="S392" i="2"/>
  <c r="D392" i="2"/>
  <c r="D2760" i="2"/>
  <c r="S2760" i="2"/>
  <c r="S2656" i="2"/>
  <c r="D2656" i="2"/>
  <c r="S2590" i="2"/>
  <c r="D2590" i="2"/>
  <c r="S1311" i="2"/>
  <c r="D1311" i="2"/>
  <c r="D73" i="2"/>
  <c r="S73" i="2"/>
  <c r="S29" i="2"/>
  <c r="D29" i="2"/>
  <c r="D758" i="2"/>
  <c r="S758" i="2"/>
  <c r="S1667" i="2"/>
  <c r="D1667" i="2"/>
  <c r="D1872" i="2"/>
  <c r="S1872" i="2"/>
  <c r="S99" i="2"/>
  <c r="D99" i="2"/>
  <c r="D2568" i="2"/>
  <c r="S2568" i="2"/>
  <c r="S2001" i="2"/>
  <c r="D2001" i="2"/>
  <c r="S9" i="2"/>
  <c r="D9" i="2"/>
  <c r="S937" i="2"/>
  <c r="D937" i="2"/>
  <c r="S2306" i="2"/>
  <c r="D2306" i="2"/>
  <c r="S2166" i="2"/>
  <c r="D2166" i="2"/>
  <c r="S1428" i="2"/>
  <c r="D1428" i="2"/>
  <c r="S2992" i="2"/>
  <c r="D2992" i="2"/>
  <c r="S2303" i="2"/>
  <c r="D2303" i="2"/>
  <c r="D406" i="2"/>
  <c r="S406" i="2"/>
  <c r="S2833" i="2"/>
  <c r="D2833" i="2"/>
  <c r="S3084" i="2"/>
  <c r="D3084" i="2"/>
  <c r="D1997" i="2"/>
  <c r="S1997" i="2"/>
  <c r="D855" i="2"/>
  <c r="S855" i="2"/>
  <c r="S2549" i="2"/>
  <c r="D2549" i="2"/>
  <c r="D1575" i="2"/>
  <c r="S1575" i="2"/>
  <c r="S734" i="2"/>
  <c r="D734" i="2"/>
  <c r="S1323" i="2"/>
  <c r="D1323" i="2"/>
  <c r="D1193" i="2"/>
  <c r="S1193" i="2"/>
  <c r="S2380" i="2"/>
  <c r="D2380" i="2"/>
  <c r="D463" i="2"/>
  <c r="S463" i="2"/>
  <c r="D251" i="2"/>
  <c r="S251" i="2"/>
  <c r="D921" i="2"/>
  <c r="S921" i="2"/>
  <c r="D2808" i="2"/>
  <c r="S2808" i="2"/>
  <c r="S2751" i="2"/>
  <c r="D2751" i="2"/>
  <c r="S2009" i="2"/>
  <c r="D2009" i="2"/>
  <c r="S48" i="2"/>
  <c r="D48" i="2"/>
  <c r="D579" i="2"/>
  <c r="S579" i="2"/>
  <c r="D707" i="2"/>
  <c r="S707" i="2"/>
  <c r="S710" i="2"/>
  <c r="D710" i="2"/>
  <c r="D1822" i="2"/>
  <c r="S1822" i="2"/>
  <c r="D1421" i="2"/>
  <c r="S1421" i="2"/>
  <c r="D1943" i="2"/>
  <c r="S1943" i="2"/>
  <c r="S2933" i="2"/>
  <c r="D2933" i="2"/>
  <c r="D1743" i="2"/>
  <c r="S1743" i="2"/>
  <c r="D936" i="2"/>
  <c r="S936" i="2"/>
  <c r="S3224" i="2"/>
  <c r="D3224" i="2"/>
  <c r="S1065" i="2"/>
  <c r="D1065" i="2"/>
  <c r="S1716" i="2"/>
  <c r="D1716" i="2"/>
  <c r="S2270" i="2"/>
  <c r="D2270" i="2"/>
  <c r="D1348" i="2"/>
  <c r="S1348" i="2"/>
  <c r="D1295" i="2"/>
  <c r="S1295" i="2"/>
  <c r="D716" i="2"/>
  <c r="S716" i="2"/>
  <c r="S2491" i="2"/>
  <c r="D2491" i="2"/>
  <c r="S35" i="2"/>
  <c r="D35" i="2"/>
  <c r="S1749" i="2"/>
  <c r="D1749" i="2"/>
  <c r="S2900" i="2"/>
  <c r="D2900" i="2"/>
  <c r="S2755" i="2"/>
  <c r="D2755" i="2"/>
  <c r="D2086" i="2"/>
  <c r="S2086" i="2"/>
  <c r="S308" i="2"/>
  <c r="D308" i="2"/>
  <c r="S2199" i="2"/>
  <c r="D2199" i="2"/>
  <c r="D1077" i="2"/>
  <c r="S1077" i="2"/>
  <c r="D2518" i="2"/>
  <c r="S2518" i="2"/>
  <c r="D131" i="2"/>
  <c r="S131" i="2"/>
  <c r="D661" i="2"/>
  <c r="S661" i="2"/>
  <c r="S1632" i="2"/>
  <c r="D1632" i="2"/>
  <c r="D1998" i="2"/>
  <c r="S1998" i="2"/>
  <c r="S240" i="2"/>
  <c r="D240" i="2"/>
  <c r="D437" i="2"/>
  <c r="S437" i="2"/>
  <c r="D2449" i="2"/>
  <c r="S2449" i="2"/>
  <c r="S350" i="2"/>
  <c r="D350" i="2"/>
  <c r="S1201" i="2"/>
  <c r="D1201" i="2"/>
  <c r="D759" i="2"/>
  <c r="S759" i="2"/>
  <c r="S1923" i="2"/>
  <c r="D1923" i="2"/>
  <c r="S1559" i="2"/>
  <c r="D1559" i="2"/>
  <c r="S1976" i="2"/>
  <c r="D1976" i="2"/>
  <c r="S3090" i="2"/>
  <c r="D3090" i="2"/>
  <c r="S2764" i="2"/>
  <c r="D2764" i="2"/>
  <c r="D2471" i="2"/>
  <c r="S2471" i="2"/>
  <c r="S2888" i="2"/>
  <c r="D2888" i="2"/>
  <c r="S1347" i="2"/>
  <c r="D1347" i="2"/>
  <c r="S100" i="2"/>
  <c r="D100" i="2"/>
  <c r="D857" i="2"/>
  <c r="S857" i="2"/>
  <c r="D2398" i="2"/>
  <c r="S2398" i="2"/>
  <c r="D1529" i="2"/>
  <c r="S1529" i="2"/>
  <c r="S762" i="2"/>
  <c r="D762" i="2"/>
  <c r="S1384" i="2"/>
  <c r="D1384" i="2"/>
  <c r="D344" i="2"/>
  <c r="S344" i="2"/>
  <c r="D2928" i="2"/>
  <c r="S2928" i="2"/>
  <c r="S3081" i="2"/>
  <c r="D3081" i="2"/>
  <c r="D1688" i="2"/>
  <c r="S1688" i="2"/>
  <c r="D1995" i="2"/>
  <c r="S1995" i="2"/>
  <c r="D1981" i="2"/>
  <c r="S1981" i="2"/>
  <c r="S2539" i="2"/>
  <c r="D2539" i="2"/>
  <c r="S259" i="2"/>
  <c r="D259" i="2"/>
  <c r="S793" i="2"/>
  <c r="D793" i="2"/>
  <c r="D3166" i="2"/>
  <c r="S3166" i="2"/>
  <c r="D2369" i="2"/>
  <c r="S2369" i="2"/>
  <c r="S805" i="2"/>
  <c r="D805" i="2"/>
  <c r="S1112" i="2"/>
  <c r="D1112" i="2"/>
  <c r="S1502" i="2"/>
  <c r="D1502" i="2"/>
  <c r="D2663" i="2"/>
  <c r="S2663" i="2"/>
  <c r="D3130" i="2"/>
  <c r="S3130" i="2"/>
  <c r="D2921" i="2"/>
  <c r="S2921" i="2"/>
  <c r="S233" i="2"/>
  <c r="D233" i="2"/>
  <c r="S1145" i="2"/>
  <c r="D1145" i="2"/>
  <c r="S2854" i="2"/>
  <c r="D2854" i="2"/>
  <c r="D1885" i="2"/>
  <c r="S1885" i="2"/>
  <c r="D1472" i="2"/>
  <c r="S1472" i="2"/>
  <c r="S3046" i="2"/>
  <c r="D3046" i="2"/>
  <c r="D2881" i="2"/>
  <c r="S2881" i="2"/>
  <c r="D1356" i="2"/>
  <c r="S1356" i="2"/>
  <c r="D1488" i="2"/>
  <c r="S1488" i="2"/>
  <c r="D836" i="2"/>
  <c r="S836" i="2"/>
  <c r="D938" i="2"/>
  <c r="S938" i="2"/>
  <c r="D828" i="2"/>
  <c r="S828" i="2"/>
  <c r="D34" i="2"/>
  <c r="S34" i="2"/>
  <c r="S651" i="2"/>
  <c r="D651" i="2"/>
  <c r="D1876" i="2"/>
  <c r="S1876" i="2"/>
  <c r="D3035" i="2"/>
  <c r="S3035" i="2"/>
  <c r="S1080" i="2"/>
  <c r="D1080" i="2"/>
  <c r="D2314" i="2"/>
  <c r="S2314" i="2"/>
  <c r="D2712" i="2"/>
  <c r="S2712" i="2"/>
  <c r="D3131" i="2"/>
  <c r="S3131" i="2"/>
  <c r="S998" i="2"/>
  <c r="D998" i="2"/>
  <c r="S684" i="2"/>
  <c r="D684" i="2"/>
  <c r="D2454" i="2"/>
  <c r="S2454" i="2"/>
  <c r="S1135" i="2"/>
  <c r="D1135" i="2"/>
  <c r="D819" i="2"/>
  <c r="S819" i="2"/>
  <c r="D495" i="2"/>
  <c r="S495" i="2"/>
  <c r="S427" i="2"/>
  <c r="D427" i="2"/>
  <c r="D3006" i="2"/>
  <c r="S3006" i="2"/>
  <c r="S1071" i="2"/>
  <c r="D1071" i="2"/>
  <c r="S632" i="2"/>
  <c r="D632" i="2"/>
  <c r="D2783" i="2"/>
  <c r="S2783" i="2"/>
  <c r="S2172" i="2"/>
  <c r="D2172" i="2"/>
  <c r="D110" i="2"/>
  <c r="S110" i="2"/>
  <c r="D2209" i="2"/>
  <c r="S2209" i="2"/>
  <c r="S2633" i="2"/>
  <c r="D2633" i="2"/>
  <c r="D908" i="2"/>
  <c r="S908" i="2"/>
  <c r="D1228" i="2"/>
  <c r="S1228" i="2"/>
  <c r="D563" i="2"/>
  <c r="S563" i="2"/>
  <c r="D2319" i="2"/>
  <c r="S2319" i="2"/>
  <c r="D605" i="2"/>
  <c r="S605" i="2"/>
  <c r="D851" i="2"/>
  <c r="S851" i="2"/>
  <c r="S43" i="2"/>
  <c r="D43" i="2"/>
  <c r="S1540" i="2"/>
  <c r="D1540" i="2"/>
  <c r="D1011" i="2"/>
  <c r="S1011" i="2"/>
  <c r="D3011" i="2"/>
  <c r="S3011" i="2"/>
  <c r="D2781" i="2"/>
  <c r="S2781" i="2"/>
  <c r="D113" i="2"/>
  <c r="S113" i="2"/>
  <c r="D518" i="2"/>
  <c r="S518" i="2"/>
  <c r="S3203" i="2"/>
  <c r="D3203" i="2"/>
  <c r="S2252" i="2"/>
  <c r="D2252" i="2"/>
  <c r="S752" i="2"/>
  <c r="D752" i="2"/>
  <c r="S2075" i="2"/>
  <c r="D2075" i="2"/>
  <c r="S2629" i="2"/>
  <c r="D2629" i="2"/>
  <c r="D1276" i="2"/>
  <c r="S1276" i="2"/>
  <c r="S1686" i="2"/>
  <c r="D1686" i="2"/>
  <c r="S1495" i="2"/>
  <c r="D1495" i="2"/>
  <c r="D1095" i="2"/>
  <c r="S1095" i="2"/>
  <c r="S439" i="2"/>
  <c r="D439" i="2"/>
  <c r="S588" i="2"/>
  <c r="D588" i="2"/>
  <c r="S3051" i="2"/>
  <c r="D3051" i="2"/>
  <c r="S107" i="2"/>
  <c r="D107" i="2"/>
  <c r="D278" i="2"/>
  <c r="S278" i="2"/>
  <c r="D825" i="2"/>
  <c r="S825" i="2"/>
  <c r="S127" i="2"/>
  <c r="D127" i="2"/>
  <c r="D2817" i="2"/>
  <c r="S2817" i="2"/>
  <c r="D2899" i="2"/>
  <c r="S2899" i="2"/>
  <c r="D2142" i="2"/>
  <c r="S2142" i="2"/>
  <c r="D1505" i="2"/>
  <c r="S1505" i="2"/>
  <c r="D294" i="2"/>
  <c r="S294" i="2"/>
  <c r="D146" i="2"/>
  <c r="S146" i="2"/>
  <c r="S1161" i="2"/>
  <c r="D1161" i="2"/>
  <c r="S218" i="2"/>
  <c r="D218" i="2"/>
  <c r="D1101" i="2"/>
  <c r="S1101" i="2"/>
  <c r="S1046" i="2"/>
  <c r="D1046" i="2"/>
  <c r="S2364" i="2"/>
  <c r="D2364" i="2"/>
  <c r="D2679" i="2"/>
  <c r="S2679" i="2"/>
  <c r="S1236" i="2"/>
  <c r="D1236" i="2"/>
  <c r="D1252" i="2"/>
  <c r="S1252" i="2"/>
  <c r="S227" i="2"/>
  <c r="D227" i="2"/>
  <c r="D1563" i="2"/>
  <c r="S1563" i="2"/>
  <c r="D2289" i="2"/>
  <c r="S2289" i="2"/>
  <c r="S470" i="2"/>
  <c r="D470" i="2"/>
  <c r="S3160" i="2"/>
  <c r="D3160" i="2"/>
  <c r="S2097" i="2"/>
  <c r="D2097" i="2"/>
  <c r="D2839" i="2"/>
  <c r="S2839" i="2"/>
  <c r="S697" i="2"/>
  <c r="D697" i="2"/>
  <c r="D2096" i="2"/>
  <c r="S2096" i="2"/>
  <c r="S1182" i="2"/>
  <c r="D1182" i="2"/>
  <c r="S2411" i="2"/>
  <c r="D2411" i="2"/>
  <c r="D1489" i="2"/>
  <c r="S1489" i="2"/>
  <c r="D1125" i="2"/>
  <c r="S1125" i="2"/>
  <c r="S1725" i="2"/>
  <c r="D1725" i="2"/>
  <c r="D1476" i="2"/>
  <c r="S1476" i="2"/>
  <c r="D1070" i="2"/>
  <c r="S1070" i="2"/>
  <c r="S2533" i="2"/>
  <c r="D2533" i="2"/>
  <c r="D2684" i="2"/>
  <c r="S2684" i="2"/>
  <c r="S1181" i="2"/>
  <c r="D1181" i="2"/>
  <c r="S2478" i="2"/>
  <c r="D2478" i="2"/>
  <c r="D1343" i="2"/>
  <c r="S1343" i="2"/>
  <c r="D2107" i="2"/>
  <c r="S2107" i="2"/>
  <c r="D3129" i="2"/>
  <c r="S3129" i="2"/>
  <c r="D1254" i="2"/>
  <c r="S1254" i="2"/>
  <c r="S2554" i="2"/>
  <c r="D2554" i="2"/>
  <c r="D939" i="2"/>
  <c r="S939" i="2"/>
  <c r="D843" i="2"/>
  <c r="S843" i="2"/>
  <c r="S672" i="2"/>
  <c r="D672" i="2"/>
  <c r="D331" i="2"/>
  <c r="S331" i="2"/>
  <c r="D2953" i="2"/>
  <c r="S2953" i="2"/>
  <c r="S419" i="2"/>
  <c r="D419" i="2"/>
  <c r="D1679" i="2"/>
  <c r="S1679" i="2"/>
  <c r="D1009" i="2"/>
  <c r="S1009" i="2"/>
  <c r="D658" i="2"/>
  <c r="S658" i="2"/>
  <c r="S988" i="2"/>
  <c r="D988" i="2"/>
  <c r="D1538" i="2"/>
  <c r="S1538" i="2"/>
  <c r="D871" i="2"/>
  <c r="S871" i="2"/>
  <c r="S1979" i="2"/>
  <c r="D1979" i="2"/>
  <c r="D2627" i="2"/>
  <c r="S2627" i="2"/>
  <c r="S1390" i="2"/>
  <c r="D1390" i="2"/>
  <c r="D1698" i="2"/>
  <c r="S1698" i="2"/>
  <c r="S2390" i="2"/>
  <c r="D2390" i="2"/>
  <c r="D677" i="2"/>
  <c r="S677" i="2"/>
  <c r="S572" i="2"/>
  <c r="D572" i="2"/>
  <c r="D2575" i="2"/>
  <c r="S2575" i="2"/>
  <c r="D3092" i="2"/>
  <c r="S3092" i="2"/>
  <c r="S352" i="2"/>
  <c r="D352" i="2"/>
  <c r="S262" i="2"/>
  <c r="D262" i="2"/>
  <c r="D211" i="2"/>
  <c r="S211" i="2"/>
  <c r="D911" i="2"/>
  <c r="S911" i="2"/>
  <c r="S445" i="2"/>
  <c r="D445" i="2"/>
  <c r="S2524" i="2"/>
  <c r="D2524" i="2"/>
  <c r="D2217" i="2"/>
  <c r="S2217" i="2"/>
  <c r="S310" i="2"/>
  <c r="D310" i="2"/>
  <c r="D922" i="2"/>
  <c r="S922" i="2"/>
  <c r="S2441" i="2"/>
  <c r="D2441" i="2"/>
  <c r="D2530" i="2"/>
  <c r="S2530" i="2"/>
  <c r="D446" i="2"/>
  <c r="S446" i="2"/>
  <c r="S852" i="2"/>
  <c r="D852" i="2"/>
  <c r="D1619" i="2"/>
  <c r="S1619" i="2"/>
  <c r="D2745" i="2"/>
  <c r="S2745" i="2"/>
  <c r="S971" i="2"/>
  <c r="D971" i="2"/>
  <c r="D2483" i="2"/>
  <c r="S2483" i="2"/>
  <c r="D2931" i="2"/>
  <c r="S2931" i="2"/>
  <c r="D3218" i="2"/>
  <c r="S3218" i="2"/>
  <c r="D1753" i="2"/>
  <c r="S1753" i="2"/>
  <c r="D1800" i="2"/>
  <c r="S1800" i="2"/>
  <c r="S977" i="2"/>
  <c r="D977" i="2"/>
  <c r="D1487" i="2"/>
  <c r="S1487" i="2"/>
  <c r="D931" i="2"/>
  <c r="S931" i="2"/>
  <c r="D2827" i="2"/>
  <c r="S2827" i="2"/>
  <c r="D1704" i="2"/>
  <c r="S1704" i="2"/>
  <c r="S1767" i="2"/>
  <c r="D1767" i="2"/>
  <c r="D143" i="2"/>
  <c r="S143" i="2"/>
  <c r="D2322" i="2"/>
  <c r="S2322" i="2"/>
  <c r="D1601" i="2"/>
  <c r="S1601" i="2"/>
  <c r="D1662" i="2"/>
  <c r="S1662" i="2"/>
  <c r="S1555" i="2"/>
  <c r="D1555" i="2"/>
  <c r="D2463" i="2"/>
  <c r="S2463" i="2"/>
  <c r="D2943" i="2"/>
  <c r="S2943" i="2"/>
  <c r="S842" i="2"/>
  <c r="D842" i="2"/>
  <c r="D1041" i="2"/>
  <c r="S1041" i="2"/>
  <c r="D1399" i="2"/>
  <c r="S1399" i="2"/>
  <c r="S1511" i="2"/>
  <c r="D1511" i="2"/>
  <c r="D261" i="2"/>
  <c r="S261" i="2"/>
  <c r="S840" i="2"/>
  <c r="D840" i="2"/>
  <c r="S2081" i="2"/>
  <c r="D2081" i="2"/>
  <c r="S800" i="2"/>
  <c r="D800" i="2"/>
  <c r="D1546" i="2"/>
  <c r="S1546" i="2"/>
  <c r="D2022" i="2"/>
  <c r="S2022" i="2"/>
  <c r="D2061" i="2"/>
  <c r="S2061" i="2"/>
  <c r="D2758" i="2"/>
  <c r="S2758" i="2"/>
  <c r="S1275" i="2"/>
  <c r="D1275" i="2"/>
  <c r="S1547" i="2"/>
  <c r="D1547" i="2"/>
  <c r="D1916" i="2"/>
  <c r="S1916" i="2"/>
  <c r="S1684" i="2"/>
  <c r="D1684" i="2"/>
  <c r="D2134" i="2"/>
  <c r="S2134" i="2"/>
  <c r="S2473" i="2"/>
  <c r="D2473" i="2"/>
  <c r="D1718" i="2"/>
  <c r="S1718" i="2"/>
  <c r="S1185" i="2"/>
  <c r="D1185" i="2"/>
  <c r="D2999" i="2"/>
  <c r="S2999" i="2"/>
  <c r="D2428" i="2"/>
  <c r="S2428" i="2"/>
  <c r="D1949" i="2"/>
  <c r="S1949" i="2"/>
  <c r="D2280" i="2"/>
  <c r="S2280" i="2"/>
  <c r="S2527" i="2"/>
  <c r="D2527" i="2"/>
  <c r="D888" i="2"/>
  <c r="S888" i="2"/>
  <c r="S2195" i="2"/>
  <c r="D2195" i="2"/>
  <c r="D2412" i="2"/>
  <c r="S2412" i="2"/>
  <c r="S3151" i="2"/>
  <c r="D3151" i="2"/>
  <c r="D2870" i="2"/>
  <c r="S2870" i="2"/>
  <c r="D635" i="2"/>
  <c r="S635" i="2"/>
  <c r="D2205" i="2"/>
  <c r="S2205" i="2"/>
  <c r="D1484" i="2"/>
  <c r="S1484" i="2"/>
  <c r="D787" i="2"/>
  <c r="S787" i="2"/>
  <c r="D2754" i="2"/>
  <c r="S2754" i="2"/>
  <c r="S1144" i="2"/>
  <c r="D1144" i="2"/>
  <c r="D1752" i="2"/>
  <c r="S1752" i="2"/>
  <c r="S1777" i="2"/>
  <c r="D1777" i="2"/>
  <c r="D2553" i="2"/>
  <c r="S2553" i="2"/>
  <c r="D297" i="2"/>
  <c r="S297" i="2"/>
  <c r="D1542" i="2"/>
  <c r="S1542" i="2"/>
  <c r="D2682" i="2"/>
  <c r="S2682" i="2"/>
  <c r="D2976" i="2"/>
  <c r="S2976" i="2"/>
  <c r="D414" i="2"/>
  <c r="S414" i="2"/>
  <c r="S2372" i="2"/>
  <c r="D2372" i="2"/>
  <c r="D150" i="2"/>
  <c r="S150" i="2"/>
  <c r="D2701" i="2"/>
  <c r="S2701" i="2"/>
  <c r="D129" i="2"/>
  <c r="S129" i="2"/>
  <c r="D1434" i="2"/>
  <c r="S1434" i="2"/>
  <c r="S201" i="2"/>
  <c r="D201" i="2"/>
  <c r="D533" i="2"/>
  <c r="S533" i="2"/>
  <c r="D2851" i="2"/>
  <c r="S2851" i="2"/>
  <c r="S135" i="2"/>
  <c r="D135" i="2"/>
  <c r="S1524" i="2"/>
  <c r="D1524" i="2"/>
  <c r="D2310" i="2"/>
  <c r="S2310" i="2"/>
  <c r="S1748" i="2"/>
  <c r="D1748" i="2"/>
  <c r="S2918" i="2"/>
  <c r="D2918" i="2"/>
  <c r="S957" i="2"/>
  <c r="D957" i="2"/>
  <c r="S1083" i="2"/>
  <c r="D1083" i="2"/>
  <c r="S1084" i="2"/>
  <c r="D1084" i="2"/>
  <c r="D1593" i="2"/>
  <c r="S1593" i="2"/>
  <c r="D3098" i="2"/>
  <c r="S3098" i="2"/>
  <c r="D609" i="2"/>
  <c r="S609" i="2"/>
  <c r="D2687" i="2"/>
  <c r="S2687" i="2"/>
  <c r="S2146" i="2"/>
  <c r="D2146" i="2"/>
  <c r="S779" i="2"/>
  <c r="D779" i="2"/>
  <c r="S1983" i="2"/>
  <c r="D1983" i="2"/>
  <c r="S221" i="2"/>
  <c r="D221" i="2"/>
  <c r="D493" i="2"/>
  <c r="S493" i="2"/>
  <c r="S2080" i="2"/>
  <c r="D2080" i="2"/>
  <c r="D2092" i="2"/>
  <c r="S2092" i="2"/>
  <c r="D3168" i="2"/>
  <c r="S3168" i="2"/>
  <c r="D2706" i="2"/>
  <c r="S2706" i="2"/>
  <c r="D664" i="2"/>
  <c r="S664" i="2"/>
  <c r="S918" i="2"/>
  <c r="D918" i="2"/>
  <c r="S152" i="2"/>
  <c r="D152" i="2"/>
  <c r="D454" i="2"/>
  <c r="S454" i="2"/>
  <c r="D2321" i="2"/>
  <c r="S2321" i="2"/>
  <c r="D79" i="2"/>
  <c r="S79" i="2"/>
  <c r="D1865" i="2"/>
  <c r="S1865" i="2"/>
  <c r="D1837" i="2"/>
  <c r="S1837" i="2"/>
  <c r="D93" i="2"/>
  <c r="S93" i="2"/>
  <c r="D960" i="2"/>
  <c r="S960" i="2"/>
  <c r="D2148" i="2"/>
  <c r="S2148" i="2"/>
  <c r="D51" i="2"/>
  <c r="S51" i="2"/>
  <c r="D2393" i="2"/>
  <c r="S2393" i="2"/>
  <c r="D524" i="2"/>
  <c r="S524" i="2"/>
  <c r="D511" i="2"/>
  <c r="S511" i="2"/>
  <c r="D1715" i="2"/>
  <c r="S1715" i="2"/>
  <c r="S1625" i="2"/>
  <c r="D1625" i="2"/>
  <c r="D453" i="2"/>
  <c r="S453" i="2"/>
  <c r="D3001" i="2"/>
  <c r="S3001" i="2"/>
  <c r="D2498" i="2"/>
  <c r="S2498" i="2"/>
  <c r="S2416" i="2"/>
  <c r="D2416" i="2"/>
  <c r="S268" i="2"/>
  <c r="D268" i="2"/>
  <c r="D2453" i="2"/>
  <c r="S2453" i="2"/>
  <c r="S489" i="2"/>
  <c r="D489" i="2"/>
  <c r="S176" i="2"/>
  <c r="D176" i="2"/>
  <c r="D3153" i="2"/>
  <c r="S3153" i="2"/>
  <c r="D2474" i="2"/>
  <c r="S2474" i="2"/>
  <c r="S430" i="2"/>
  <c r="D430" i="2"/>
  <c r="D1946" i="2"/>
  <c r="S1946" i="2"/>
  <c r="D2514" i="2"/>
  <c r="S2514" i="2"/>
  <c r="D1383" i="2"/>
  <c r="S1383" i="2"/>
  <c r="S426" i="2"/>
  <c r="D426" i="2"/>
  <c r="D1385" i="2"/>
  <c r="S1385" i="2"/>
  <c r="S1658" i="2"/>
  <c r="D1658" i="2"/>
  <c r="S536" i="2"/>
  <c r="D536" i="2"/>
  <c r="S1429" i="2"/>
  <c r="D1429" i="2"/>
  <c r="D1594" i="2"/>
  <c r="S1594" i="2"/>
  <c r="S1146" i="2"/>
  <c r="D1146" i="2"/>
  <c r="D388" i="2"/>
  <c r="S388" i="2"/>
  <c r="D2255" i="2"/>
  <c r="S2255" i="2"/>
  <c r="S2913" i="2"/>
  <c r="D2913" i="2"/>
  <c r="D2652" i="2"/>
  <c r="S2652" i="2"/>
  <c r="D1523" i="2"/>
  <c r="S1523" i="2"/>
  <c r="D2558" i="2"/>
  <c r="S2558" i="2"/>
  <c r="D2698" i="2"/>
  <c r="S2698" i="2"/>
  <c r="D3140" i="2"/>
  <c r="S3140" i="2"/>
  <c r="S1791" i="2"/>
  <c r="D1791" i="2"/>
  <c r="S541" i="2"/>
  <c r="D541" i="2"/>
  <c r="D232" i="2"/>
  <c r="S232" i="2"/>
  <c r="D3023" i="2"/>
  <c r="S3023" i="2"/>
  <c r="D2997" i="2"/>
  <c r="S2997" i="2"/>
  <c r="D3038" i="2"/>
  <c r="S3038" i="2"/>
  <c r="S522" i="2"/>
  <c r="D522" i="2"/>
  <c r="D2885" i="2"/>
  <c r="S2885" i="2"/>
  <c r="D80" i="2"/>
  <c r="S80" i="2"/>
  <c r="D1359" i="2"/>
  <c r="S1359" i="2"/>
  <c r="D1140" i="2"/>
  <c r="S1140" i="2"/>
  <c r="D2901" i="2"/>
  <c r="S2901" i="2"/>
  <c r="D797" i="2"/>
  <c r="S797" i="2"/>
  <c r="S2877" i="2"/>
  <c r="D2877" i="2"/>
  <c r="D2066" i="2"/>
  <c r="S2066" i="2"/>
  <c r="D45" i="2"/>
  <c r="S45" i="2"/>
  <c r="S97" i="2"/>
  <c r="D97" i="2"/>
  <c r="S2077" i="2"/>
  <c r="D2077" i="2"/>
  <c r="D1863" i="2"/>
  <c r="S1863" i="2"/>
  <c r="D473" i="2"/>
  <c r="S473" i="2"/>
  <c r="S601" i="2"/>
  <c r="D601" i="2"/>
  <c r="D2342" i="2"/>
  <c r="S2342" i="2"/>
  <c r="S970" i="2"/>
  <c r="D970" i="2"/>
  <c r="D2285" i="2"/>
  <c r="S2285" i="2"/>
  <c r="S1177" i="2"/>
  <c r="D1177" i="2"/>
  <c r="D640" i="2"/>
  <c r="S640" i="2"/>
  <c r="D2296" i="2"/>
  <c r="S2296" i="2"/>
  <c r="S1499" i="2"/>
  <c r="D1499" i="2"/>
  <c r="D2523" i="2"/>
  <c r="S2523" i="2"/>
  <c r="D2583" i="2"/>
  <c r="S2583" i="2"/>
  <c r="S2260" i="2"/>
  <c r="D2260" i="2"/>
  <c r="S177" i="2"/>
  <c r="D177" i="2"/>
  <c r="D2995" i="2"/>
  <c r="S2995" i="2"/>
  <c r="D337" i="2"/>
  <c r="S337" i="2"/>
  <c r="S1613" i="2"/>
  <c r="D1613" i="2"/>
  <c r="S1808" i="2"/>
  <c r="D1808" i="2"/>
  <c r="D2634" i="2"/>
  <c r="S2634" i="2"/>
  <c r="S67" i="2"/>
  <c r="D67" i="2"/>
  <c r="S1944" i="2"/>
  <c r="D1944" i="2"/>
  <c r="S1118" i="2"/>
  <c r="D1118" i="2"/>
  <c r="D1110" i="2"/>
  <c r="S1110" i="2"/>
  <c r="D3167" i="2"/>
  <c r="S3167" i="2"/>
  <c r="D58" i="2"/>
  <c r="S58" i="2"/>
  <c r="S1287" i="2"/>
  <c r="D1287" i="2"/>
  <c r="S1796" i="2"/>
  <c r="D1796" i="2"/>
  <c r="D2648" i="2"/>
  <c r="S2648" i="2"/>
  <c r="D2384" i="2"/>
  <c r="S2384" i="2"/>
  <c r="D2847" i="2"/>
  <c r="S2847" i="2"/>
  <c r="S2791" i="2"/>
  <c r="D2791" i="2"/>
  <c r="D2748" i="2"/>
  <c r="S2748" i="2"/>
  <c r="S2732" i="2"/>
  <c r="D2732" i="2"/>
  <c r="D375" i="2"/>
  <c r="S375" i="2"/>
  <c r="D272" i="2"/>
  <c r="S272" i="2"/>
  <c r="S1239" i="2"/>
  <c r="D1239" i="2"/>
  <c r="S652" i="2"/>
  <c r="D652" i="2"/>
  <c r="S155" i="2"/>
  <c r="D155" i="2"/>
  <c r="D3132" i="2"/>
  <c r="S3132" i="2"/>
  <c r="D995" i="2"/>
  <c r="S995" i="2"/>
  <c r="S879" i="2"/>
  <c r="D879" i="2"/>
  <c r="D1375" i="2"/>
  <c r="S1375" i="2"/>
  <c r="D286" i="2"/>
  <c r="S286" i="2"/>
  <c r="S5" i="2"/>
  <c r="D5" i="2"/>
  <c r="D1007" i="2"/>
  <c r="S1007" i="2"/>
  <c r="D1691" i="2"/>
  <c r="S1691" i="2"/>
  <c r="S2116" i="2"/>
  <c r="D2116" i="2"/>
  <c r="S902" i="2"/>
  <c r="D902" i="2"/>
  <c r="S860" i="2"/>
  <c r="D860" i="2"/>
  <c r="S3116" i="2"/>
  <c r="D3116" i="2"/>
  <c r="S3085" i="2"/>
  <c r="D3085" i="2"/>
  <c r="S2507" i="2"/>
  <c r="D2507" i="2"/>
  <c r="D1534" i="2"/>
  <c r="S1534" i="2"/>
  <c r="S1398" i="2"/>
  <c r="D1398" i="2"/>
  <c r="D761" i="2"/>
  <c r="S761" i="2"/>
  <c r="S2759" i="2"/>
  <c r="D2759" i="2"/>
  <c r="D1508" i="2"/>
  <c r="S1508" i="2"/>
  <c r="D1068" i="2"/>
  <c r="S1068" i="2"/>
  <c r="D2083" i="2"/>
  <c r="S2083" i="2"/>
  <c r="D1973" i="2"/>
  <c r="S1973" i="2"/>
  <c r="D678" i="2"/>
  <c r="S678" i="2"/>
  <c r="D2728" i="2"/>
  <c r="S2728" i="2"/>
  <c r="D50" i="2"/>
  <c r="S50" i="2"/>
  <c r="D2649" i="2"/>
  <c r="S2649" i="2"/>
  <c r="S279" i="2"/>
  <c r="D279" i="2"/>
  <c r="D2163" i="2"/>
  <c r="S2163" i="2"/>
  <c r="S2534" i="2"/>
  <c r="D2534" i="2"/>
  <c r="D336" i="2"/>
  <c r="S336" i="2"/>
  <c r="S2360" i="2"/>
  <c r="D2360" i="2"/>
  <c r="D3009" i="2"/>
  <c r="S3009" i="2"/>
  <c r="D441" i="2"/>
  <c r="S441" i="2"/>
  <c r="D2065" i="2"/>
  <c r="S2065" i="2"/>
  <c r="S2826" i="2"/>
  <c r="D2826" i="2"/>
  <c r="S2619" i="2"/>
  <c r="D2619" i="2"/>
  <c r="S766" i="2"/>
  <c r="D766" i="2"/>
  <c r="S3169" i="2"/>
  <c r="D3169" i="2"/>
  <c r="S783" i="2"/>
  <c r="D783" i="2"/>
  <c r="S3105" i="2"/>
  <c r="D3105" i="2"/>
  <c r="D2261" i="2"/>
  <c r="S2261" i="2"/>
  <c r="D2173" i="2"/>
  <c r="S2173" i="2"/>
  <c r="D2158" i="2"/>
  <c r="S2158" i="2"/>
  <c r="S432" i="2"/>
  <c r="D432" i="2"/>
  <c r="D755" i="2"/>
  <c r="S755" i="2"/>
  <c r="S3063" i="2"/>
  <c r="D3063" i="2"/>
  <c r="S597" i="2"/>
  <c r="D597" i="2"/>
  <c r="S2775" i="2"/>
  <c r="D2775" i="2"/>
  <c r="D3044" i="2"/>
  <c r="S3044" i="2"/>
  <c r="D3048" i="2"/>
  <c r="S3048" i="2"/>
  <c r="S1136" i="2"/>
  <c r="D1136" i="2"/>
  <c r="D464" i="2"/>
  <c r="S464" i="2"/>
  <c r="D1799" i="2"/>
  <c r="S1799" i="2"/>
  <c r="S909" i="2"/>
  <c r="D909" i="2"/>
  <c r="S2972" i="2"/>
  <c r="D2972" i="2"/>
  <c r="D1087" i="2"/>
  <c r="S1087" i="2"/>
  <c r="D1732" i="2"/>
  <c r="S1732" i="2"/>
  <c r="S1924" i="2"/>
  <c r="D1924" i="2"/>
  <c r="D2033" i="2"/>
  <c r="S2033" i="2"/>
  <c r="S1631" i="2"/>
  <c r="D1631" i="2"/>
  <c r="D730" i="2"/>
  <c r="S730" i="2"/>
  <c r="D956" i="2"/>
  <c r="S956" i="2"/>
  <c r="S55" i="2"/>
  <c r="D55" i="2"/>
  <c r="D2011" i="2"/>
  <c r="S2011" i="2"/>
  <c r="S520" i="2"/>
  <c r="D520" i="2"/>
  <c r="S795" i="2"/>
  <c r="D795" i="2"/>
  <c r="D460" i="2"/>
  <c r="S460" i="2"/>
  <c r="D2743" i="2"/>
  <c r="S2743" i="2"/>
  <c r="S1178" i="2"/>
  <c r="D1178" i="2"/>
  <c r="D2880" i="2"/>
  <c r="S2880" i="2"/>
  <c r="D1094" i="2"/>
  <c r="S1094" i="2"/>
  <c r="D1365" i="2"/>
  <c r="S1365" i="2"/>
  <c r="D1670" i="2"/>
  <c r="S1670" i="2"/>
  <c r="D1945" i="2"/>
  <c r="S1945" i="2"/>
  <c r="D2014" i="2"/>
  <c r="S2014" i="2"/>
  <c r="D2187" i="2"/>
  <c r="S2187" i="2"/>
  <c r="D1769" i="2"/>
  <c r="S1769" i="2"/>
  <c r="S2358" i="2"/>
  <c r="D2358" i="2"/>
  <c r="D2983" i="2"/>
  <c r="S2983" i="2"/>
  <c r="D2404" i="2"/>
  <c r="S2404" i="2"/>
  <c r="S2949" i="2"/>
  <c r="D2949" i="2"/>
  <c r="S39" i="2"/>
  <c r="D39" i="2"/>
  <c r="D538" i="2"/>
  <c r="S538" i="2"/>
  <c r="D943" i="2"/>
  <c r="S943" i="2"/>
  <c r="D848" i="2"/>
  <c r="S848" i="2"/>
  <c r="D873" i="2"/>
  <c r="S873" i="2"/>
  <c r="S554" i="2"/>
  <c r="D554" i="2"/>
  <c r="D2733" i="2"/>
  <c r="S2733" i="2"/>
  <c r="S3110" i="2"/>
  <c r="D3110" i="2"/>
  <c r="D252" i="2"/>
  <c r="S252" i="2"/>
  <c r="S2247" i="2"/>
  <c r="D2247" i="2"/>
  <c r="D1677" i="2"/>
  <c r="S1677" i="2"/>
  <c r="D774" i="2"/>
  <c r="S774" i="2"/>
  <c r="D383" i="2"/>
  <c r="S383" i="2"/>
  <c r="D2054" i="2"/>
  <c r="S2054" i="2"/>
  <c r="D1400" i="2"/>
  <c r="S1400" i="2"/>
  <c r="S668" i="2"/>
  <c r="D668" i="2"/>
  <c r="S3034" i="2"/>
  <c r="D3034" i="2"/>
  <c r="D223" i="2"/>
  <c r="S223" i="2"/>
  <c r="S2811" i="2"/>
  <c r="D2811" i="2"/>
  <c r="S728" i="2"/>
  <c r="D728" i="2"/>
  <c r="D1250" i="2"/>
  <c r="S1250" i="2"/>
  <c r="S947" i="2"/>
  <c r="D947" i="2"/>
  <c r="S3027" i="2"/>
  <c r="D3027" i="2"/>
  <c r="D736" i="2"/>
  <c r="S736" i="2"/>
  <c r="D1520" i="2"/>
  <c r="S1520" i="2"/>
  <c r="S2196" i="2"/>
  <c r="D2196" i="2"/>
  <c r="D1353" i="2"/>
  <c r="S1353" i="2"/>
  <c r="S1222" i="2"/>
  <c r="D1222" i="2"/>
  <c r="S539" i="2"/>
  <c r="D539" i="2"/>
  <c r="D2114" i="2"/>
  <c r="S2114" i="2"/>
  <c r="D3057" i="2"/>
  <c r="S3057" i="2"/>
  <c r="D1954" i="2"/>
  <c r="S1954" i="2"/>
  <c r="D326" i="2"/>
  <c r="S326" i="2"/>
  <c r="D1561" i="2"/>
  <c r="S1561" i="2"/>
  <c r="D163" i="2"/>
  <c r="S163" i="2"/>
  <c r="D3103" i="2"/>
  <c r="S3103" i="2"/>
  <c r="S2804" i="2"/>
  <c r="D2804" i="2"/>
  <c r="D342" i="2"/>
  <c r="S342" i="2"/>
  <c r="D1113" i="2"/>
  <c r="S1113" i="2"/>
  <c r="S2099" i="2"/>
  <c r="D2099" i="2"/>
  <c r="D2770" i="2"/>
  <c r="S2770" i="2"/>
  <c r="D1626" i="2"/>
  <c r="S1626" i="2"/>
  <c r="S205" i="2"/>
  <c r="D205" i="2"/>
  <c r="D1302" i="2"/>
  <c r="S1302" i="2"/>
  <c r="D2708" i="2"/>
  <c r="S2708" i="2"/>
  <c r="S1073" i="2"/>
  <c r="D1073" i="2"/>
  <c r="D1553" i="2"/>
  <c r="S1553" i="2"/>
  <c r="D229" i="2"/>
  <c r="S229" i="2"/>
  <c r="D3127" i="2"/>
  <c r="S3127" i="2"/>
  <c r="D631" i="2"/>
  <c r="S631" i="2"/>
  <c r="S2671" i="2"/>
  <c r="D2671" i="2"/>
  <c r="S1819" i="2"/>
  <c r="D1819" i="2"/>
  <c r="D561" i="2"/>
  <c r="S561" i="2"/>
  <c r="S1977" i="2"/>
  <c r="D1977" i="2"/>
  <c r="D405" i="2"/>
  <c r="S405" i="2"/>
  <c r="D1442" i="2"/>
  <c r="S1442" i="2"/>
  <c r="D2664" i="2"/>
  <c r="S2664" i="2"/>
  <c r="D1614" i="2"/>
  <c r="S1614" i="2"/>
  <c r="S574" i="2"/>
  <c r="D574" i="2"/>
  <c r="S1418" i="2"/>
  <c r="D1418" i="2"/>
  <c r="S2292" i="2"/>
  <c r="D2292" i="2"/>
  <c r="S898" i="2"/>
  <c r="D898" i="2"/>
  <c r="D395" i="2"/>
  <c r="S395" i="2"/>
  <c r="S2525" i="2"/>
  <c r="D2525" i="2"/>
  <c r="S2850" i="2"/>
  <c r="D2850" i="2"/>
  <c r="S811" i="2"/>
  <c r="D811" i="2"/>
  <c r="D1054" i="2"/>
  <c r="S1054" i="2"/>
  <c r="S2257" i="2"/>
  <c r="D2257" i="2"/>
  <c r="D2891" i="2"/>
  <c r="S2891" i="2"/>
  <c r="D1372" i="2"/>
  <c r="S1372" i="2"/>
  <c r="S2738" i="2"/>
  <c r="D2738" i="2"/>
  <c r="D2610" i="2"/>
  <c r="S2610" i="2"/>
  <c r="D3214" i="2"/>
  <c r="S3214" i="2"/>
  <c r="S2696" i="2"/>
  <c r="D2696" i="2"/>
  <c r="D2156" i="2"/>
  <c r="S2156" i="2"/>
  <c r="D1440" i="2"/>
  <c r="S1440" i="2"/>
  <c r="S2140" i="2"/>
  <c r="D2140" i="2"/>
  <c r="D2794" i="2"/>
  <c r="S2794" i="2"/>
  <c r="D683" i="2"/>
  <c r="S683" i="2"/>
  <c r="S1855" i="2"/>
  <c r="D1855" i="2"/>
  <c r="D1079" i="2"/>
  <c r="S1079" i="2"/>
  <c r="S2915" i="2"/>
  <c r="D2915" i="2"/>
  <c r="D3053" i="2"/>
  <c r="S3053" i="2"/>
  <c r="D666" i="2"/>
  <c r="S666" i="2"/>
  <c r="D961" i="2"/>
  <c r="S961" i="2"/>
  <c r="D862" i="2"/>
  <c r="S862" i="2"/>
  <c r="D1845" i="2"/>
  <c r="S1845" i="2"/>
  <c r="S2113" i="2"/>
  <c r="D2113" i="2"/>
  <c r="S996" i="2"/>
  <c r="D996" i="2"/>
  <c r="S3182" i="2"/>
  <c r="D3182" i="2"/>
  <c r="D250" i="2"/>
  <c r="S250" i="2"/>
  <c r="D875" i="2"/>
  <c r="S875" i="2"/>
  <c r="S216" i="2"/>
  <c r="D216" i="2"/>
  <c r="D1000" i="2"/>
  <c r="S1000" i="2"/>
  <c r="D1282" i="2"/>
  <c r="S1282" i="2"/>
  <c r="S3062" i="2"/>
  <c r="D3062" i="2"/>
  <c r="D2155" i="2"/>
  <c r="S2155" i="2"/>
  <c r="D3199" i="2"/>
  <c r="S3199" i="2"/>
  <c r="D1314" i="2"/>
  <c r="S1314" i="2"/>
  <c r="D3142" i="2"/>
  <c r="S3142" i="2"/>
  <c r="D2835" i="2"/>
  <c r="S2835" i="2"/>
  <c r="D1093" i="2"/>
  <c r="S1093" i="2"/>
  <c r="D845" i="2"/>
  <c r="S845" i="2"/>
  <c r="S2119" i="2"/>
  <c r="D2119" i="2"/>
  <c r="D2150" i="2"/>
  <c r="S2150" i="2"/>
  <c r="S2584" i="2"/>
  <c r="D2584" i="2"/>
  <c r="D2051" i="2"/>
  <c r="S2051" i="2"/>
  <c r="S2655" i="2"/>
  <c r="D2655" i="2"/>
  <c r="S3094" i="2"/>
  <c r="D3094" i="2"/>
  <c r="S3060" i="2"/>
  <c r="D3060" i="2"/>
  <c r="D338" i="2"/>
  <c r="S338" i="2"/>
  <c r="S2798" i="2"/>
  <c r="D2798" i="2"/>
  <c r="D1034" i="2"/>
  <c r="S1034" i="2"/>
  <c r="D1644" i="2"/>
  <c r="S1644" i="2"/>
  <c r="D448" i="2"/>
  <c r="S448" i="2"/>
  <c r="D2573" i="2"/>
  <c r="S2573" i="2"/>
  <c r="D750" i="2"/>
  <c r="S750" i="2"/>
  <c r="S1781" i="2"/>
  <c r="D1781" i="2"/>
  <c r="D1883" i="2"/>
  <c r="S1883" i="2"/>
  <c r="S1432" i="2"/>
  <c r="D1432" i="2"/>
  <c r="D2357" i="2"/>
  <c r="S2357" i="2"/>
  <c r="S2387" i="2"/>
  <c r="D2387" i="2"/>
  <c r="D492" i="2"/>
  <c r="S492" i="2"/>
  <c r="D1441" i="2"/>
  <c r="S1441" i="2"/>
  <c r="S2037" i="2"/>
  <c r="D2037" i="2"/>
  <c r="D2435" i="2"/>
  <c r="S2435" i="2"/>
  <c r="S700" i="2"/>
  <c r="D700" i="2"/>
  <c r="D2500" i="2"/>
  <c r="S2500" i="2"/>
  <c r="S1901" i="2"/>
  <c r="D1901" i="2"/>
  <c r="S654" i="2"/>
  <c r="D654" i="2"/>
  <c r="D1272" i="2"/>
  <c r="S1272" i="2"/>
  <c r="D3172" i="2"/>
  <c r="S3172" i="2"/>
  <c r="D1227" i="2"/>
  <c r="S1227" i="2"/>
  <c r="D2876" i="2"/>
  <c r="S2876" i="2"/>
  <c r="D1751" i="2"/>
  <c r="S1751" i="2"/>
  <c r="D1893" i="2"/>
  <c r="S1893" i="2"/>
  <c r="D2945" i="2"/>
  <c r="S2945" i="2"/>
  <c r="D2228" i="2"/>
  <c r="S2228" i="2"/>
  <c r="D2341" i="2"/>
  <c r="S2341" i="2"/>
  <c r="D1076" i="2"/>
  <c r="S1076" i="2"/>
  <c r="D2962" i="2"/>
  <c r="S2962" i="2"/>
  <c r="S1172" i="2"/>
  <c r="D1172" i="2"/>
  <c r="S764" i="2"/>
  <c r="D764" i="2"/>
  <c r="D1503" i="2"/>
  <c r="S1503" i="2"/>
  <c r="S1346" i="2"/>
  <c r="D1346" i="2"/>
  <c r="S102" i="2"/>
  <c r="D102" i="2"/>
  <c r="D1765" i="2"/>
  <c r="S1765" i="2"/>
  <c r="S784" i="2"/>
  <c r="D784" i="2"/>
  <c r="S360" i="2"/>
  <c r="D360" i="2"/>
  <c r="S418" i="2"/>
  <c r="D418" i="2"/>
  <c r="S1910" i="2"/>
  <c r="D1910" i="2"/>
  <c r="D1035" i="2"/>
  <c r="S1035" i="2"/>
  <c r="D1010" i="2"/>
  <c r="S1010" i="2"/>
  <c r="D2868" i="2"/>
  <c r="S2868" i="2"/>
  <c r="S2186" i="2"/>
  <c r="D2186" i="2"/>
  <c r="D3054" i="2"/>
  <c r="S3054" i="2"/>
  <c r="D2437" i="2"/>
  <c r="S2437" i="2"/>
  <c r="D2604" i="2"/>
  <c r="S2604" i="2"/>
  <c r="D2286" i="2"/>
  <c r="S2286" i="2"/>
  <c r="S393" i="2"/>
  <c r="D393" i="2"/>
  <c r="D2978" i="2"/>
  <c r="S2978" i="2"/>
  <c r="S2832" i="2"/>
  <c r="D2832" i="2"/>
  <c r="D1155" i="2"/>
  <c r="S1155" i="2"/>
  <c r="S1574" i="2"/>
  <c r="D1574" i="2"/>
  <c r="D767" i="2"/>
  <c r="S767" i="2"/>
  <c r="D2543" i="2"/>
  <c r="S2543" i="2"/>
  <c r="D2777" i="2"/>
  <c r="S2777" i="2"/>
  <c r="D2688" i="2"/>
  <c r="S2688" i="2"/>
  <c r="S2609" i="2"/>
  <c r="D2609" i="2"/>
  <c r="D486" i="2"/>
  <c r="S486" i="2"/>
  <c r="D3136" i="2"/>
  <c r="S3136" i="2"/>
  <c r="S1382" i="2"/>
  <c r="D1382" i="2"/>
  <c r="D1039" i="2"/>
  <c r="S1039" i="2"/>
  <c r="D3075" i="2"/>
  <c r="S3075" i="2"/>
  <c r="S2820" i="2"/>
  <c r="D2820" i="2"/>
  <c r="D930" i="2"/>
  <c r="S930" i="2"/>
  <c r="D2238" i="2"/>
  <c r="S2238" i="2"/>
  <c r="S2792" i="2"/>
  <c r="D2792" i="2"/>
  <c r="D2236" i="2"/>
  <c r="S2236" i="2"/>
  <c r="D2389" i="2"/>
  <c r="S2389" i="2"/>
  <c r="S1204" i="2"/>
  <c r="D1204" i="2"/>
  <c r="D1107" i="2"/>
  <c r="S1107" i="2"/>
  <c r="D1238" i="2"/>
  <c r="S1238" i="2"/>
  <c r="D1692" i="2"/>
  <c r="S1692" i="2"/>
  <c r="D657" i="2"/>
  <c r="S657" i="2"/>
  <c r="S1233" i="2"/>
  <c r="D1233" i="2"/>
  <c r="S1870" i="2"/>
  <c r="D1870" i="2"/>
  <c r="D1459" i="2"/>
  <c r="S1459" i="2"/>
  <c r="S1611" i="2"/>
  <c r="D1611" i="2"/>
  <c r="S1163" i="2"/>
  <c r="D1163" i="2"/>
  <c r="D1919" i="2"/>
  <c r="S1919" i="2"/>
  <c r="D215" i="2"/>
  <c r="S215" i="2"/>
  <c r="S1133" i="2"/>
  <c r="D1133" i="2"/>
  <c r="D2623" i="2"/>
  <c r="S2623" i="2"/>
  <c r="S1103" i="2"/>
  <c r="D1103" i="2"/>
  <c r="S2392" i="2"/>
  <c r="D2392" i="2"/>
  <c r="S517" i="2"/>
  <c r="D517" i="2"/>
  <c r="D2436" i="2"/>
  <c r="S2436" i="2"/>
  <c r="S2796" i="2"/>
  <c r="D2796" i="2"/>
  <c r="S1582" i="2"/>
  <c r="D1582" i="2"/>
  <c r="S1967" i="2"/>
  <c r="D1967" i="2"/>
  <c r="D1290" i="2"/>
  <c r="S1290" i="2"/>
  <c r="S1729" i="2"/>
  <c r="D1729" i="2"/>
  <c r="D1991" i="2"/>
  <c r="S1991" i="2"/>
  <c r="S2336" i="2"/>
  <c r="D2336" i="2"/>
  <c r="S966" i="2"/>
  <c r="D966" i="2"/>
  <c r="D1580" i="2"/>
  <c r="S1580" i="2"/>
  <c r="D148" i="2"/>
  <c r="S148" i="2"/>
  <c r="D235" i="2"/>
  <c r="S235" i="2"/>
  <c r="D2631" i="2"/>
  <c r="S2631" i="2"/>
  <c r="S2162" i="2"/>
  <c r="D2162" i="2"/>
  <c r="S2294" i="2"/>
  <c r="D2294" i="2"/>
  <c r="S2693" i="2"/>
  <c r="D2693" i="2"/>
  <c r="D2211" i="2"/>
  <c r="S2211" i="2"/>
  <c r="S2070" i="2"/>
  <c r="D2070" i="2"/>
  <c r="S567" i="2"/>
  <c r="D567" i="2"/>
  <c r="D2381" i="2"/>
  <c r="S2381" i="2"/>
  <c r="S59" i="2"/>
  <c r="D59" i="2"/>
  <c r="S1202" i="2"/>
  <c r="D1202" i="2"/>
  <c r="D2432" i="2"/>
  <c r="S2432" i="2"/>
  <c r="S2044" i="2"/>
  <c r="D2044" i="2"/>
  <c r="D2757" i="2"/>
  <c r="S2757" i="2"/>
  <c r="S1281" i="2"/>
  <c r="D1281" i="2"/>
  <c r="D136" i="2"/>
  <c r="S136" i="2"/>
  <c r="D2084" i="2"/>
  <c r="S2084" i="2"/>
  <c r="S1260" i="2"/>
  <c r="D1260" i="2"/>
  <c r="D1242" i="2"/>
  <c r="S1242" i="2"/>
  <c r="S411" i="2"/>
  <c r="D411" i="2"/>
  <c r="S2183" i="2"/>
  <c r="D2183" i="2"/>
  <c r="D2678" i="2"/>
  <c r="S2678" i="2"/>
  <c r="D1723" i="2"/>
  <c r="S1723" i="2"/>
  <c r="S1583" i="2"/>
  <c r="D1583" i="2"/>
  <c r="D1541" i="2"/>
  <c r="S1541" i="2"/>
  <c r="D236" i="2"/>
  <c r="S236" i="2"/>
  <c r="D64" i="2"/>
  <c r="S64" i="2"/>
  <c r="S3159" i="2"/>
  <c r="D3159" i="2"/>
  <c r="S3177" i="2"/>
  <c r="D3177" i="2"/>
  <c r="D692" i="2"/>
  <c r="S692" i="2"/>
  <c r="S1915" i="2"/>
  <c r="D1915" i="2"/>
  <c r="D66" i="2"/>
  <c r="S66" i="2"/>
  <c r="D2354" i="2"/>
  <c r="S2354" i="2"/>
  <c r="S299" i="2"/>
  <c r="D299" i="2"/>
  <c r="S2213" i="2"/>
  <c r="D2213" i="2"/>
  <c r="S2481" i="2"/>
  <c r="D2481" i="2"/>
  <c r="D2345" i="2"/>
  <c r="S2345" i="2"/>
  <c r="S1051" i="2"/>
  <c r="D1051" i="2"/>
  <c r="D3067" i="2"/>
  <c r="S3067" i="2"/>
  <c r="D2177" i="2"/>
  <c r="S2177" i="2"/>
  <c r="S103" i="2"/>
  <c r="D103" i="2"/>
  <c r="S2267" i="2"/>
  <c r="D2267" i="2"/>
  <c r="D1123" i="2"/>
  <c r="S1123" i="2"/>
  <c r="D2259" i="2"/>
  <c r="S2259" i="2"/>
  <c r="S2415" i="2"/>
  <c r="D2415" i="2"/>
  <c r="S1891" i="2"/>
  <c r="D1891" i="2"/>
  <c r="S2557" i="2"/>
  <c r="D2557" i="2"/>
  <c r="S1815" i="2"/>
  <c r="D1815" i="2"/>
  <c r="D1581" i="2"/>
  <c r="S1581" i="2"/>
  <c r="S1828" i="2"/>
  <c r="D1828" i="2"/>
  <c r="D2254" i="2"/>
  <c r="S2254" i="2"/>
  <c r="D670" i="2"/>
  <c r="S670" i="2"/>
  <c r="D2371" i="2"/>
  <c r="S2371" i="2"/>
  <c r="S386" i="2"/>
  <c r="D386" i="2"/>
  <c r="D1513" i="2"/>
  <c r="S1513" i="2"/>
  <c r="S2599" i="2"/>
  <c r="D2599" i="2"/>
  <c r="D3194" i="2"/>
  <c r="S3194" i="2"/>
  <c r="D2725" i="2"/>
  <c r="S2725" i="2"/>
  <c r="D1480" i="2"/>
  <c r="S1480" i="2"/>
  <c r="D3150" i="2"/>
  <c r="S3150" i="2"/>
  <c r="S2406" i="2"/>
  <c r="D2406" i="2"/>
  <c r="S1108" i="2"/>
  <c r="D1108" i="2"/>
  <c r="D673" i="2"/>
  <c r="S673" i="2"/>
  <c r="D3" i="2"/>
  <c r="S3" i="2"/>
  <c r="D438" i="2"/>
  <c r="S438" i="2"/>
  <c r="S185" i="2"/>
  <c r="D185" i="2"/>
  <c r="D2287" i="2"/>
  <c r="S2287" i="2"/>
  <c r="D2797" i="2"/>
  <c r="S2797" i="2"/>
  <c r="S1059" i="2"/>
  <c r="D1059" i="2"/>
  <c r="D1719" i="2"/>
  <c r="S1719" i="2"/>
  <c r="D153" i="2"/>
  <c r="S153" i="2"/>
  <c r="S1807" i="2"/>
  <c r="D1807" i="2"/>
  <c r="D1069" i="2"/>
  <c r="S1069" i="2"/>
  <c r="D500" i="2"/>
  <c r="S500" i="2"/>
  <c r="D2535" i="2"/>
  <c r="S2535" i="2"/>
  <c r="S3089" i="2"/>
  <c r="D3089" i="2"/>
  <c r="S1624" i="2"/>
  <c r="D1624" i="2"/>
  <c r="S1099" i="2"/>
  <c r="D1099" i="2"/>
  <c r="S1994" i="2"/>
  <c r="D1994" i="2"/>
  <c r="S1270" i="2"/>
  <c r="D1270" i="2"/>
  <c r="S2903" i="2"/>
  <c r="D2903" i="2"/>
  <c r="D274" i="2"/>
  <c r="S274" i="2"/>
  <c r="D924" i="2"/>
  <c r="S924" i="2"/>
  <c r="S1618" i="2"/>
  <c r="D1618" i="2"/>
  <c r="D2120" i="2"/>
  <c r="S2120" i="2"/>
  <c r="D1066" i="2"/>
  <c r="S1066" i="2"/>
  <c r="D54" i="2"/>
  <c r="S54" i="2"/>
  <c r="D1633" i="2"/>
  <c r="S1633" i="2"/>
  <c r="D468" i="2"/>
  <c r="S468" i="2"/>
  <c r="S2703" i="2"/>
  <c r="D2703" i="2"/>
  <c r="D1820" i="2"/>
  <c r="S1820" i="2"/>
  <c r="S1507" i="2"/>
  <c r="D1507" i="2"/>
  <c r="D2577" i="2"/>
  <c r="S2577" i="2"/>
  <c r="S2281" i="2"/>
  <c r="D2281" i="2"/>
  <c r="S3037" i="2"/>
  <c r="D3037" i="2"/>
  <c r="D1761" i="2"/>
  <c r="S1761" i="2"/>
  <c r="S1483" i="2"/>
  <c r="D1483" i="2"/>
  <c r="S866" i="2"/>
  <c r="D866" i="2"/>
  <c r="D3036" i="2"/>
  <c r="S3036" i="2"/>
  <c r="D1666" i="2"/>
  <c r="S1666" i="2"/>
  <c r="D2034" i="2"/>
  <c r="S2034" i="2"/>
  <c r="S994" i="2"/>
  <c r="D994" i="2"/>
  <c r="D2128" i="2"/>
  <c r="S2128" i="2"/>
  <c r="S1877" i="2"/>
  <c r="D1877" i="2"/>
  <c r="S3007" i="2"/>
  <c r="D3007" i="2"/>
  <c r="D4" i="2"/>
  <c r="S4" i="2"/>
  <c r="S1497" i="2"/>
  <c r="D1497" i="2"/>
  <c r="D2591" i="2"/>
  <c r="S2591" i="2"/>
  <c r="S1117" i="2"/>
  <c r="D1117" i="2"/>
  <c r="D3097" i="2"/>
  <c r="S3097" i="2"/>
  <c r="S332" i="2"/>
  <c r="D332" i="2"/>
  <c r="D30" i="2"/>
  <c r="S30" i="2"/>
  <c r="S3112" i="2"/>
  <c r="D3112" i="2"/>
  <c r="D945" i="2"/>
  <c r="S945" i="2"/>
  <c r="D1859" i="2"/>
  <c r="S1859" i="2"/>
  <c r="D1700" i="2"/>
  <c r="S1700" i="2"/>
  <c r="D1026" i="2"/>
  <c r="S1026" i="2"/>
  <c r="S2152" i="2"/>
  <c r="D2152" i="2"/>
  <c r="S713" i="2"/>
  <c r="D713" i="2"/>
  <c r="D361" i="2"/>
  <c r="S361" i="2"/>
  <c r="D313" i="2"/>
  <c r="S313" i="2"/>
  <c r="S1015" i="2"/>
  <c r="D1015" i="2"/>
  <c r="S2934" i="2"/>
  <c r="D2934" i="2"/>
  <c r="D256" i="2"/>
  <c r="S256" i="2"/>
  <c r="D1247" i="2"/>
  <c r="S1247" i="2"/>
  <c r="D2012" i="2"/>
  <c r="S2012" i="2"/>
  <c r="D3123" i="2"/>
  <c r="S3123" i="2"/>
  <c r="D2699" i="2"/>
  <c r="S2699" i="2"/>
  <c r="D1006" i="2"/>
  <c r="S1006" i="2"/>
  <c r="S1957" i="2"/>
  <c r="D1957" i="2"/>
  <c r="D328" i="2"/>
  <c r="S328" i="2"/>
  <c r="S2402" i="2"/>
  <c r="D2402" i="2"/>
  <c r="S822" i="2"/>
  <c r="D822" i="2"/>
  <c r="D1255" i="2"/>
  <c r="S1255" i="2"/>
  <c r="S1645" i="2"/>
  <c r="D1645" i="2"/>
  <c r="D2502" i="2"/>
  <c r="S2502" i="2"/>
  <c r="D2971" i="2"/>
  <c r="S2971" i="2"/>
  <c r="S1392" i="2"/>
  <c r="D1392" i="2"/>
  <c r="S394" i="2"/>
  <c r="D394" i="2"/>
  <c r="D3025" i="2"/>
  <c r="S3025" i="2"/>
  <c r="D377" i="2"/>
  <c r="S377" i="2"/>
  <c r="D531" i="2"/>
  <c r="S531" i="2"/>
  <c r="S1405" i="2"/>
  <c r="D1405" i="2"/>
  <c r="D2076" i="2"/>
  <c r="S2076" i="2"/>
  <c r="S2181" i="2"/>
  <c r="D2181" i="2"/>
  <c r="D809" i="2"/>
  <c r="S809" i="2"/>
  <c r="S1021" i="2"/>
  <c r="D1021" i="2"/>
  <c r="S1085" i="2"/>
  <c r="D1085" i="2"/>
  <c r="D946" i="2"/>
  <c r="S946" i="2"/>
  <c r="D1052" i="2"/>
  <c r="S1052" i="2"/>
  <c r="S1935" i="2"/>
  <c r="D1935" i="2"/>
  <c r="D2479" i="2"/>
  <c r="S2479" i="2"/>
  <c r="D950" i="2"/>
  <c r="S950" i="2"/>
  <c r="S735" i="2"/>
  <c r="D735" i="2"/>
  <c r="S2640" i="2"/>
  <c r="D2640" i="2"/>
  <c r="D3179" i="2"/>
  <c r="S3179" i="2"/>
  <c r="D265" i="2"/>
  <c r="S265" i="2"/>
  <c r="D2297" i="2"/>
  <c r="S2297" i="2"/>
  <c r="S2520" i="2"/>
  <c r="D2520" i="2"/>
  <c r="S2251" i="2"/>
  <c r="D2251" i="2"/>
  <c r="D1214" i="2"/>
  <c r="S1214" i="2"/>
  <c r="S1706" i="2"/>
  <c r="D1706" i="2"/>
  <c r="D2778" i="2"/>
  <c r="S2778" i="2"/>
  <c r="S1061" i="2"/>
  <c r="D1061" i="2"/>
  <c r="D2021" i="2"/>
  <c r="S2021" i="2"/>
  <c r="D1318" i="2"/>
  <c r="S1318" i="2"/>
  <c r="D1404" i="2"/>
  <c r="S1404" i="2"/>
  <c r="S1329" i="2"/>
  <c r="D1329" i="2"/>
  <c r="D1500" i="2"/>
  <c r="S1500" i="2"/>
  <c r="S2352" i="2"/>
  <c r="D2352" i="2"/>
  <c r="S3133" i="2"/>
  <c r="D3133" i="2"/>
  <c r="S1527" i="2"/>
  <c r="D1527" i="2"/>
  <c r="D557" i="2"/>
  <c r="S557" i="2"/>
  <c r="D2940" i="2"/>
  <c r="S2940" i="2"/>
  <c r="D719" i="2"/>
  <c r="S719" i="2"/>
  <c r="D1016" i="2"/>
  <c r="S1016" i="2"/>
  <c r="D581" i="2"/>
  <c r="S581" i="2"/>
  <c r="S225" i="2"/>
  <c r="D225" i="2"/>
  <c r="S919" i="2"/>
  <c r="D919" i="2"/>
  <c r="S3161" i="2"/>
  <c r="D3161" i="2"/>
  <c r="S1032" i="2"/>
  <c r="D1032" i="2"/>
  <c r="D333" i="2"/>
  <c r="S333" i="2"/>
  <c r="D1433" i="2"/>
  <c r="S1433" i="2"/>
  <c r="D2485" i="2"/>
  <c r="S2485" i="2"/>
  <c r="D2382" i="2"/>
  <c r="S2382" i="2"/>
  <c r="S625" i="2"/>
  <c r="D625" i="2"/>
  <c r="D2338" i="2"/>
  <c r="S2338" i="2"/>
  <c r="D346" i="2"/>
  <c r="S346" i="2"/>
  <c r="S2361" i="2"/>
  <c r="D2361" i="2"/>
  <c r="S37" i="2"/>
  <c r="D37" i="2"/>
  <c r="D2893" i="2"/>
  <c r="S2893" i="2"/>
  <c r="D765" i="2"/>
  <c r="S765" i="2"/>
  <c r="D1672" i="2"/>
  <c r="S1672" i="2"/>
  <c r="S1004" i="2"/>
  <c r="D1004" i="2"/>
  <c r="S3201" i="2"/>
  <c r="D3201" i="2"/>
  <c r="D451" i="2"/>
  <c r="S451" i="2"/>
  <c r="D1959" i="2"/>
  <c r="S1959" i="2"/>
  <c r="D1627" i="2"/>
  <c r="S1627" i="2"/>
  <c r="D1482" i="2"/>
  <c r="S1482" i="2"/>
  <c r="D954" i="2"/>
  <c r="S954" i="2"/>
  <c r="S770" i="2"/>
  <c r="D770" i="2"/>
  <c r="S965" i="2"/>
  <c r="D965" i="2"/>
  <c r="S88" i="2"/>
  <c r="D88" i="2"/>
  <c r="S2787" i="2"/>
  <c r="D2787" i="2"/>
  <c r="D3014" i="2"/>
  <c r="S3014" i="2"/>
  <c r="S3082" i="2"/>
  <c r="D3082" i="2"/>
  <c r="D2385" i="2"/>
  <c r="S2385" i="2"/>
  <c r="D1760" i="2"/>
  <c r="S1760" i="2"/>
  <c r="D1780" i="2"/>
  <c r="S1780" i="2"/>
  <c r="D296" i="2"/>
  <c r="S296" i="2"/>
  <c r="D807" i="2"/>
  <c r="S807" i="2"/>
  <c r="D2762" i="2"/>
  <c r="S2762" i="2"/>
  <c r="S618" i="2"/>
  <c r="D618" i="2"/>
  <c r="S3187" i="2"/>
  <c r="D3187" i="2"/>
  <c r="D1105" i="2"/>
  <c r="S1105" i="2"/>
  <c r="D1132" i="2"/>
  <c r="S1132" i="2"/>
  <c r="D1436" i="2"/>
  <c r="S1436" i="2"/>
  <c r="D944" i="2"/>
  <c r="S944" i="2"/>
  <c r="S1550" i="2"/>
  <c r="D1550" i="2"/>
  <c r="D1156" i="2"/>
  <c r="S1156" i="2"/>
  <c r="D2657" i="2"/>
  <c r="S2657" i="2"/>
  <c r="S1466" i="2"/>
  <c r="D1466" i="2"/>
  <c r="S2669" i="2"/>
  <c r="D2669" i="2"/>
  <c r="D656" i="2"/>
  <c r="S656" i="2"/>
  <c r="D3124" i="2"/>
  <c r="S3124" i="2"/>
  <c r="D137" i="2"/>
  <c r="S137" i="2"/>
  <c r="S46" i="2"/>
  <c r="D46" i="2"/>
  <c r="S1207" i="2"/>
  <c r="D1207" i="2"/>
  <c r="S1277" i="2"/>
  <c r="D1277" i="2"/>
  <c r="D1449" i="2"/>
  <c r="S1449" i="2"/>
  <c r="S2256" i="2"/>
  <c r="D2256" i="2"/>
  <c r="S978" i="2"/>
  <c r="D978" i="2"/>
  <c r="D2320" i="2"/>
  <c r="S2320" i="2"/>
  <c r="D1844" i="2"/>
  <c r="S1844" i="2"/>
  <c r="S1721" i="2"/>
  <c r="D1721" i="2"/>
  <c r="D776" i="2"/>
  <c r="S776" i="2"/>
  <c r="D1615" i="2"/>
  <c r="S1615" i="2"/>
  <c r="S867" i="2"/>
  <c r="D867" i="2"/>
  <c r="D2098" i="2"/>
  <c r="S2098" i="2"/>
  <c r="D1268" i="2"/>
  <c r="S1268" i="2"/>
  <c r="D1522" i="2"/>
  <c r="S1522" i="2"/>
  <c r="S2548" i="2"/>
  <c r="D2548" i="2"/>
  <c r="D1572" i="2"/>
  <c r="S1572" i="2"/>
  <c r="D335" i="2"/>
  <c r="S335" i="2"/>
  <c r="D676" i="2"/>
  <c r="S676" i="2"/>
  <c r="S928" i="2"/>
  <c r="D928" i="2"/>
  <c r="D1362" i="2"/>
  <c r="S1362" i="2"/>
  <c r="D2686" i="2"/>
  <c r="S2686" i="2"/>
  <c r="S32" i="2"/>
  <c r="D32" i="2"/>
  <c r="D2045" i="2"/>
  <c r="S2045" i="2"/>
  <c r="D629" i="2"/>
  <c r="S629" i="2"/>
  <c r="S832" i="2"/>
  <c r="D832" i="2"/>
  <c r="D2170" i="2"/>
  <c r="S2170" i="2"/>
  <c r="D2176" i="2"/>
  <c r="S2176" i="2"/>
  <c r="S983" i="2"/>
  <c r="D983" i="2"/>
  <c r="S2400" i="2"/>
  <c r="D2400" i="2"/>
  <c r="D2756" i="2"/>
  <c r="S2756" i="2"/>
  <c r="S2002" i="2"/>
  <c r="D2002" i="2"/>
  <c r="D130" i="2"/>
  <c r="S130" i="2"/>
  <c r="D390" i="2"/>
  <c r="S390" i="2"/>
  <c r="S1055" i="2"/>
  <c r="D1055" i="2"/>
  <c r="D1525" i="2"/>
  <c r="S1525" i="2"/>
  <c r="S371" i="2"/>
  <c r="D371" i="2"/>
  <c r="D2911" i="2"/>
  <c r="S2911" i="2"/>
  <c r="S2939" i="2"/>
  <c r="D2939" i="2"/>
  <c r="D485" i="2"/>
  <c r="S485" i="2"/>
  <c r="D2215" i="2"/>
  <c r="S2215" i="2"/>
  <c r="S2493" i="2"/>
  <c r="D2493" i="2"/>
  <c r="S1412" i="2"/>
  <c r="D1412" i="2"/>
  <c r="D1793" i="2"/>
  <c r="S1793" i="2"/>
  <c r="S456" i="2"/>
  <c r="D456" i="2"/>
  <c r="S1341" i="2"/>
  <c r="D1341" i="2"/>
  <c r="D826" i="2"/>
  <c r="S826" i="2"/>
  <c r="D2948" i="2"/>
  <c r="S2948" i="2"/>
  <c r="S2779" i="2"/>
  <c r="D2779" i="2"/>
  <c r="D1111" i="2"/>
  <c r="S1111" i="2"/>
  <c r="D1455" i="2"/>
  <c r="S1455" i="2"/>
  <c r="S3024" i="2"/>
  <c r="D3024" i="2"/>
  <c r="D583" i="2"/>
  <c r="S583" i="2"/>
  <c r="D1154" i="2"/>
  <c r="S1154" i="2"/>
  <c r="S831" i="2"/>
  <c r="D831" i="2"/>
  <c r="D1764" i="2"/>
  <c r="S1764" i="2"/>
  <c r="S2106" i="2"/>
  <c r="D2106" i="2"/>
  <c r="S934" i="2"/>
  <c r="D934" i="2"/>
  <c r="D2723" i="2"/>
  <c r="S2723" i="2"/>
  <c r="D1623" i="2"/>
  <c r="S1623" i="2"/>
  <c r="S763" i="2"/>
  <c r="D763" i="2"/>
  <c r="D1874" i="2"/>
  <c r="S1874" i="2"/>
  <c r="S2179" i="2"/>
  <c r="D2179" i="2"/>
  <c r="S1763" i="2"/>
  <c r="D1763" i="2"/>
  <c r="D519" i="2"/>
  <c r="S519" i="2"/>
  <c r="S2067" i="2"/>
  <c r="D2067" i="2"/>
  <c r="D428" i="2"/>
  <c r="S428" i="2"/>
  <c r="S214" i="2"/>
  <c r="D214" i="2"/>
  <c r="S587" i="2"/>
  <c r="D587" i="2"/>
  <c r="D327" i="2"/>
  <c r="S327" i="2"/>
  <c r="D2091" i="2"/>
  <c r="S2091" i="2"/>
  <c r="D725" i="2"/>
  <c r="S725" i="2"/>
  <c r="D139" i="2"/>
  <c r="S139" i="2"/>
  <c r="D3077" i="2"/>
  <c r="S3077" i="2"/>
  <c r="S885" i="2"/>
  <c r="D885" i="2"/>
  <c r="S2429" i="2"/>
  <c r="D2429" i="2"/>
  <c r="D1134" i="2"/>
  <c r="S1134" i="2"/>
  <c r="S458" i="2"/>
  <c r="D458" i="2"/>
  <c r="S2497" i="2"/>
  <c r="D2497" i="2"/>
  <c r="D1814" i="2"/>
  <c r="S1814" i="2"/>
  <c r="D1922" i="2"/>
  <c r="S1922" i="2"/>
  <c r="D929" i="2"/>
  <c r="S929" i="2"/>
  <c r="S1759" i="2"/>
  <c r="D1759" i="2"/>
  <c r="D1292" i="2"/>
  <c r="S1292" i="2"/>
  <c r="S925" i="2"/>
  <c r="D925" i="2"/>
  <c r="D1884" i="2"/>
  <c r="S1884" i="2"/>
  <c r="D1873" i="2"/>
  <c r="S1873" i="2"/>
  <c r="D2291" i="2"/>
  <c r="S2291" i="2"/>
  <c r="D3126" i="2"/>
  <c r="S3126" i="2"/>
  <c r="S2512" i="2"/>
  <c r="D2512" i="2"/>
  <c r="S2618" i="2"/>
  <c r="D2618" i="2"/>
  <c r="D1148" i="2"/>
  <c r="S1148" i="2"/>
  <c r="S3068" i="2"/>
  <c r="D3068" i="2"/>
  <c r="D3210" i="2"/>
  <c r="S3210" i="2"/>
  <c r="S126" i="2"/>
  <c r="D126" i="2"/>
  <c r="S2574" i="2"/>
  <c r="D2574" i="2"/>
  <c r="S1450" i="2"/>
  <c r="D1450" i="2"/>
  <c r="D976" i="2"/>
  <c r="S976" i="2"/>
  <c r="D1665" i="2"/>
  <c r="S1665" i="2"/>
  <c r="S2831" i="2"/>
  <c r="D2831" i="2"/>
  <c r="D389" i="2"/>
  <c r="S389" i="2"/>
  <c r="S1836" i="2"/>
  <c r="D1836" i="2"/>
  <c r="S1629" i="2"/>
  <c r="D1629" i="2"/>
  <c r="S1778" i="2"/>
  <c r="D1778" i="2"/>
  <c r="D796" i="2"/>
  <c r="S796" i="2"/>
  <c r="S1422" i="2"/>
  <c r="D1422" i="2"/>
  <c r="D2457" i="2"/>
  <c r="S2457" i="2"/>
  <c r="D1617" i="2"/>
  <c r="S1617" i="2"/>
  <c r="D1795" i="2"/>
  <c r="S1795" i="2"/>
  <c r="D1678" i="2"/>
  <c r="S1678" i="2"/>
  <c r="S1912" i="2"/>
  <c r="D1912" i="2"/>
  <c r="D2424" i="2"/>
  <c r="S2424" i="2"/>
  <c r="D2737" i="2"/>
  <c r="S2737" i="2"/>
  <c r="D999" i="2"/>
  <c r="S999" i="2"/>
  <c r="S1717" i="2"/>
  <c r="D1717" i="2"/>
  <c r="D415" i="2"/>
  <c r="S415" i="2"/>
  <c r="D2223" i="2"/>
  <c r="S2223" i="2"/>
  <c r="D1825" i="2"/>
  <c r="S1825" i="2"/>
  <c r="S2882" i="2"/>
  <c r="D2882" i="2"/>
  <c r="S1640" i="2"/>
  <c r="D1640" i="2"/>
  <c r="D1562" i="2"/>
  <c r="S1562" i="2"/>
  <c r="S1357" i="2"/>
  <c r="D1357" i="2"/>
  <c r="D1241" i="2"/>
  <c r="S1241" i="2"/>
  <c r="D2506" i="2"/>
  <c r="S2506" i="2"/>
  <c r="S2856" i="2"/>
  <c r="D2856" i="2"/>
  <c r="D3033" i="2"/>
  <c r="S3033" i="2"/>
  <c r="D2550" i="2"/>
  <c r="S2550" i="2"/>
  <c r="S1153" i="2"/>
  <c r="D1153" i="2"/>
  <c r="S341" i="2"/>
  <c r="D341" i="2"/>
  <c r="D1164" i="2"/>
  <c r="S1164" i="2"/>
  <c r="S2975" i="2"/>
  <c r="D2975" i="2"/>
  <c r="S2145" i="2"/>
  <c r="D2145" i="2"/>
  <c r="D475" i="2"/>
  <c r="S475" i="2"/>
  <c r="S681" i="2"/>
  <c r="D681" i="2"/>
  <c r="S3220" i="2"/>
  <c r="D3220" i="2"/>
  <c r="D13" i="2"/>
  <c r="S13" i="2"/>
  <c r="D2886" i="2"/>
  <c r="S2886" i="2"/>
  <c r="D2747" i="2"/>
  <c r="S2747" i="2"/>
  <c r="D179" i="2"/>
  <c r="S179" i="2"/>
  <c r="D2603" i="2"/>
  <c r="S2603" i="2"/>
  <c r="D962" i="2"/>
  <c r="S962" i="2"/>
  <c r="S1895" i="2"/>
  <c r="D1895" i="2"/>
  <c r="S141" i="2"/>
  <c r="D141" i="2"/>
  <c r="S2588" i="2"/>
  <c r="D2588" i="2"/>
  <c r="S606" i="2"/>
  <c r="D606" i="2"/>
  <c r="D1567" i="2"/>
  <c r="S1567" i="2"/>
  <c r="S3111" i="2"/>
  <c r="D3111" i="2"/>
  <c r="D2984" i="2"/>
  <c r="S2984" i="2"/>
  <c r="D2248" i="2"/>
  <c r="S2248" i="2"/>
  <c r="D2366" i="2"/>
  <c r="S2366" i="2"/>
  <c r="S1169" i="2"/>
  <c r="D1169" i="2"/>
  <c r="D455" i="2"/>
  <c r="S455" i="2"/>
  <c r="D1387" i="2"/>
  <c r="S1387" i="2"/>
  <c r="D2551" i="2"/>
  <c r="S2551" i="2"/>
  <c r="S2840" i="2"/>
  <c r="D2840" i="2"/>
  <c r="D413" i="2"/>
  <c r="S413" i="2"/>
  <c r="D82" i="2"/>
  <c r="S82" i="2"/>
  <c r="D820" i="2"/>
  <c r="S820" i="2"/>
  <c r="D1947" i="2"/>
  <c r="S1947" i="2"/>
  <c r="D1199" i="2"/>
  <c r="S1199" i="2"/>
  <c r="D3204" i="2"/>
  <c r="S3204" i="2"/>
  <c r="D1806" i="2"/>
  <c r="S1806" i="2"/>
  <c r="D2447" i="2"/>
  <c r="S2447" i="2"/>
  <c r="S782" i="2"/>
  <c r="D782" i="2"/>
  <c r="D1367" i="2"/>
  <c r="S1367" i="2"/>
  <c r="D1566" i="2"/>
  <c r="S1566" i="2"/>
  <c r="D1468" i="2"/>
  <c r="S1468" i="2"/>
  <c r="D1446" i="2"/>
  <c r="S1446" i="2"/>
  <c r="S2233" i="2"/>
  <c r="D2233" i="2"/>
  <c r="S2405" i="2"/>
  <c r="D2405" i="2"/>
  <c r="D292" i="2"/>
  <c r="S292" i="2"/>
  <c r="S847" i="2"/>
  <c r="D847" i="2"/>
  <c r="S1183" i="2"/>
  <c r="D1183" i="2"/>
  <c r="D2668" i="2"/>
  <c r="S2668" i="2"/>
  <c r="S2965" i="2"/>
  <c r="D2965" i="2"/>
  <c r="S2580" i="2"/>
  <c r="D2580" i="2"/>
  <c r="D806" i="2"/>
  <c r="S806" i="2"/>
  <c r="D397" i="2"/>
  <c r="S397" i="2"/>
  <c r="S363" i="2"/>
  <c r="D363" i="2"/>
  <c r="S1937" i="2"/>
  <c r="D1937" i="2"/>
  <c r="D1934" i="2"/>
  <c r="S1934" i="2"/>
  <c r="S2521" i="2"/>
  <c r="D2521" i="2"/>
  <c r="S1208" i="2"/>
  <c r="D1208" i="2"/>
  <c r="D1306" i="2"/>
  <c r="S1306" i="2"/>
  <c r="D663" i="2"/>
  <c r="S663" i="2"/>
  <c r="D3185" i="2"/>
  <c r="S3185" i="2"/>
  <c r="D503" i="2"/>
  <c r="S503" i="2"/>
  <c r="S2620" i="2"/>
  <c r="D2620" i="2"/>
  <c r="D1890" i="2"/>
  <c r="S1890" i="2"/>
  <c r="D1090" i="2"/>
  <c r="S1090" i="2"/>
  <c r="D105" i="2"/>
  <c r="S105" i="2"/>
  <c r="D717" i="2"/>
  <c r="S717" i="2"/>
  <c r="D1320" i="2"/>
  <c r="S1320" i="2"/>
  <c r="D2741" i="2"/>
  <c r="S2741" i="2"/>
  <c r="D905" i="2"/>
  <c r="S905" i="2"/>
  <c r="S38" i="2"/>
  <c r="D38" i="2"/>
  <c r="S3113" i="2"/>
  <c r="D3113" i="2"/>
  <c r="D2990" i="2"/>
  <c r="S2990" i="2"/>
  <c r="S2388" i="2"/>
  <c r="D2388" i="2"/>
  <c r="S2695" i="2"/>
  <c r="D2695" i="2"/>
  <c r="S301" i="2"/>
  <c r="D301" i="2"/>
  <c r="D1693" i="2"/>
  <c r="S1693" i="2"/>
  <c r="D2035" i="2"/>
  <c r="S2035" i="2"/>
  <c r="D142" i="2"/>
  <c r="S142" i="2"/>
  <c r="D2433" i="2"/>
  <c r="S2433" i="2"/>
  <c r="D1941" i="2"/>
  <c r="S1941" i="2"/>
  <c r="S747" i="2"/>
  <c r="D747" i="2"/>
  <c r="S2600" i="2"/>
  <c r="D2600" i="2"/>
  <c r="S1992" i="2"/>
  <c r="D1992" i="2"/>
  <c r="S1596" i="2"/>
  <c r="D1596" i="2"/>
  <c r="D2904" i="2"/>
  <c r="S2904" i="2"/>
  <c r="S509" i="2"/>
  <c r="D509" i="2"/>
  <c r="S933" i="2"/>
  <c r="D933" i="2"/>
  <c r="D174" i="2"/>
  <c r="S174" i="2"/>
  <c r="D515" i="2"/>
  <c r="S515" i="2"/>
  <c r="D1248" i="2"/>
  <c r="S1248" i="2"/>
  <c r="D132" i="2"/>
  <c r="S132" i="2"/>
  <c r="S1801" i="2"/>
  <c r="D1801" i="2"/>
  <c r="D106" i="2"/>
  <c r="S106" i="2"/>
  <c r="D2630" i="2"/>
  <c r="S2630" i="2"/>
  <c r="D477" i="2"/>
  <c r="S477" i="2"/>
  <c r="S1298" i="2"/>
  <c r="D1298" i="2"/>
  <c r="D1515" i="2"/>
  <c r="S1515" i="2"/>
  <c r="S1490" i="2"/>
  <c r="D1490" i="2"/>
  <c r="D3070" i="2"/>
  <c r="S3070" i="2"/>
  <c r="S180" i="2"/>
  <c r="D180" i="2"/>
  <c r="D125" i="2"/>
  <c r="S125" i="2"/>
  <c r="D1024" i="2"/>
  <c r="S1024" i="2"/>
  <c r="S906" i="2"/>
  <c r="D906" i="2"/>
  <c r="S2878" i="2"/>
  <c r="D2878" i="2"/>
  <c r="D3191" i="2"/>
  <c r="S3191" i="2"/>
  <c r="S40" i="2"/>
  <c r="D40" i="2"/>
  <c r="S2823" i="2"/>
  <c r="D2823" i="2"/>
  <c r="D2482" i="2"/>
  <c r="S2482" i="2"/>
  <c r="D529" i="2"/>
  <c r="S529" i="2"/>
  <c r="S1251" i="2"/>
  <c r="D1251" i="2"/>
  <c r="S1224" i="2"/>
  <c r="D1224" i="2"/>
  <c r="S1962" i="2"/>
  <c r="D1962" i="2"/>
  <c r="S1189" i="2"/>
  <c r="D1189" i="2"/>
  <c r="S1782" i="2"/>
  <c r="D1782" i="2"/>
  <c r="S2780" i="2"/>
  <c r="D2780" i="2"/>
  <c r="S1089" i="2"/>
  <c r="D1089" i="2"/>
  <c r="D1853" i="2"/>
  <c r="S1853" i="2"/>
  <c r="D120" i="2"/>
  <c r="S120" i="2"/>
  <c r="D691" i="2"/>
  <c r="S691" i="2"/>
  <c r="D1889" i="2"/>
  <c r="S1889" i="2"/>
  <c r="D1709" i="2"/>
  <c r="S1709" i="2"/>
  <c r="D627" i="2"/>
  <c r="S627" i="2"/>
  <c r="S1303" i="2"/>
  <c r="D1303" i="2"/>
  <c r="S2766" i="2"/>
  <c r="D2766" i="2"/>
  <c r="D504" i="2"/>
  <c r="S504" i="2"/>
  <c r="D2168" i="2"/>
  <c r="S2168" i="2"/>
  <c r="S709" i="2"/>
  <c r="D709" i="2"/>
  <c r="D3202" i="2"/>
  <c r="S3202" i="2"/>
  <c r="D166" i="2"/>
  <c r="S166" i="2"/>
  <c r="S2541" i="2"/>
  <c r="D2541" i="2"/>
  <c r="D1170" i="2"/>
  <c r="S1170" i="2"/>
  <c r="S1300" i="2"/>
  <c r="D1300" i="2"/>
  <c r="D589" i="2"/>
  <c r="S589" i="2"/>
  <c r="D442" i="2"/>
  <c r="S442" i="2"/>
  <c r="S2677" i="2"/>
  <c r="D2677" i="2"/>
  <c r="D1637" i="2"/>
  <c r="S1637" i="2"/>
  <c r="D555" i="2"/>
  <c r="S555" i="2"/>
  <c r="D2700" i="2"/>
  <c r="S2700" i="2"/>
  <c r="D973" i="2"/>
  <c r="S973" i="2"/>
  <c r="S942" i="2"/>
  <c r="D942" i="2"/>
  <c r="S2673" i="2"/>
  <c r="D2673" i="2"/>
  <c r="D2123" i="2"/>
  <c r="S2123" i="2"/>
  <c r="D865" i="2"/>
  <c r="S865" i="2"/>
  <c r="D2464" i="2"/>
  <c r="S2464" i="2"/>
  <c r="S1062" i="2"/>
  <c r="D1062" i="2"/>
  <c r="S1458" i="2"/>
  <c r="D1458" i="2"/>
  <c r="S1299" i="2"/>
  <c r="D1299" i="2"/>
  <c r="S2332" i="2"/>
  <c r="D2332" i="2"/>
  <c r="S1477" i="2"/>
  <c r="D1477" i="2"/>
  <c r="D2242" i="2"/>
  <c r="S2242" i="2"/>
  <c r="S990" i="2"/>
  <c r="D990" i="2"/>
  <c r="D1602" i="2"/>
  <c r="S1602" i="2"/>
  <c r="S593" i="2"/>
  <c r="D593" i="2"/>
  <c r="D2359" i="2"/>
  <c r="S2359" i="2"/>
  <c r="D2368" i="2"/>
  <c r="S2368" i="2"/>
  <c r="S2879" i="2"/>
  <c r="D2879" i="2"/>
  <c r="D1044" i="2"/>
  <c r="S1044" i="2"/>
  <c r="D521" i="2"/>
  <c r="S521" i="2"/>
  <c r="S883" i="2"/>
  <c r="D883" i="2"/>
  <c r="D1557" i="2"/>
  <c r="S1557" i="2"/>
  <c r="D3018" i="2"/>
  <c r="S3018" i="2"/>
  <c r="S1175" i="2"/>
  <c r="D1175" i="2"/>
  <c r="S1734" i="2"/>
  <c r="D1734" i="2"/>
  <c r="D1463" i="2"/>
  <c r="S1463" i="2"/>
  <c r="D2122" i="2"/>
  <c r="S2122" i="2"/>
  <c r="S273" i="2"/>
  <c r="D273" i="2"/>
  <c r="S1535" i="2"/>
  <c r="D1535" i="2"/>
  <c r="S739" i="2"/>
  <c r="D739" i="2"/>
  <c r="S3055" i="2"/>
  <c r="D3055" i="2"/>
  <c r="S2834" i="2"/>
  <c r="D2834" i="2"/>
  <c r="D1043" i="2"/>
  <c r="S1043" i="2"/>
  <c r="D1127" i="2"/>
  <c r="S1127" i="2"/>
  <c r="S474" i="2"/>
  <c r="D474" i="2"/>
  <c r="S1316" i="2"/>
  <c r="D1316" i="2"/>
  <c r="D768" i="2"/>
  <c r="S768" i="2"/>
  <c r="D1416" i="2"/>
  <c r="S1416" i="2"/>
  <c r="S1585" i="2"/>
  <c r="D1585" i="2"/>
  <c r="D2193" i="2"/>
  <c r="S2193" i="2"/>
  <c r="D450" i="2"/>
  <c r="S450" i="2"/>
  <c r="D206" i="2"/>
  <c r="S206" i="2"/>
  <c r="S1002" i="2"/>
  <c r="D1002" i="2"/>
  <c r="S815" i="2"/>
  <c r="D815" i="2"/>
  <c r="D2714" i="2"/>
  <c r="S2714" i="2"/>
  <c r="D1628" i="2"/>
  <c r="S1628" i="2"/>
  <c r="S1985" i="2"/>
  <c r="D1985" i="2"/>
  <c r="D300" i="2"/>
  <c r="S300" i="2"/>
  <c r="D773" i="2"/>
  <c r="S773" i="2"/>
  <c r="D1235" i="2"/>
  <c r="S1235" i="2"/>
  <c r="S1266" i="2"/>
  <c r="D1266" i="2"/>
  <c r="S653" i="2"/>
  <c r="D653" i="2"/>
  <c r="D872" i="2"/>
  <c r="S872" i="2"/>
  <c r="D254" i="2"/>
  <c r="S254" i="2"/>
  <c r="S1987" i="2"/>
  <c r="D1987" i="2"/>
  <c r="D380" i="2"/>
  <c r="S380" i="2"/>
  <c r="D1680" i="2"/>
  <c r="S1680" i="2"/>
  <c r="D1830" i="2"/>
  <c r="S1830" i="2"/>
  <c r="S2810" i="2"/>
  <c r="D2810" i="2"/>
  <c r="D2998" i="2"/>
  <c r="S2998" i="2"/>
  <c r="S2858" i="2"/>
  <c r="D2858" i="2"/>
  <c r="D895" i="2"/>
  <c r="S895" i="2"/>
  <c r="S920" i="2"/>
  <c r="D920" i="2"/>
  <c r="S578" i="2"/>
  <c r="D578" i="2"/>
  <c r="D3091" i="2"/>
  <c r="S3091" i="2"/>
  <c r="S2582" i="2"/>
  <c r="D2582" i="2"/>
  <c r="S2907" i="2"/>
  <c r="D2907" i="2"/>
  <c r="D1184" i="2"/>
  <c r="S1184" i="2"/>
  <c r="D1167" i="2"/>
  <c r="S1167" i="2"/>
  <c r="D1965" i="2"/>
  <c r="S1965" i="2"/>
  <c r="D863" i="2"/>
  <c r="S863" i="2"/>
  <c r="S1789" i="2"/>
  <c r="D1789" i="2"/>
  <c r="D119" i="2"/>
  <c r="S119" i="2"/>
  <c r="D2842" i="2"/>
  <c r="S2842" i="2"/>
  <c r="D2564" i="2"/>
  <c r="S2564" i="2"/>
  <c r="D2722" i="2"/>
  <c r="S2722" i="2"/>
  <c r="D1608" i="2"/>
  <c r="S1608" i="2"/>
  <c r="D491" i="2"/>
  <c r="S491" i="2"/>
  <c r="S2916" i="2"/>
  <c r="D2916" i="2"/>
  <c r="D1022" i="2"/>
  <c r="S1022" i="2"/>
  <c r="D3197" i="2"/>
  <c r="S3197" i="2"/>
  <c r="S1020" i="2"/>
  <c r="D1020" i="2"/>
  <c r="S824" i="2"/>
  <c r="D824" i="2"/>
  <c r="S788" i="2"/>
  <c r="D788" i="2"/>
  <c r="D1262" i="2"/>
  <c r="S1262" i="2"/>
  <c r="S525" i="2"/>
  <c r="D525" i="2"/>
  <c r="D1407" i="2"/>
  <c r="S1407" i="2"/>
  <c r="D853" i="2"/>
  <c r="S853" i="2"/>
  <c r="D1779" i="2"/>
  <c r="S1779" i="2"/>
  <c r="D161" i="2"/>
  <c r="S161" i="2"/>
  <c r="S636" i="2"/>
  <c r="D636" i="2"/>
  <c r="D28" i="2"/>
  <c r="S28" i="2"/>
  <c r="D926" i="2"/>
  <c r="S926" i="2"/>
  <c r="S794" i="2"/>
  <c r="D794" i="2"/>
  <c r="S626" i="2"/>
  <c r="D626" i="2"/>
  <c r="D1261" i="2"/>
  <c r="S1261" i="2"/>
  <c r="D2922" i="2"/>
  <c r="S2922" i="2"/>
  <c r="S3045" i="2"/>
  <c r="D3045" i="2"/>
  <c r="D1471" i="2"/>
  <c r="S1471" i="2"/>
  <c r="D3223" i="2"/>
  <c r="S3223" i="2"/>
  <c r="S469" i="2"/>
  <c r="D469" i="2"/>
  <c r="S2180" i="2"/>
  <c r="D2180" i="2"/>
  <c r="D1906" i="2"/>
  <c r="S1906" i="2"/>
  <c r="S2959" i="2"/>
  <c r="D2959" i="2"/>
  <c r="S196" i="2"/>
  <c r="D196" i="2"/>
  <c r="D111" i="2"/>
  <c r="S111" i="2"/>
  <c r="D1179" i="2"/>
  <c r="S1179" i="2"/>
  <c r="D1952" i="2"/>
  <c r="S1952" i="2"/>
  <c r="S810" i="2"/>
  <c r="D810" i="2"/>
  <c r="D2898" i="2"/>
  <c r="S2898" i="2"/>
  <c r="S2459" i="2"/>
  <c r="D2459" i="2"/>
  <c r="D985" i="2"/>
  <c r="S985" i="2"/>
  <c r="D1257" i="2"/>
  <c r="S1257" i="2"/>
  <c r="S1486" i="2"/>
  <c r="D1486" i="2"/>
  <c r="D2169" i="2"/>
  <c r="S2169" i="2"/>
  <c r="D175" i="2"/>
  <c r="S175" i="2"/>
  <c r="S2069" i="2"/>
  <c r="D2069" i="2"/>
  <c r="D2283" i="2"/>
  <c r="S2283" i="2"/>
  <c r="D1597" i="2"/>
  <c r="S1597" i="2"/>
  <c r="S723" i="2"/>
  <c r="D723" i="2"/>
  <c r="S1075" i="2"/>
  <c r="D1075" i="2"/>
  <c r="S1355" i="2"/>
  <c r="D1355" i="2"/>
  <c r="S2920" i="2"/>
  <c r="D2920" i="2"/>
  <c r="D2488" i="2"/>
  <c r="S2488" i="2"/>
  <c r="D1467" i="2"/>
  <c r="S1467" i="2"/>
  <c r="D1232" i="2"/>
  <c r="S1232" i="2"/>
  <c r="S1358" i="2"/>
  <c r="D1358" i="2"/>
  <c r="D2427" i="2"/>
  <c r="S2427" i="2"/>
  <c r="D688" i="2"/>
  <c r="S688" i="2"/>
  <c r="D535" i="2"/>
  <c r="S535" i="2"/>
  <c r="D708" i="2"/>
  <c r="S708" i="2"/>
  <c r="D1697" i="2"/>
  <c r="S1697" i="2"/>
  <c r="S892" i="2"/>
  <c r="D892" i="2"/>
  <c r="D2370" i="2"/>
  <c r="S2370" i="2"/>
  <c r="D573" i="2"/>
  <c r="S573" i="2"/>
  <c r="D2750" i="2"/>
  <c r="S2750" i="2"/>
  <c r="S3114" i="2"/>
  <c r="D3114" i="2"/>
  <c r="D2643" i="2"/>
  <c r="S2643" i="2"/>
  <c r="S1652" i="2"/>
  <c r="D1652" i="2"/>
  <c r="D1978" i="2"/>
  <c r="S1978" i="2"/>
  <c r="S2222" i="2"/>
  <c r="D2222" i="2"/>
  <c r="D2298" i="2"/>
  <c r="S2298" i="2"/>
  <c r="D2462" i="2"/>
  <c r="S2462" i="2"/>
  <c r="D2566" i="2"/>
  <c r="S2566" i="2"/>
  <c r="D1775" i="2"/>
  <c r="S1775" i="2"/>
  <c r="D2201" i="2"/>
  <c r="S2201" i="2"/>
  <c r="D288" i="2"/>
  <c r="S288" i="2"/>
  <c r="D2311" i="2"/>
  <c r="S2311" i="2"/>
  <c r="S89" i="2"/>
  <c r="D89" i="2"/>
  <c r="S1174" i="2"/>
  <c r="D1174" i="2"/>
  <c r="D1413" i="2"/>
  <c r="S1413" i="2"/>
  <c r="D2809" i="2"/>
  <c r="S2809" i="2"/>
  <c r="S992" i="2"/>
  <c r="D992" i="2"/>
  <c r="S1342" i="2"/>
  <c r="D1342" i="2"/>
  <c r="D1960" i="2"/>
  <c r="S1960" i="2"/>
  <c r="D158" i="2"/>
  <c r="S158" i="2"/>
  <c r="S1269" i="2"/>
  <c r="D1269" i="2"/>
  <c r="D2987" i="2"/>
  <c r="S2987" i="2"/>
  <c r="D2761" i="2"/>
  <c r="S2761" i="2"/>
  <c r="D751" i="2"/>
  <c r="S751" i="2"/>
  <c r="D1950" i="2"/>
  <c r="S1950" i="2"/>
  <c r="D1330" i="2"/>
  <c r="S1330" i="2"/>
  <c r="S1240" i="2"/>
  <c r="D1240" i="2"/>
  <c r="D357" i="2"/>
  <c r="S357" i="2"/>
  <c r="D1913" i="2"/>
  <c r="S1913" i="2"/>
  <c r="S1200" i="2"/>
  <c r="D1200" i="2"/>
  <c r="D580" i="2"/>
  <c r="S580" i="2"/>
  <c r="D1604" i="2"/>
  <c r="S1604" i="2"/>
  <c r="S2884" i="2"/>
  <c r="D2884" i="2"/>
  <c r="D1349" i="2"/>
  <c r="S1349" i="2"/>
  <c r="D2628" i="2"/>
  <c r="S2628" i="2"/>
  <c r="S1948" i="2"/>
  <c r="D1948" i="2"/>
  <c r="S1408" i="2"/>
  <c r="D1408" i="2"/>
  <c r="S1157" i="2"/>
  <c r="D1157" i="2"/>
  <c r="D1621" i="2"/>
  <c r="S1621" i="2"/>
  <c r="D1897" i="2"/>
  <c r="S1897" i="2"/>
  <c r="D1414" i="2"/>
  <c r="S1414" i="2"/>
  <c r="D1588" i="2"/>
  <c r="S1588" i="2"/>
  <c r="D569" i="2"/>
  <c r="S569" i="2"/>
  <c r="S1903" i="2"/>
  <c r="D1903" i="2"/>
  <c r="D1100" i="2"/>
  <c r="S1100" i="2"/>
  <c r="D1713" i="2"/>
  <c r="S1713" i="2"/>
  <c r="S305" i="2"/>
  <c r="D305" i="2"/>
  <c r="D3043" i="2"/>
  <c r="S3043" i="2"/>
  <c r="D2047" i="2"/>
  <c r="S2047" i="2"/>
  <c r="S982" i="2"/>
  <c r="D982" i="2"/>
  <c r="D83" i="2"/>
  <c r="S83" i="2"/>
  <c r="D633" i="2"/>
  <c r="S633" i="2"/>
  <c r="S590" i="2"/>
  <c r="D590" i="2"/>
  <c r="D1868" i="2"/>
  <c r="S1868" i="2"/>
  <c r="D2954" i="2"/>
  <c r="S2954" i="2"/>
  <c r="D1826" i="2"/>
  <c r="S1826" i="2"/>
  <c r="S1829" i="2"/>
  <c r="D1829" i="2"/>
  <c r="D2239" i="2"/>
  <c r="S2239" i="2"/>
  <c r="S2308" i="2"/>
  <c r="D2308" i="2"/>
  <c r="D1999" i="2"/>
  <c r="S1999" i="2"/>
  <c r="D2782" i="2"/>
  <c r="S2782" i="2"/>
  <c r="D2836" i="2"/>
  <c r="S2836" i="2"/>
  <c r="D2073" i="2"/>
  <c r="S2073" i="2"/>
  <c r="D959" i="2"/>
  <c r="S959" i="2"/>
  <c r="D353" i="2"/>
  <c r="S353" i="2"/>
  <c r="S2865" i="2"/>
  <c r="D2865" i="2"/>
  <c r="S2646" i="2"/>
  <c r="D2646" i="2"/>
  <c r="D3209" i="2"/>
  <c r="S3209" i="2"/>
  <c r="D2589" i="2"/>
  <c r="S2589" i="2"/>
  <c r="D1510" i="2"/>
  <c r="S1510" i="2"/>
  <c r="D2053" i="2"/>
  <c r="S2053" i="2"/>
  <c r="D231" i="2"/>
  <c r="S231" i="2"/>
  <c r="D1771" i="2"/>
  <c r="S1771" i="2"/>
  <c r="D912" i="2"/>
  <c r="S912" i="2"/>
  <c r="S2611" i="2"/>
  <c r="D2611" i="2"/>
  <c r="D1930" i="2"/>
  <c r="S1930" i="2"/>
  <c r="D324" i="2"/>
  <c r="S324" i="2"/>
  <c r="D1671" i="2"/>
  <c r="S1671" i="2"/>
  <c r="D2528" i="2"/>
  <c r="S2528" i="2"/>
  <c r="D777" i="2"/>
  <c r="S777" i="2"/>
  <c r="S2569" i="2"/>
  <c r="D2569" i="2"/>
  <c r="D402" i="2"/>
  <c r="S402" i="2"/>
  <c r="D545" i="2"/>
  <c r="S545" i="2"/>
  <c r="D2240" i="2"/>
  <c r="S2240" i="2"/>
  <c r="D1360" i="2"/>
  <c r="S1360" i="2"/>
  <c r="D2510" i="2"/>
  <c r="S2510" i="2"/>
  <c r="S1363" i="2"/>
  <c r="D1363" i="2"/>
  <c r="D835" i="2"/>
  <c r="S835" i="2"/>
  <c r="D2131" i="2"/>
  <c r="S2131" i="2"/>
  <c r="D3192" i="2"/>
  <c r="S3192" i="2"/>
  <c r="D2598" i="2"/>
  <c r="S2598" i="2"/>
  <c r="S2175" i="2"/>
  <c r="D2175" i="2"/>
  <c r="D56" i="2"/>
  <c r="S56" i="2"/>
  <c r="D1244" i="2"/>
  <c r="S1244" i="2"/>
  <c r="S1714" i="2"/>
  <c r="D1714" i="2"/>
  <c r="D903" i="2"/>
  <c r="S903" i="2"/>
  <c r="D128" i="2"/>
  <c r="S128" i="2"/>
  <c r="D2560" i="2"/>
  <c r="S2560" i="2"/>
  <c r="S2793" i="2"/>
  <c r="D2793" i="2"/>
  <c r="S3074" i="2"/>
  <c r="D3074" i="2"/>
  <c r="D1840" i="2"/>
  <c r="S1840" i="2"/>
  <c r="D1674" i="2"/>
  <c r="S1674" i="2"/>
  <c r="S2513" i="2"/>
  <c r="D2513" i="2"/>
  <c r="D1974" i="2"/>
  <c r="S1974" i="2"/>
  <c r="S1570" i="2"/>
  <c r="D1570" i="2"/>
  <c r="D154" i="2"/>
  <c r="S154" i="2"/>
  <c r="S1469" i="2"/>
  <c r="D1469" i="2"/>
  <c r="S2925" i="2"/>
  <c r="D2925" i="2"/>
  <c r="S2683" i="2"/>
  <c r="D2683" i="2"/>
  <c r="D3171" i="2"/>
  <c r="S3171" i="2"/>
  <c r="S869" i="2"/>
  <c r="D869" i="2"/>
  <c r="D1648" i="2"/>
  <c r="S1648" i="2"/>
  <c r="S2117" i="2"/>
  <c r="D2117" i="2"/>
  <c r="D2329" i="2"/>
  <c r="S2329" i="2"/>
  <c r="S2977" i="2"/>
  <c r="D2977" i="2"/>
  <c r="S3026" i="2"/>
  <c r="D3026" i="2"/>
  <c r="D507" i="2"/>
  <c r="S507" i="2"/>
  <c r="D239" i="2"/>
  <c r="S239" i="2"/>
  <c r="S613" i="2"/>
  <c r="D613" i="2"/>
  <c r="S2555" i="2"/>
  <c r="D2555" i="2"/>
  <c r="D2694" i="2"/>
  <c r="S2694" i="2"/>
  <c r="D591" i="2"/>
  <c r="S591" i="2"/>
  <c r="D358" i="2"/>
  <c r="S358" i="2"/>
  <c r="D2212" i="2"/>
  <c r="S2212" i="2"/>
  <c r="S1702" i="2"/>
  <c r="D1702" i="2"/>
  <c r="D1805" i="2"/>
  <c r="S1805" i="2"/>
  <c r="D2105" i="2"/>
  <c r="S2105" i="2"/>
  <c r="S1267" i="2"/>
  <c r="D1267" i="2"/>
  <c r="D1699" i="2"/>
  <c r="S1699" i="2"/>
  <c r="S2307" i="2"/>
  <c r="D2307" i="2"/>
  <c r="D2616" i="2"/>
  <c r="S2616" i="2"/>
  <c r="S786" i="2"/>
  <c r="D786" i="2"/>
  <c r="D1842" i="2"/>
  <c r="S1842" i="2"/>
  <c r="S1109" i="2"/>
  <c r="D1109" i="2"/>
  <c r="S2906" i="2"/>
  <c r="D2906" i="2"/>
  <c r="S184" i="2"/>
  <c r="D184" i="2"/>
  <c r="D722" i="2"/>
  <c r="S722" i="2"/>
  <c r="D2890" i="2"/>
  <c r="S2890" i="2"/>
  <c r="D2171" i="2"/>
  <c r="S2171" i="2"/>
  <c r="D1589" i="2"/>
  <c r="S1589" i="2"/>
  <c r="D2993" i="2"/>
  <c r="S2993" i="2"/>
  <c r="D1635" i="2"/>
  <c r="S1635" i="2"/>
  <c r="D2094" i="2"/>
  <c r="S2094" i="2"/>
  <c r="S2221" i="2"/>
  <c r="D2221" i="2"/>
  <c r="D596" i="2"/>
  <c r="S596" i="2"/>
  <c r="S854" i="2"/>
  <c r="D854" i="2"/>
  <c r="D979" i="2"/>
  <c r="S979" i="2"/>
  <c r="D399" i="2"/>
  <c r="S399" i="2"/>
  <c r="S2446" i="2"/>
  <c r="D2446" i="2"/>
  <c r="D2716" i="2"/>
  <c r="S2716" i="2"/>
  <c r="D1634" i="2"/>
  <c r="S1634" i="2"/>
  <c r="S2581" i="2"/>
  <c r="D2581" i="2"/>
  <c r="S642" i="2"/>
  <c r="D642" i="2"/>
  <c r="D11" i="2"/>
  <c r="S11" i="2"/>
  <c r="S60" i="2"/>
  <c r="D60" i="2"/>
  <c r="S1969" i="2"/>
  <c r="D1969" i="2"/>
  <c r="D687" i="2"/>
  <c r="S687" i="2"/>
  <c r="D2241" i="2"/>
  <c r="S2241" i="2"/>
  <c r="S2143" i="2"/>
  <c r="D2143" i="2"/>
  <c r="D2160" i="2"/>
  <c r="S2160" i="2"/>
  <c r="D280" i="2"/>
  <c r="S280" i="2"/>
  <c r="D2942" i="2"/>
  <c r="S2942" i="2"/>
  <c r="D2161" i="2"/>
  <c r="S2161" i="2"/>
  <c r="D2988" i="2"/>
  <c r="S2988" i="2"/>
  <c r="S2284" i="2"/>
  <c r="D2284" i="2"/>
  <c r="D2418" i="2"/>
  <c r="S2418" i="2"/>
  <c r="S2653" i="2"/>
  <c r="D2653" i="2"/>
  <c r="D701" i="2"/>
  <c r="S701" i="2"/>
  <c r="D2841" i="2"/>
  <c r="S2841" i="2"/>
  <c r="D2268" i="2"/>
  <c r="S2268" i="2"/>
  <c r="S1379" i="2"/>
  <c r="D1379" i="2"/>
  <c r="D592" i="2"/>
  <c r="S592" i="2"/>
  <c r="D941" i="2"/>
  <c r="S941" i="2"/>
  <c r="D1824" i="2"/>
  <c r="S1824" i="2"/>
  <c r="D1160" i="2"/>
  <c r="S1160" i="2"/>
  <c r="D2829" i="2"/>
  <c r="S2829" i="2"/>
  <c r="D1733" i="2"/>
  <c r="S1733" i="2"/>
  <c r="D257" i="2"/>
  <c r="S257" i="2"/>
  <c r="D138" i="2"/>
  <c r="S138" i="2"/>
  <c r="D1438" i="2"/>
  <c r="S1438" i="2"/>
  <c r="D151" i="2"/>
  <c r="S151" i="2"/>
  <c r="S318" i="2"/>
  <c r="D318" i="2"/>
  <c r="D173" i="2"/>
  <c r="S173" i="2"/>
  <c r="D1773" i="2"/>
  <c r="S1773" i="2"/>
  <c r="S1337" i="2"/>
  <c r="D1337" i="2"/>
  <c r="D818" i="2"/>
  <c r="S818" i="2"/>
  <c r="D1661" i="2"/>
  <c r="S1661" i="2"/>
  <c r="S1660" i="2"/>
  <c r="D1660" i="2"/>
  <c r="D2031" i="2"/>
  <c r="S2031" i="2"/>
  <c r="D1116" i="2"/>
  <c r="S1116" i="2"/>
  <c r="D2666" i="2"/>
  <c r="S2666" i="2"/>
  <c r="D2685" i="2"/>
  <c r="S2685" i="2"/>
  <c r="S2452" i="2"/>
  <c r="D2452" i="2"/>
  <c r="S2025" i="2"/>
  <c r="D2025" i="2"/>
  <c r="D899" i="2"/>
  <c r="S899" i="2"/>
  <c r="S359" i="2"/>
  <c r="D359" i="2"/>
  <c r="S159" i="2"/>
  <c r="D159" i="2"/>
  <c r="D501" i="2"/>
  <c r="S501" i="2"/>
  <c r="D3152" i="2"/>
  <c r="S3152" i="2"/>
  <c r="S2154" i="2"/>
  <c r="D2154" i="2"/>
  <c r="D2503" i="2"/>
  <c r="S2503" i="2"/>
  <c r="S133" i="2"/>
  <c r="D133" i="2"/>
  <c r="D3173" i="2"/>
  <c r="S3173" i="2"/>
  <c r="S351" i="2"/>
  <c r="D351" i="2"/>
  <c r="D2059" i="2"/>
  <c r="S2059" i="2"/>
  <c r="S2192" i="2"/>
  <c r="D2192" i="2"/>
  <c r="S264" i="2"/>
  <c r="D264" i="2"/>
  <c r="D696" i="2"/>
  <c r="S696" i="2"/>
  <c r="D915" i="2"/>
  <c r="S915" i="2"/>
  <c r="S1861" i="2"/>
  <c r="D1861" i="2"/>
  <c r="S940" i="2"/>
  <c r="D940" i="2"/>
  <c r="D2996" i="2"/>
  <c r="S2996" i="2"/>
  <c r="S490" i="2"/>
  <c r="D490" i="2"/>
  <c r="S2926" i="2"/>
  <c r="D2926" i="2"/>
  <c r="D339" i="2"/>
  <c r="S339" i="2"/>
  <c r="D2570" i="2"/>
  <c r="S2570" i="2"/>
  <c r="D2636" i="2"/>
  <c r="S2636" i="2"/>
  <c r="S1866" i="2"/>
  <c r="D1866" i="2"/>
  <c r="D1616" i="2"/>
  <c r="S1616" i="2"/>
  <c r="S47" i="2"/>
  <c r="D47" i="2"/>
  <c r="S2963" i="2"/>
  <c r="D2963" i="2"/>
  <c r="S1437" i="2"/>
  <c r="D1437" i="2"/>
  <c r="D269" i="2"/>
  <c r="S269" i="2"/>
  <c r="D1788" i="2"/>
  <c r="S1788" i="2"/>
  <c r="S2606" i="2"/>
  <c r="D2606" i="2"/>
  <c r="D203" i="2"/>
  <c r="S203" i="2"/>
  <c r="D1313" i="2"/>
  <c r="S1313" i="2"/>
  <c r="S1289" i="2"/>
  <c r="D1289" i="2"/>
  <c r="S2873" i="2"/>
  <c r="D2873" i="2"/>
  <c r="S1301" i="2"/>
  <c r="D1301" i="2"/>
  <c r="S2450" i="2"/>
  <c r="D2450" i="2"/>
  <c r="D802" i="2"/>
  <c r="S802" i="2"/>
  <c r="S496" i="2"/>
  <c r="D496" i="2"/>
  <c r="D2048" i="2"/>
  <c r="S2048" i="2"/>
  <c r="S1928" i="2"/>
  <c r="D1928" i="2"/>
  <c r="S52" i="2"/>
  <c r="D52" i="2"/>
  <c r="S3141" i="2"/>
  <c r="D3141" i="2"/>
  <c r="D2165" i="2"/>
  <c r="S2165" i="2"/>
  <c r="D244" i="2"/>
  <c r="S244" i="2"/>
  <c r="D897" i="2"/>
  <c r="S897" i="2"/>
  <c r="S3020" i="2"/>
  <c r="D3020" i="2"/>
  <c r="D2912" i="2"/>
  <c r="S2912" i="2"/>
  <c r="S1532" i="2"/>
  <c r="D1532" i="2"/>
  <c r="D76" i="2"/>
  <c r="S76" i="2"/>
  <c r="S2444" i="2"/>
  <c r="D2444" i="2"/>
  <c r="S3178" i="2"/>
  <c r="D3178" i="2"/>
  <c r="D1517" i="2"/>
  <c r="S1517" i="2"/>
  <c r="S682" i="2"/>
  <c r="D682" i="2"/>
  <c r="D3069" i="2"/>
  <c r="S3069" i="2"/>
  <c r="S2967" i="2"/>
  <c r="D2967" i="2"/>
  <c r="S449" i="2"/>
  <c r="D449" i="2"/>
  <c r="D2494" i="2"/>
  <c r="S2494" i="2"/>
  <c r="S789" i="2"/>
  <c r="D789" i="2"/>
  <c r="D2957" i="2"/>
  <c r="S2957" i="2"/>
  <c r="D1331" i="2"/>
  <c r="S1331" i="2"/>
  <c r="D3207" i="2"/>
  <c r="S3207" i="2"/>
  <c r="D462" i="2"/>
  <c r="S462" i="2"/>
  <c r="D2736" i="2"/>
  <c r="S2736" i="2"/>
  <c r="S1797" i="2"/>
  <c r="D1797" i="2"/>
  <c r="D2467" i="2"/>
  <c r="S2467" i="2"/>
  <c r="S219" i="2"/>
  <c r="D219" i="2"/>
  <c r="S1439" i="2"/>
  <c r="D1439" i="2"/>
  <c r="S1695" i="2"/>
  <c r="D1695" i="2"/>
  <c r="S81" i="2"/>
  <c r="D81" i="2"/>
  <c r="S3212" i="2"/>
  <c r="D3212" i="2"/>
  <c r="D1205" i="2"/>
  <c r="S1205" i="2"/>
  <c r="D814" i="2"/>
  <c r="S814" i="2"/>
  <c r="S2328" i="2"/>
  <c r="D2328" i="2"/>
  <c r="S349" i="2"/>
  <c r="D349" i="2"/>
  <c r="S209" i="2"/>
  <c r="D209" i="2"/>
  <c r="S2615" i="2"/>
  <c r="D2615" i="2"/>
  <c r="S2330" i="2"/>
  <c r="D2330" i="2"/>
  <c r="S1590" i="2"/>
  <c r="D1590" i="2"/>
  <c r="D2973" i="2"/>
  <c r="S2973" i="2"/>
  <c r="D2112" i="2"/>
  <c r="S2112" i="2"/>
  <c r="D565" i="2"/>
  <c r="S565" i="2"/>
  <c r="S121" i="2"/>
  <c r="D121" i="2"/>
  <c r="D1286" i="2"/>
  <c r="S1286" i="2"/>
  <c r="D3155" i="2"/>
  <c r="S3155" i="2"/>
  <c r="D2391" i="2"/>
  <c r="S2391" i="2"/>
  <c r="D612" i="2"/>
  <c r="S612" i="2"/>
  <c r="S421" i="2"/>
  <c r="D421" i="2"/>
  <c r="D698" i="2"/>
  <c r="S698" i="2"/>
  <c r="D1219" i="2"/>
  <c r="S1219" i="2"/>
  <c r="D2373" i="2"/>
  <c r="S2373" i="2"/>
  <c r="D2727" i="2"/>
  <c r="S2727" i="2"/>
  <c r="D2315" i="2"/>
  <c r="S2315" i="2"/>
  <c r="D803" i="2"/>
  <c r="S803" i="2"/>
  <c r="S598" i="2"/>
  <c r="D598" i="2"/>
  <c r="S2697" i="2"/>
  <c r="D2697" i="2"/>
  <c r="D2477" i="2"/>
  <c r="S2477" i="2"/>
  <c r="D1668" i="2"/>
  <c r="S1668" i="2"/>
  <c r="S3000" i="2"/>
  <c r="D3000" i="2"/>
  <c r="D2578" i="2"/>
  <c r="S2578" i="2"/>
  <c r="D314" i="2"/>
  <c r="S314" i="2"/>
  <c r="S2042" i="2"/>
  <c r="D2042" i="2"/>
  <c r="S665" i="2"/>
  <c r="D665" i="2"/>
  <c r="D2052" i="2"/>
  <c r="S2052" i="2"/>
  <c r="D2079" i="2"/>
  <c r="S2079" i="2"/>
  <c r="S3135" i="2"/>
  <c r="D3135" i="2"/>
  <c r="D2399" i="2"/>
  <c r="S2399" i="2"/>
  <c r="D2719" i="2"/>
  <c r="S2719" i="2"/>
  <c r="S2763" i="2"/>
  <c r="D2763" i="2"/>
  <c r="D2565" i="2"/>
  <c r="S2565" i="2"/>
  <c r="S679" i="2"/>
  <c r="D679" i="2"/>
  <c r="S1577" i="2"/>
  <c r="D1577" i="2"/>
  <c r="D1892" i="2"/>
  <c r="S1892" i="2"/>
  <c r="D3072" i="2"/>
  <c r="S3072" i="2"/>
  <c r="S1344" i="2"/>
  <c r="D1344" i="2"/>
  <c r="D2017" i="2"/>
  <c r="S2017" i="2"/>
  <c r="S1548" i="2"/>
  <c r="D1548" i="2"/>
  <c r="D1675" i="2"/>
  <c r="S1675" i="2"/>
  <c r="D3165" i="2"/>
  <c r="S3165" i="2"/>
  <c r="D1498" i="2"/>
  <c r="S1498" i="2"/>
  <c r="D3017" i="2"/>
  <c r="S3017" i="2"/>
  <c r="D62" i="2"/>
  <c r="S62" i="2"/>
  <c r="D499" i="2"/>
  <c r="S499" i="2"/>
  <c r="S1533" i="2"/>
  <c r="D1533" i="2"/>
  <c r="D877" i="2"/>
  <c r="S877" i="2"/>
  <c r="D2189" i="2"/>
  <c r="S2189" i="2"/>
  <c r="D2819" i="2"/>
  <c r="S2819" i="2"/>
  <c r="S2365" i="2"/>
  <c r="D2365" i="2"/>
  <c r="S1147" i="2"/>
  <c r="D1147" i="2"/>
  <c r="S3188" i="2"/>
  <c r="D3188" i="2"/>
  <c r="S1377" i="2"/>
  <c r="D1377" i="2"/>
  <c r="D2191" i="2"/>
  <c r="S2191" i="2"/>
  <c r="S367" i="2"/>
  <c r="D367" i="2"/>
  <c r="S2394" i="2"/>
  <c r="D2394" i="2"/>
  <c r="D660" i="2"/>
  <c r="S660" i="2"/>
  <c r="D1030" i="2"/>
  <c r="S1030" i="2"/>
  <c r="D3107" i="2"/>
  <c r="S3107" i="2"/>
  <c r="D564" i="2"/>
  <c r="S564" i="2"/>
  <c r="D2043" i="2"/>
  <c r="S2043" i="2"/>
  <c r="S2496" i="2"/>
  <c r="D2496" i="2"/>
  <c r="D1669" i="2"/>
  <c r="S1669" i="2"/>
  <c r="D694" i="2"/>
  <c r="S694" i="2"/>
  <c r="S1423" i="2"/>
  <c r="D1423" i="2"/>
  <c r="S1444" i="2"/>
  <c r="D1444" i="2"/>
  <c r="D2468" i="2"/>
  <c r="S2468" i="2"/>
  <c r="S1088" i="2"/>
  <c r="D1088" i="2"/>
  <c r="D2167" i="2"/>
  <c r="S2167" i="2"/>
  <c r="S167" i="2"/>
  <c r="D167" i="2"/>
  <c r="D2970" i="2"/>
  <c r="S2970" i="2"/>
  <c r="S3162" i="2"/>
  <c r="D3162" i="2"/>
  <c r="D2601" i="2"/>
  <c r="S2601" i="2"/>
  <c r="D720" i="2"/>
  <c r="S720" i="2"/>
  <c r="S3147" i="2"/>
  <c r="D3147" i="2"/>
  <c r="S1225" i="2"/>
  <c r="D1225" i="2"/>
  <c r="D1879" i="2"/>
  <c r="S1879" i="2"/>
  <c r="S290" i="2"/>
  <c r="D290" i="2"/>
  <c r="D711" i="2"/>
  <c r="S711" i="2"/>
  <c r="S21" i="2"/>
  <c r="D21" i="2"/>
  <c r="S2419" i="2"/>
  <c r="D2419" i="2"/>
  <c r="S2301" i="2"/>
  <c r="D2301" i="2"/>
  <c r="D868" i="2"/>
  <c r="S868" i="2"/>
  <c r="D505" i="2"/>
  <c r="S505" i="2"/>
  <c r="D2476" i="2"/>
  <c r="S2476" i="2"/>
  <c r="D2924" i="2"/>
  <c r="S2924" i="2"/>
  <c r="S614" i="2"/>
  <c r="D614" i="2"/>
  <c r="S2207" i="2"/>
  <c r="D2207" i="2"/>
  <c r="D2220" i="2"/>
  <c r="S2220" i="2"/>
  <c r="D839" i="2"/>
  <c r="S839" i="2"/>
  <c r="S849" i="2"/>
  <c r="D849" i="2"/>
  <c r="D2617" i="2"/>
  <c r="S2617" i="2"/>
  <c r="S594" i="2"/>
  <c r="D594" i="2"/>
  <c r="D1451" i="2"/>
  <c r="S1451" i="2"/>
  <c r="D1790" i="2"/>
  <c r="S1790" i="2"/>
  <c r="D1659" i="2"/>
  <c r="S1659" i="2"/>
  <c r="S1519" i="2"/>
  <c r="D1519" i="2"/>
  <c r="D3183" i="2"/>
  <c r="S3183" i="2"/>
  <c r="S3205" i="2"/>
  <c r="D3205" i="2"/>
  <c r="S2848" i="2"/>
  <c r="D2848" i="2"/>
  <c r="S2806" i="2"/>
  <c r="D2806" i="2"/>
  <c r="S1514" i="2"/>
  <c r="D1514" i="2"/>
  <c r="D616" i="2"/>
  <c r="S616" i="2"/>
  <c r="D16" i="2"/>
  <c r="S16" i="2"/>
  <c r="S1028" i="2"/>
  <c r="D1028" i="2"/>
  <c r="D955" i="2"/>
  <c r="S955" i="2"/>
  <c r="D808" i="2"/>
  <c r="S808" i="2"/>
  <c r="S1158" i="2"/>
  <c r="D1158" i="2"/>
  <c r="S659" i="2"/>
  <c r="D659" i="2"/>
  <c r="D2348" i="2"/>
  <c r="S2348" i="2"/>
  <c r="D3217" i="2"/>
  <c r="S3217" i="2"/>
  <c r="D910" i="2"/>
  <c r="S910" i="2"/>
  <c r="D2413" i="2"/>
  <c r="S2413" i="2"/>
  <c r="D1297" i="2"/>
  <c r="S1297" i="2"/>
  <c r="D1149" i="2"/>
  <c r="S1149" i="2"/>
  <c r="S171" i="2"/>
  <c r="D171" i="2"/>
  <c r="S2139" i="2"/>
  <c r="D2139" i="2"/>
  <c r="D2769" i="2"/>
  <c r="S2769" i="2"/>
  <c r="D2889" i="2"/>
  <c r="S2889" i="2"/>
  <c r="D1237" i="2"/>
  <c r="S1237" i="2"/>
  <c r="S1656" i="2"/>
  <c r="D1656" i="2"/>
  <c r="D812" i="2"/>
  <c r="S812" i="2"/>
  <c r="S2803" i="2"/>
  <c r="D2803" i="2"/>
  <c r="S164" i="2"/>
  <c r="D164" i="2"/>
  <c r="D3099" i="2"/>
  <c r="S3099" i="2"/>
  <c r="D838" i="2"/>
  <c r="S838" i="2"/>
  <c r="D2587" i="2"/>
  <c r="S2587" i="2"/>
  <c r="D246" i="2"/>
  <c r="S246" i="2"/>
  <c r="S304" i="2"/>
  <c r="D304" i="2"/>
  <c r="S2662" i="2"/>
  <c r="D2662" i="2"/>
  <c r="S2562" i="2"/>
  <c r="D2562" i="2"/>
  <c r="D2744" i="2"/>
  <c r="S2744" i="2"/>
  <c r="D2262" i="2"/>
  <c r="S2262" i="2"/>
  <c r="S2472" i="2"/>
  <c r="D2472" i="2"/>
  <c r="S1758" i="2"/>
  <c r="D1758" i="2"/>
  <c r="D1951" i="2"/>
  <c r="S1951" i="2"/>
  <c r="D703" i="2"/>
  <c r="S703" i="2"/>
  <c r="D348" i="2"/>
  <c r="S348" i="2"/>
  <c r="S1646" i="2"/>
  <c r="D1646" i="2"/>
  <c r="D385" i="2"/>
  <c r="S385" i="2"/>
  <c r="D1682" i="2"/>
  <c r="S1682" i="2"/>
  <c r="D2250" i="2"/>
  <c r="S2250" i="2"/>
  <c r="D2288" i="2"/>
  <c r="S2288" i="2"/>
  <c r="S2665" i="2"/>
  <c r="D2665" i="2"/>
  <c r="D1521" i="2"/>
  <c r="S1521" i="2"/>
  <c r="S1234" i="2"/>
  <c r="D1234" i="2"/>
  <c r="D791" i="2"/>
  <c r="S791" i="2"/>
  <c r="S1120" i="2"/>
  <c r="D1120" i="2"/>
  <c r="D1008" i="2"/>
  <c r="S1008" i="2"/>
  <c r="S255" i="2"/>
  <c r="D255" i="2"/>
  <c r="D724" i="2"/>
  <c r="S724" i="2"/>
  <c r="S224" i="2"/>
  <c r="D224" i="2"/>
  <c r="D2395" i="2"/>
  <c r="S2395" i="2"/>
  <c r="D2026" i="2"/>
  <c r="S2026" i="2"/>
  <c r="S2350" i="2"/>
  <c r="D2350" i="2"/>
  <c r="S1209" i="2"/>
  <c r="D1209" i="2"/>
  <c r="S2532" i="2"/>
  <c r="D2532" i="2"/>
  <c r="D1735" i="2"/>
  <c r="S1735" i="2"/>
  <c r="D1462" i="2"/>
  <c r="S1462" i="2"/>
  <c r="D549" i="2"/>
  <c r="S549" i="2"/>
  <c r="D1886" i="2"/>
  <c r="S1886" i="2"/>
  <c r="S1832" i="2"/>
  <c r="D1832" i="2"/>
  <c r="S1082" i="2"/>
  <c r="D1082" i="2"/>
  <c r="D878" i="2"/>
  <c r="S878" i="2"/>
  <c r="D1031" i="2"/>
  <c r="S1031" i="2"/>
  <c r="S916" i="2"/>
  <c r="D916" i="2"/>
  <c r="D1776" i="2"/>
  <c r="S1776" i="2"/>
  <c r="D1119" i="2"/>
  <c r="S1119" i="2"/>
  <c r="D457" i="2"/>
  <c r="S457" i="2"/>
  <c r="S558" i="2"/>
  <c r="D558" i="2"/>
  <c r="D1783" i="2"/>
  <c r="S1783" i="2"/>
  <c r="S630" i="2"/>
  <c r="D630" i="2"/>
  <c r="D1639" i="2"/>
  <c r="S1639" i="2"/>
  <c r="D1284" i="2"/>
  <c r="S1284" i="2"/>
  <c r="S2825" i="2"/>
  <c r="D2825" i="2"/>
  <c r="D494" i="2"/>
  <c r="S494" i="2"/>
  <c r="S2093" i="2"/>
  <c r="D2093" i="2"/>
  <c r="S987" i="2"/>
  <c r="D987" i="2"/>
  <c r="D2430" i="2"/>
  <c r="S2430" i="2"/>
  <c r="D1857" i="2"/>
  <c r="S1857" i="2"/>
  <c r="S2519" i="2"/>
  <c r="D2519" i="2"/>
  <c r="D471" i="2"/>
  <c r="S471" i="2"/>
  <c r="D551" i="2"/>
  <c r="S551" i="2"/>
  <c r="S2621" i="2"/>
  <c r="D2621" i="2"/>
  <c r="D2526" i="2"/>
  <c r="S2526" i="2"/>
  <c r="D1221" i="2"/>
  <c r="S1221" i="2"/>
  <c r="D2765" i="2"/>
  <c r="S2765" i="2"/>
  <c r="S2089" i="2"/>
  <c r="D2089" i="2"/>
  <c r="D1798" i="2"/>
  <c r="S1798" i="2"/>
  <c r="D1871" i="2"/>
  <c r="S1871" i="2"/>
  <c r="D1722" i="2"/>
  <c r="S1722" i="2"/>
  <c r="S850" i="2"/>
  <c r="D850" i="2"/>
  <c r="D686" i="2"/>
  <c r="S686" i="2"/>
  <c r="D2596" i="2"/>
  <c r="S2596" i="2"/>
  <c r="S3176" i="2"/>
  <c r="D3176" i="2"/>
  <c r="D740" i="2"/>
  <c r="S740" i="2"/>
  <c r="D577" i="2"/>
  <c r="S577" i="2"/>
  <c r="S96" i="2"/>
  <c r="D96" i="2"/>
  <c r="D1012" i="2"/>
  <c r="S1012" i="2"/>
  <c r="D444" i="2"/>
  <c r="S444" i="2"/>
  <c r="S2717" i="2"/>
  <c r="D2717" i="2"/>
  <c r="D1176" i="2"/>
  <c r="S1176" i="2"/>
  <c r="D2705" i="2"/>
  <c r="S2705" i="2"/>
  <c r="D2499" i="2"/>
  <c r="S2499" i="2"/>
  <c r="D1317" i="2"/>
  <c r="S1317" i="2"/>
  <c r="S364" i="2"/>
  <c r="D364" i="2"/>
  <c r="D1710" i="2"/>
  <c r="S1710" i="2"/>
  <c r="S575" i="2"/>
  <c r="D575" i="2"/>
  <c r="D1921" i="2"/>
  <c r="S1921" i="2"/>
  <c r="S989" i="2"/>
  <c r="D989" i="2"/>
  <c r="D1014" i="2"/>
  <c r="S1014" i="2"/>
  <c r="S671" i="2"/>
  <c r="D671" i="2"/>
  <c r="D484" i="2"/>
  <c r="S484" i="2"/>
  <c r="S617" i="2"/>
  <c r="D617" i="2"/>
  <c r="D2422" i="2"/>
  <c r="S2422" i="2"/>
  <c r="S423" i="2"/>
  <c r="D423" i="2"/>
  <c r="D738" i="2"/>
  <c r="S738" i="2"/>
  <c r="S2710" i="2"/>
  <c r="D2710" i="2"/>
  <c r="D325" i="2"/>
  <c r="S325" i="2"/>
  <c r="S1027" i="2"/>
  <c r="D1027" i="2"/>
  <c r="D585" i="2"/>
  <c r="S585" i="2"/>
  <c r="D1770" i="2"/>
  <c r="S1770" i="2"/>
  <c r="D645" i="2"/>
  <c r="S645" i="2"/>
  <c r="D754" i="2"/>
  <c r="S754" i="2"/>
  <c r="D2917" i="2"/>
  <c r="S2917" i="2"/>
  <c r="S3076" i="2"/>
  <c r="D3076" i="2"/>
  <c r="D202" i="2"/>
  <c r="S202" i="2"/>
  <c r="D57" i="2"/>
  <c r="S57" i="2"/>
  <c r="D2936" i="2"/>
  <c r="S2936" i="2"/>
  <c r="D1121" i="2"/>
  <c r="S1121" i="2"/>
  <c r="D26" i="2"/>
  <c r="S26" i="2"/>
  <c r="S571" i="2"/>
  <c r="D571" i="2"/>
  <c r="D22" i="2"/>
  <c r="S22" i="2"/>
  <c r="D2313" i="2"/>
  <c r="S2313" i="2"/>
  <c r="S2040" i="2"/>
  <c r="D2040" i="2"/>
  <c r="D3119" i="2"/>
  <c r="S3119" i="2"/>
  <c r="S2375" i="2"/>
  <c r="D2375" i="2"/>
  <c r="S101" i="2"/>
  <c r="D101" i="2"/>
  <c r="D690" i="2"/>
  <c r="S690" i="2"/>
  <c r="S2862" i="2"/>
  <c r="D2862" i="2"/>
  <c r="S467" i="2"/>
  <c r="D467" i="2"/>
  <c r="D1263" i="2"/>
  <c r="S1263" i="2"/>
  <c r="S537" i="2"/>
  <c r="D537" i="2"/>
  <c r="S1415" i="2"/>
  <c r="D1415" i="2"/>
  <c r="D2935" i="2"/>
  <c r="S2935" i="2"/>
  <c r="S882" i="2"/>
  <c r="D882" i="2"/>
  <c r="S2546" i="2"/>
  <c r="D2546" i="2"/>
  <c r="D702" i="2"/>
  <c r="S702" i="2"/>
  <c r="D1350" i="2"/>
  <c r="S1350" i="2"/>
  <c r="D2396" i="2"/>
  <c r="S2396" i="2"/>
  <c r="D118" i="2"/>
  <c r="S118" i="2"/>
  <c r="D1137" i="2"/>
  <c r="S1137" i="2"/>
  <c r="D2857" i="2"/>
  <c r="S2857" i="2"/>
  <c r="D53" i="2"/>
  <c r="S53" i="2"/>
  <c r="S778" i="2"/>
  <c r="D778" i="2"/>
  <c r="S2225" i="2"/>
  <c r="D2225" i="2"/>
  <c r="S401" i="2"/>
  <c r="D401" i="2"/>
  <c r="D368" i="2"/>
  <c r="S368" i="2"/>
  <c r="D3008" i="2"/>
  <c r="S3008" i="2"/>
  <c r="S204" i="2"/>
  <c r="D204" i="2"/>
  <c r="S1315" i="2"/>
  <c r="D1315" i="2"/>
  <c r="D2104" i="2"/>
  <c r="S2104" i="2"/>
  <c r="D2544" i="2"/>
  <c r="S2544" i="2"/>
  <c r="S194" i="2"/>
  <c r="D194" i="2"/>
  <c r="S168" i="2"/>
  <c r="D168" i="2"/>
  <c r="D2197" i="2"/>
  <c r="S2197" i="2"/>
  <c r="S1402" i="2"/>
  <c r="D1402" i="2"/>
  <c r="D2709" i="2"/>
  <c r="S2709" i="2"/>
  <c r="D3078" i="2"/>
  <c r="S3078" i="2"/>
  <c r="D116" i="2"/>
  <c r="S116" i="2"/>
  <c r="S876" i="2"/>
  <c r="D876" i="2"/>
  <c r="S1129" i="2"/>
  <c r="D1129" i="2"/>
  <c r="S1936" i="2"/>
  <c r="D1936" i="2"/>
  <c r="D534" i="2"/>
  <c r="S534" i="2"/>
  <c r="D662" i="2"/>
  <c r="S662" i="2"/>
  <c r="S1878" i="2"/>
  <c r="D1878" i="2"/>
  <c r="S2337" i="2"/>
  <c r="D2337" i="2"/>
  <c r="S320" i="2"/>
  <c r="D320" i="2"/>
  <c r="D2923" i="2"/>
  <c r="S2923" i="2"/>
  <c r="S830" i="2"/>
  <c r="D830" i="2"/>
  <c r="D379" i="2"/>
  <c r="S379" i="2"/>
  <c r="D1086" i="2"/>
  <c r="S1086" i="2"/>
  <c r="S2068" i="2"/>
  <c r="D2068" i="2"/>
  <c r="D1744" i="2"/>
  <c r="S1744" i="2"/>
  <c r="S2202" i="2"/>
  <c r="D2202" i="2"/>
  <c r="D376" i="2"/>
  <c r="S376" i="2"/>
  <c r="D2157" i="2"/>
  <c r="S2157" i="2"/>
  <c r="D6" i="2"/>
  <c r="S6" i="2"/>
  <c r="S1481" i="2"/>
  <c r="D1481" i="2"/>
  <c r="D1673" i="2"/>
  <c r="S1673" i="2"/>
  <c r="D95" i="2"/>
  <c r="S95" i="2"/>
  <c r="D3164" i="2"/>
  <c r="S3164" i="2"/>
  <c r="D114" i="2"/>
  <c r="S114" i="2"/>
  <c r="S3028" i="2"/>
  <c r="D3028" i="2"/>
  <c r="D162" i="2"/>
  <c r="S162" i="2"/>
  <c r="D1810" i="2"/>
  <c r="S1810" i="2"/>
  <c r="S2278" i="2"/>
  <c r="D2278" i="2"/>
  <c r="S748" i="2"/>
  <c r="D748" i="2"/>
  <c r="D412" i="2"/>
  <c r="S412" i="2"/>
  <c r="S1063" i="2"/>
  <c r="D1063" i="2"/>
  <c r="S1152" i="2"/>
  <c r="D1152" i="2"/>
  <c r="D1848" i="2"/>
  <c r="S1848" i="2"/>
  <c r="S1380" i="2"/>
  <c r="D1380" i="2"/>
  <c r="S540" i="2"/>
  <c r="D540" i="2"/>
  <c r="D3143" i="2"/>
  <c r="S3143" i="2"/>
  <c r="S600" i="2"/>
  <c r="D600" i="2"/>
  <c r="D483" i="2"/>
  <c r="S483" i="2"/>
  <c r="D1875" i="2"/>
  <c r="S1875" i="2"/>
  <c r="D628" i="2"/>
  <c r="S628" i="2"/>
  <c r="S2274" i="2"/>
  <c r="D2274" i="2"/>
  <c r="D2786" i="2"/>
  <c r="S2786" i="2"/>
  <c r="D1309" i="2"/>
  <c r="S1309" i="2"/>
  <c r="S3138" i="2"/>
  <c r="D3138" i="2"/>
  <c r="D2317" i="2"/>
  <c r="S2317" i="2"/>
  <c r="D1389" i="2"/>
  <c r="S1389" i="2"/>
  <c r="S365" i="2"/>
  <c r="D365" i="2"/>
  <c r="D193" i="2"/>
  <c r="S193" i="2"/>
  <c r="D1900" i="2"/>
  <c r="S1900" i="2"/>
  <c r="S3015" i="2"/>
  <c r="D3015" i="2"/>
  <c r="S637" i="2"/>
  <c r="D637" i="2"/>
  <c r="D2595" i="2"/>
  <c r="S2595" i="2"/>
  <c r="D986" i="2"/>
  <c r="S986" i="2"/>
  <c r="D3231" i="2"/>
  <c r="S3231" i="2"/>
  <c r="D1708" i="2"/>
  <c r="S1708" i="2"/>
  <c r="D1996" i="2"/>
  <c r="S1996" i="2"/>
  <c r="D1745" i="2"/>
  <c r="S1745" i="2"/>
  <c r="D799" i="2"/>
  <c r="S799" i="2"/>
  <c r="D1288" i="2"/>
  <c r="S1288" i="2"/>
  <c r="D2208" i="2"/>
  <c r="S2208" i="2"/>
  <c r="D2545" i="2"/>
  <c r="S2545" i="2"/>
  <c r="D17" i="2"/>
  <c r="S17" i="2"/>
  <c r="D2661" i="2"/>
  <c r="S2661" i="2"/>
  <c r="D2188" i="2"/>
  <c r="S2188" i="2"/>
  <c r="D2594" i="2"/>
  <c r="S2594" i="2"/>
  <c r="D2229" i="2"/>
  <c r="S2229" i="2"/>
  <c r="D2451" i="2"/>
  <c r="S2451" i="2"/>
  <c r="S343" i="2"/>
  <c r="D343" i="2"/>
  <c r="S2136" i="2"/>
  <c r="D2136" i="2"/>
  <c r="D410" i="2"/>
  <c r="S410" i="2"/>
  <c r="D2552" i="2"/>
  <c r="S2552" i="2"/>
  <c r="S2198" i="2"/>
  <c r="D2198" i="2"/>
  <c r="S602" i="2"/>
  <c r="D602" i="2"/>
  <c r="D1396" i="2"/>
  <c r="S1396" i="2"/>
  <c r="S2465" i="2"/>
  <c r="D2465" i="2"/>
  <c r="S2593" i="2"/>
  <c r="D2593" i="2"/>
  <c r="D104" i="2"/>
  <c r="S104" i="2"/>
  <c r="S1543" i="2"/>
  <c r="D1543" i="2"/>
  <c r="D513" i="2"/>
  <c r="S513" i="2"/>
  <c r="D1649" i="2"/>
  <c r="S1649" i="2"/>
  <c r="D1643" i="2"/>
  <c r="S1643" i="2"/>
  <c r="S638" i="2"/>
  <c r="D638" i="2"/>
  <c r="S2638" i="2"/>
  <c r="D2638" i="2"/>
  <c r="D1464" i="2"/>
  <c r="S1464" i="2"/>
  <c r="S655" i="2"/>
  <c r="D655" i="2"/>
  <c r="S1920" i="2"/>
  <c r="D1920" i="2"/>
  <c r="D648" i="2"/>
  <c r="S648" i="2"/>
  <c r="D1106" i="2"/>
  <c r="S1106" i="2"/>
  <c r="S1142" i="2"/>
  <c r="D1142" i="2"/>
  <c r="D2929" i="2"/>
  <c r="S2929" i="2"/>
  <c r="S2258" i="2"/>
  <c r="D2258" i="2"/>
  <c r="D372" i="2"/>
  <c r="S372" i="2"/>
  <c r="D2470" i="2"/>
  <c r="S2470" i="2"/>
  <c r="D2867" i="2"/>
  <c r="S2867" i="2"/>
  <c r="D1827" i="2"/>
  <c r="S1827" i="2"/>
  <c r="D63" i="2"/>
  <c r="S63" i="2"/>
  <c r="S2111" i="2"/>
  <c r="D2111" i="2"/>
  <c r="S247" i="2"/>
  <c r="D247" i="2"/>
  <c r="S3117" i="2"/>
  <c r="D3117" i="2"/>
  <c r="S3030" i="2"/>
  <c r="D3030" i="2"/>
  <c r="S2490" i="2"/>
  <c r="D2490" i="2"/>
  <c r="D1518" i="2"/>
  <c r="S1518" i="2"/>
  <c r="D183" i="2"/>
  <c r="S183" i="2"/>
  <c r="S582" i="2"/>
  <c r="D582" i="2"/>
  <c r="S1291" i="2"/>
  <c r="D1291" i="2"/>
  <c r="S345" i="2"/>
  <c r="D345" i="2"/>
  <c r="D3032" i="2"/>
  <c r="S3032" i="2"/>
  <c r="S2237" i="2"/>
  <c r="D2237" i="2"/>
  <c r="S2585" i="2"/>
  <c r="D2585" i="2"/>
  <c r="D276" i="2"/>
  <c r="S276" i="2"/>
  <c r="S1098" i="2"/>
  <c r="D1098" i="2"/>
  <c r="S1203" i="2"/>
  <c r="D1203" i="2"/>
  <c r="D1766" i="2"/>
  <c r="S1766" i="2"/>
  <c r="S2126" i="2"/>
  <c r="D2126" i="2"/>
  <c r="S1460" i="2"/>
  <c r="D1460" i="2"/>
  <c r="D1882" i="2"/>
  <c r="S1882" i="2"/>
  <c r="D258" i="2"/>
  <c r="S258" i="2"/>
  <c r="S1968" i="2"/>
  <c r="D1968" i="2"/>
  <c r="S1931" i="2"/>
  <c r="D1931" i="2"/>
  <c r="S516" i="2"/>
  <c r="D516" i="2"/>
  <c r="S2333" i="2"/>
  <c r="D2333" i="2"/>
  <c r="D732" i="2"/>
  <c r="S732" i="2"/>
  <c r="D197" i="2"/>
  <c r="S197" i="2"/>
  <c r="D2304" i="2"/>
  <c r="S2304" i="2"/>
  <c r="S3180" i="2"/>
  <c r="D3180" i="2"/>
  <c r="D621" i="2"/>
  <c r="S621" i="2"/>
  <c r="S2016" i="2"/>
  <c r="D2016" i="2"/>
  <c r="S145" i="2"/>
  <c r="D145" i="2"/>
  <c r="S2200" i="2"/>
  <c r="D2200" i="2"/>
  <c r="S3104" i="2"/>
  <c r="D3104" i="2"/>
  <c r="D3096" i="2"/>
  <c r="S3096" i="2"/>
  <c r="S1042" i="2"/>
  <c r="D1042" i="2"/>
  <c r="D2941" i="2"/>
  <c r="S2941" i="2"/>
  <c r="D2331" i="2"/>
  <c r="S2331" i="2"/>
  <c r="D109" i="2"/>
  <c r="S109" i="2"/>
  <c r="D408" i="2"/>
  <c r="S408" i="2"/>
  <c r="S330" i="2"/>
  <c r="D330" i="2"/>
  <c r="D1045" i="2"/>
  <c r="S1045" i="2"/>
  <c r="S2300" i="2"/>
  <c r="D2300" i="2"/>
  <c r="D2515" i="2"/>
  <c r="S2515" i="2"/>
  <c r="S3189" i="2"/>
  <c r="D3189" i="2"/>
  <c r="D334" i="2"/>
  <c r="S334" i="2"/>
  <c r="S3013" i="2"/>
  <c r="D3013" i="2"/>
  <c r="D560" i="2"/>
  <c r="S560" i="2"/>
  <c r="S3134" i="2"/>
  <c r="D3134" i="2"/>
  <c r="D2654" i="2"/>
  <c r="S2654" i="2"/>
  <c r="S1896" i="2"/>
  <c r="D1896" i="2"/>
  <c r="D382" i="2"/>
  <c r="S382" i="2"/>
  <c r="D1243" i="2"/>
  <c r="S1243" i="2"/>
  <c r="S1755" i="2"/>
  <c r="D1755" i="2"/>
  <c r="D801" i="2"/>
  <c r="S801" i="2"/>
  <c r="D172" i="2"/>
  <c r="S172" i="2"/>
  <c r="D2968" i="2"/>
  <c r="S2968" i="2"/>
  <c r="D226" i="2"/>
  <c r="S226" i="2"/>
  <c r="S2230" i="2"/>
  <c r="D2230" i="2"/>
  <c r="S559" i="2"/>
  <c r="D559" i="2"/>
  <c r="S1642" i="2"/>
  <c r="D1642" i="2"/>
  <c r="D2866" i="2"/>
  <c r="S2866" i="2"/>
  <c r="S2023" i="2"/>
  <c r="D2023" i="2"/>
  <c r="D3157" i="2"/>
  <c r="S3157" i="2"/>
  <c r="S772" i="2"/>
  <c r="D772" i="2"/>
  <c r="D1231" i="2"/>
  <c r="S1231" i="2"/>
  <c r="S880" i="2"/>
  <c r="D880" i="2"/>
  <c r="D2231" i="2"/>
  <c r="S2231" i="2"/>
  <c r="S1064" i="2"/>
  <c r="D1064" i="2"/>
  <c r="D3004" i="2"/>
  <c r="S3004" i="2"/>
  <c r="D1711" i="2"/>
  <c r="S1711" i="2"/>
  <c r="D1599" i="2"/>
  <c r="S1599" i="2"/>
  <c r="S1787" i="2"/>
  <c r="D1787" i="2"/>
  <c r="D2892" i="2"/>
  <c r="S2892" i="2"/>
  <c r="S1902" i="2"/>
  <c r="D1902" i="2"/>
  <c r="D2540" i="2"/>
  <c r="S2540" i="2"/>
  <c r="D1249" i="2"/>
  <c r="S1249" i="2"/>
  <c r="D1280" i="2"/>
  <c r="S1280" i="2"/>
  <c r="D2991" i="2"/>
  <c r="S2991" i="2"/>
  <c r="S1685" i="2"/>
  <c r="D1685" i="2"/>
  <c r="D2830" i="2"/>
  <c r="S2830" i="2"/>
  <c r="D817" i="2"/>
  <c r="S817" i="2"/>
  <c r="S514" i="2"/>
  <c r="D514" i="2"/>
  <c r="S2517" i="2"/>
  <c r="D2517" i="2"/>
  <c r="D2689" i="2"/>
  <c r="S2689" i="2"/>
  <c r="D2680" i="2"/>
  <c r="S2680" i="2"/>
  <c r="D298" i="2"/>
  <c r="S298" i="2"/>
  <c r="S369" i="2"/>
  <c r="D369" i="2"/>
  <c r="S228" i="2"/>
  <c r="D228" i="2"/>
  <c r="D2420" i="2"/>
  <c r="S2420" i="2"/>
  <c r="S190" i="2"/>
  <c r="D190" i="2"/>
  <c r="S479" i="2"/>
  <c r="D479" i="2"/>
  <c r="S1598" i="2"/>
  <c r="D1598" i="2"/>
  <c r="D2950" i="2"/>
  <c r="S2950" i="2"/>
  <c r="D1473" i="2"/>
  <c r="S1473" i="2"/>
  <c r="S309" i="2"/>
  <c r="D309" i="2"/>
  <c r="D729" i="2"/>
  <c r="S729" i="2"/>
  <c r="D1750" i="2"/>
  <c r="S1750" i="2"/>
  <c r="S1057" i="2"/>
  <c r="D1057" i="2"/>
  <c r="D291" i="2"/>
  <c r="S291" i="2"/>
  <c r="D2982" i="2"/>
  <c r="S2982" i="2"/>
  <c r="S2822" i="2"/>
  <c r="D2822" i="2"/>
  <c r="S649" i="2"/>
  <c r="D649" i="2"/>
  <c r="D2487" i="2"/>
  <c r="S2487" i="2"/>
  <c r="D366" i="2"/>
  <c r="S366" i="2"/>
  <c r="D1860" i="2"/>
  <c r="S1860" i="2"/>
  <c r="D727" i="2"/>
  <c r="S727" i="2"/>
  <c r="S1453" i="2"/>
  <c r="D1453" i="2"/>
  <c r="D1681" i="2"/>
  <c r="S1681" i="2"/>
  <c r="S2440" i="2"/>
  <c r="D2440" i="2"/>
  <c r="S2438" i="2"/>
  <c r="D2438" i="2"/>
  <c r="S2908" i="2"/>
  <c r="D2908" i="2"/>
  <c r="D1933" i="2"/>
  <c r="S1933" i="2"/>
  <c r="D1609" i="2"/>
  <c r="S1609" i="2"/>
  <c r="D1506" i="2"/>
  <c r="S1506" i="2"/>
  <c r="D864" i="2"/>
  <c r="S864" i="2"/>
  <c r="D1953" i="2"/>
  <c r="S1953" i="2"/>
  <c r="D182" i="2"/>
  <c r="S182" i="2"/>
  <c r="D1081" i="2"/>
  <c r="S1081" i="2"/>
  <c r="S2613" i="2"/>
  <c r="D2613" i="2"/>
  <c r="S510" i="2"/>
  <c r="D510" i="2"/>
  <c r="D2293" i="2"/>
  <c r="S2293" i="2"/>
  <c r="D1264" i="2"/>
  <c r="S1264" i="2"/>
  <c r="D2883" i="2"/>
  <c r="S2883" i="2"/>
  <c r="S953" i="2"/>
  <c r="D953" i="2"/>
  <c r="S901" i="2"/>
  <c r="D901" i="2"/>
  <c r="D1141" i="2"/>
  <c r="S1141" i="2"/>
  <c r="S1539" i="2"/>
  <c r="D1539" i="2"/>
  <c r="D893" i="2"/>
  <c r="S893" i="2"/>
  <c r="S2063" i="2"/>
  <c r="D2063" i="2"/>
  <c r="S1961" i="2"/>
  <c r="D1961" i="2"/>
  <c r="D1491" i="2"/>
  <c r="S1491" i="2"/>
  <c r="D837" i="2"/>
  <c r="S837" i="2"/>
  <c r="D1831" i="2"/>
  <c r="S1831" i="2"/>
  <c r="D1641" i="2"/>
  <c r="S1641" i="2"/>
  <c r="D1823" i="2"/>
  <c r="S1823" i="2"/>
  <c r="D2327" i="2"/>
  <c r="S2327" i="2"/>
  <c r="D859" i="2"/>
  <c r="S859" i="2"/>
  <c r="D2707" i="2"/>
  <c r="S2707" i="2"/>
  <c r="S27" i="2"/>
  <c r="D27" i="2"/>
  <c r="D3120" i="2"/>
  <c r="S3120" i="2"/>
  <c r="S1531" i="2"/>
  <c r="D1531" i="2"/>
  <c r="S8" i="2"/>
  <c r="D8" i="2"/>
  <c r="D1650" i="2"/>
  <c r="S1650" i="2"/>
  <c r="S2312" i="2"/>
  <c r="D2312" i="2"/>
  <c r="D1690" i="2"/>
  <c r="S1690" i="2"/>
  <c r="S3095" i="2"/>
  <c r="D3095" i="2"/>
  <c r="D1905" i="2"/>
  <c r="S1905" i="2"/>
  <c r="S2937" i="2"/>
  <c r="D2937" i="2"/>
  <c r="D178" i="2"/>
  <c r="S178" i="2"/>
  <c r="D487" i="2"/>
  <c r="S487" i="2"/>
  <c r="D2802" i="2"/>
  <c r="S2802" i="2"/>
  <c r="S374" i="2"/>
  <c r="D374" i="2"/>
  <c r="S1102" i="2"/>
  <c r="D1102" i="2"/>
  <c r="D1989" i="2"/>
  <c r="S1989" i="2"/>
  <c r="S2407" i="2"/>
  <c r="D2407" i="2"/>
  <c r="S1457" i="2"/>
  <c r="D1457" i="2"/>
  <c r="S1456" i="2"/>
  <c r="D1456" i="2"/>
  <c r="D952" i="2"/>
  <c r="S952" i="2"/>
  <c r="D975" i="2"/>
  <c r="S975" i="2"/>
  <c r="D1925" i="2"/>
  <c r="S1925" i="2"/>
  <c r="S2576" i="2"/>
  <c r="D2576" i="2"/>
  <c r="D3071" i="2"/>
  <c r="S3071" i="2"/>
  <c r="D3215" i="2"/>
  <c r="S3215" i="2"/>
  <c r="S2125" i="2"/>
  <c r="D2125" i="2"/>
  <c r="D603" i="2"/>
  <c r="S603" i="2"/>
  <c r="S1549" i="2"/>
  <c r="D1549" i="2"/>
  <c r="D1904" i="2"/>
  <c r="S1904" i="2"/>
  <c r="D3230" i="2"/>
  <c r="S3230" i="2"/>
  <c r="D1485" i="2"/>
  <c r="S1485" i="2"/>
  <c r="D1258" i="2"/>
  <c r="S1258" i="2"/>
  <c r="D506" i="2"/>
  <c r="S506" i="2"/>
  <c r="S887" i="2"/>
  <c r="D887" i="2"/>
  <c r="D1607" i="2"/>
  <c r="S1607" i="2"/>
  <c r="S2015" i="2"/>
  <c r="D2015" i="2"/>
  <c r="D804" i="2"/>
  <c r="S804" i="2"/>
  <c r="S1492" i="2"/>
  <c r="D1492" i="2"/>
  <c r="S542" i="2"/>
  <c r="D542" i="2"/>
  <c r="S667" i="2"/>
  <c r="D667" i="2"/>
  <c r="S1530" i="2"/>
  <c r="D1530" i="2"/>
  <c r="S1636" i="2"/>
  <c r="D1636" i="2"/>
  <c r="D1279" i="2"/>
  <c r="S1279" i="2"/>
  <c r="S2355" i="2"/>
  <c r="D2355" i="2"/>
  <c r="D1595" i="2"/>
  <c r="S1595" i="2"/>
  <c r="S1338" i="2"/>
  <c r="D1338" i="2"/>
  <c r="D115" i="2"/>
  <c r="S115" i="2"/>
  <c r="S1942" i="2"/>
  <c r="D1942" i="2"/>
  <c r="S2178" i="2"/>
  <c r="D2178" i="2"/>
  <c r="D2864" i="2"/>
  <c r="S2864" i="2"/>
  <c r="D715" i="2"/>
  <c r="S715" i="2"/>
  <c r="D1738" i="2"/>
  <c r="S1738" i="2"/>
  <c r="D2624" i="2"/>
  <c r="S2624" i="2"/>
  <c r="D165" i="2"/>
  <c r="S165" i="2"/>
  <c r="S217" i="2"/>
  <c r="D217" i="2"/>
  <c r="D2024" i="2"/>
  <c r="S2024" i="2"/>
  <c r="D2572" i="2"/>
  <c r="S2572" i="2"/>
  <c r="S1914" i="2"/>
  <c r="D1914" i="2"/>
  <c r="D2226" i="2"/>
  <c r="S2226" i="2"/>
  <c r="S1768" i="2"/>
  <c r="D1768" i="2"/>
  <c r="S2" i="2"/>
  <c r="D2" i="2"/>
  <c r="C20" i="1"/>
  <c r="C21" i="1" s="1"/>
  <c r="E5" i="4" s="1"/>
  <c r="S798" i="2"/>
  <c r="D798" i="2"/>
  <c r="D726" i="2"/>
  <c r="S726" i="2"/>
  <c r="D874" i="2"/>
  <c r="S874" i="2"/>
  <c r="S896" i="2"/>
  <c r="D896" i="2"/>
  <c r="D1864" i="2"/>
  <c r="S1864" i="2"/>
  <c r="S2019" i="2"/>
  <c r="D2019" i="2"/>
  <c r="D1340" i="2"/>
  <c r="S1340" i="2"/>
  <c r="S2078" i="2"/>
  <c r="D2078" i="2"/>
  <c r="D2194" i="2"/>
  <c r="S2194" i="2"/>
  <c r="S1556" i="2"/>
  <c r="D1556" i="2"/>
  <c r="S2190" i="2"/>
  <c r="D2190" i="2"/>
  <c r="D1982" i="2"/>
  <c r="S1982" i="2"/>
  <c r="S465" i="2"/>
  <c r="D465" i="2"/>
  <c r="D706" i="2"/>
  <c r="S706" i="2"/>
  <c r="D1230" i="2"/>
  <c r="S1230" i="2"/>
  <c r="D2914" i="2"/>
  <c r="S2914" i="2"/>
  <c r="D1001" i="2"/>
  <c r="S1001" i="2"/>
  <c r="D2795" i="2"/>
  <c r="S2795" i="2"/>
  <c r="S1445" i="2"/>
  <c r="D1445" i="2"/>
  <c r="D2010" i="2"/>
  <c r="S2010" i="2"/>
  <c r="D84" i="2"/>
  <c r="S84" i="2"/>
  <c r="S2974" i="2"/>
  <c r="D2974" i="2"/>
  <c r="D1869" i="2"/>
  <c r="S1869" i="2"/>
  <c r="D1074" i="2"/>
  <c r="S1074" i="2"/>
  <c r="D1838" i="2"/>
  <c r="S1838" i="2"/>
  <c r="D2383" i="2"/>
  <c r="S2383" i="2"/>
  <c r="S199" i="2"/>
  <c r="D199" i="2"/>
  <c r="S234" i="2"/>
  <c r="D234" i="2"/>
  <c r="S1324" i="2"/>
  <c r="D1324" i="2"/>
  <c r="S1162" i="2"/>
  <c r="D1162" i="2"/>
  <c r="S2980" i="2"/>
  <c r="D2980" i="2"/>
  <c r="D675" i="2"/>
  <c r="S675" i="2"/>
  <c r="D907" i="2"/>
  <c r="S907" i="2"/>
  <c r="S1171" i="2"/>
  <c r="D1171" i="2"/>
  <c r="D780" i="2"/>
  <c r="S780" i="2"/>
  <c r="S1851" i="2"/>
  <c r="D1851" i="2"/>
  <c r="S1447" i="2"/>
  <c r="D1447" i="2"/>
  <c r="D3073" i="2"/>
  <c r="S3073" i="2"/>
  <c r="S1554" i="2"/>
  <c r="D1554" i="2"/>
  <c r="S2964" i="2"/>
  <c r="D2964" i="2"/>
  <c r="S1512" i="2"/>
  <c r="D1512" i="2"/>
  <c r="S2182" i="2"/>
  <c r="D2182" i="2"/>
  <c r="D2164" i="2"/>
  <c r="S2164" i="2"/>
  <c r="D31" i="2"/>
  <c r="S31" i="2"/>
  <c r="D2153" i="2"/>
  <c r="S2153" i="2"/>
  <c r="S433" i="2"/>
  <c r="D433" i="2"/>
  <c r="D1047" i="2"/>
  <c r="S1047" i="2"/>
  <c r="S2614" i="2"/>
  <c r="D2614" i="2"/>
  <c r="D1569" i="2"/>
  <c r="S1569" i="2"/>
  <c r="D2159" i="2"/>
  <c r="S2159" i="2"/>
  <c r="S900" i="2"/>
  <c r="D900" i="2"/>
  <c r="D2439" i="2"/>
  <c r="S2439" i="2"/>
  <c r="D1564" i="2"/>
  <c r="S1564" i="2"/>
  <c r="S44" i="2"/>
  <c r="D44" i="2"/>
  <c r="D2670" i="2"/>
  <c r="S2670" i="2"/>
  <c r="D2460" i="2"/>
  <c r="S2460" i="2"/>
  <c r="D622" i="2"/>
  <c r="S622" i="2"/>
  <c r="D266" i="2"/>
  <c r="S266" i="2"/>
  <c r="S497" i="2"/>
  <c r="D497" i="2"/>
  <c r="D1653" i="2"/>
  <c r="S1653" i="2"/>
  <c r="D1410" i="2"/>
  <c r="S1410" i="2"/>
  <c r="D404" i="2"/>
  <c r="S404" i="2"/>
  <c r="S1551" i="2"/>
  <c r="D1551" i="2"/>
  <c r="D745" i="2"/>
  <c r="S745" i="2"/>
  <c r="D1335" i="2"/>
  <c r="S1335" i="2"/>
  <c r="D2397" i="2"/>
  <c r="S2397" i="2"/>
  <c r="D275" i="2"/>
  <c r="S275" i="2"/>
  <c r="D112" i="2"/>
  <c r="S112" i="2"/>
  <c r="D1984" i="2"/>
  <c r="S1984" i="2"/>
  <c r="S42" i="2"/>
  <c r="D42" i="2"/>
  <c r="S74" i="2"/>
  <c r="D74" i="2"/>
  <c r="D1420" i="2"/>
  <c r="S1420" i="2"/>
  <c r="D478" i="2"/>
  <c r="S478" i="2"/>
  <c r="S2374" i="2"/>
  <c r="D2374" i="2"/>
  <c r="D2608" i="2"/>
  <c r="S2608" i="2"/>
  <c r="D1854" i="2"/>
  <c r="S1854" i="2"/>
  <c r="D3148" i="2"/>
  <c r="S3148" i="2"/>
  <c r="D841" i="2"/>
  <c r="S841" i="2"/>
  <c r="D488" i="2"/>
  <c r="S488" i="2"/>
  <c r="S949" i="2"/>
  <c r="D949" i="2"/>
  <c r="D1431" i="2"/>
  <c r="S1431" i="2"/>
  <c r="D967" i="2"/>
  <c r="S967" i="2"/>
  <c r="D1187" i="2"/>
  <c r="S1187" i="2"/>
  <c r="D1578" i="2"/>
  <c r="S1578" i="2"/>
  <c r="S312" i="2"/>
  <c r="D312" i="2"/>
  <c r="D2626" i="2"/>
  <c r="S2626" i="2"/>
  <c r="D1544" i="2"/>
  <c r="S1544" i="2"/>
  <c r="S381" i="2"/>
  <c r="D381" i="2"/>
  <c r="D2816" i="2"/>
  <c r="S2816" i="2"/>
  <c r="D2448" i="2"/>
  <c r="S2448" i="2"/>
  <c r="S532" i="2"/>
  <c r="D532" i="2"/>
  <c r="D1988" i="2"/>
  <c r="S1988" i="2"/>
  <c r="D1361" i="2"/>
  <c r="S1361" i="2"/>
  <c r="D1334" i="2"/>
  <c r="S1334" i="2"/>
  <c r="D1017" i="2"/>
  <c r="S1017" i="2"/>
  <c r="S2425" i="2"/>
  <c r="D2425" i="2"/>
  <c r="D2456" i="2"/>
  <c r="S2456" i="2"/>
  <c r="S3040" i="2"/>
  <c r="D3040" i="2"/>
  <c r="D1294" i="2"/>
  <c r="S1294" i="2"/>
  <c r="D827" i="2"/>
  <c r="S827" i="2"/>
  <c r="D156" i="2"/>
  <c r="S156" i="2"/>
  <c r="S347" i="2"/>
  <c r="D347" i="2"/>
  <c r="S2676" i="2"/>
  <c r="D2676" i="2"/>
  <c r="D530" i="2"/>
  <c r="S530" i="2"/>
  <c r="S3170" i="2"/>
  <c r="D3170" i="2"/>
  <c r="D870" i="2"/>
  <c r="S870" i="2"/>
  <c r="S72" i="2"/>
  <c r="D72" i="2"/>
  <c r="D1198" i="2"/>
  <c r="S1198" i="2"/>
  <c r="D2203" i="2"/>
  <c r="S2203" i="2"/>
  <c r="D1319" i="2"/>
  <c r="S1319" i="2"/>
  <c r="D2013" i="2"/>
  <c r="S2013" i="2"/>
  <c r="D147" i="2"/>
  <c r="S147" i="2"/>
  <c r="D2556" i="2"/>
  <c r="S2556" i="2"/>
  <c r="D3039" i="2"/>
  <c r="S3039" i="2"/>
  <c r="S927" i="2"/>
  <c r="D927" i="2"/>
  <c r="S2713" i="2"/>
  <c r="D2713" i="2"/>
  <c r="S2443" i="2"/>
  <c r="D2443" i="2"/>
  <c r="D277" i="2"/>
  <c r="S277" i="2"/>
  <c r="D3213" i="2"/>
  <c r="S3213" i="2"/>
  <c r="D1774" i="2"/>
  <c r="S1774" i="2"/>
  <c r="D281" i="2"/>
  <c r="S281" i="2"/>
  <c r="D733" i="2"/>
  <c r="S733" i="2"/>
  <c r="S1018" i="2"/>
  <c r="D1018" i="2"/>
  <c r="S1128" i="2"/>
  <c r="D1128" i="2"/>
  <c r="S24" i="2"/>
  <c r="D24" i="2"/>
  <c r="S2038" i="2"/>
  <c r="D2038" i="2"/>
  <c r="D741" i="2"/>
  <c r="S741" i="2"/>
  <c r="D78" i="2"/>
  <c r="S78" i="2"/>
  <c r="D1939" i="2"/>
  <c r="S1939" i="2"/>
  <c r="D122" i="2"/>
  <c r="S122" i="2"/>
  <c r="D610" i="2"/>
  <c r="S610" i="2"/>
  <c r="S599" i="2"/>
  <c r="D599" i="2"/>
  <c r="D2249" i="2"/>
  <c r="S2249" i="2"/>
  <c r="D2538" i="2"/>
  <c r="S2538" i="2"/>
  <c r="D69" i="2"/>
  <c r="S69" i="2"/>
  <c r="S608" i="2"/>
  <c r="D608" i="2"/>
  <c r="D2861" i="2"/>
  <c r="S2861" i="2"/>
  <c r="S2351" i="2"/>
  <c r="D2351" i="2"/>
  <c r="S1786" i="2"/>
  <c r="D1786" i="2"/>
  <c r="D98" i="2"/>
  <c r="S98" i="2"/>
  <c r="D2006" i="2"/>
  <c r="S2006" i="2"/>
  <c r="S1419" i="2"/>
  <c r="D1419" i="2"/>
  <c r="S2625" i="2"/>
  <c r="D2625" i="2"/>
  <c r="S981" i="2"/>
  <c r="D981" i="2"/>
  <c r="D2859" i="2"/>
  <c r="S2859" i="2"/>
  <c r="D917" i="2"/>
  <c r="S917" i="2"/>
  <c r="S1972" i="2"/>
  <c r="D1972" i="2"/>
  <c r="S237" i="2"/>
  <c r="D237" i="2"/>
  <c r="D1705" i="2"/>
  <c r="S1705" i="2"/>
  <c r="D2356" i="2"/>
  <c r="S2356" i="2"/>
  <c r="D2837" i="2"/>
  <c r="S2837" i="2"/>
  <c r="D191" i="2"/>
  <c r="S191" i="2"/>
  <c r="S993" i="2"/>
  <c r="D993" i="2"/>
  <c r="D289" i="2"/>
  <c r="S289" i="2"/>
  <c r="D283" i="2"/>
  <c r="S283" i="2"/>
  <c r="S7" i="2"/>
  <c r="D7" i="2"/>
  <c r="S2932" i="2"/>
  <c r="D2932" i="2"/>
  <c r="D2849" i="2"/>
  <c r="S2849" i="2"/>
  <c r="S1560" i="2"/>
  <c r="D1560" i="2"/>
  <c r="S370" i="2"/>
  <c r="D370" i="2"/>
  <c r="S562" i="2"/>
  <c r="D562" i="2"/>
  <c r="S3115" i="2"/>
  <c r="D3115" i="2"/>
  <c r="S293" i="2"/>
  <c r="D293" i="2"/>
  <c r="S1741" i="2"/>
  <c r="D1741" i="2"/>
  <c r="D2579" i="2"/>
  <c r="S2579" i="2"/>
  <c r="D2057" i="2"/>
  <c r="S2057" i="2"/>
  <c r="D1283" i="2"/>
  <c r="S1283" i="2"/>
  <c r="D3139" i="2"/>
  <c r="S3139" i="2"/>
  <c r="D2675" i="2"/>
  <c r="S2675" i="2"/>
  <c r="D2659" i="2"/>
  <c r="S2659" i="2"/>
  <c r="S2729" i="2"/>
  <c r="D2729" i="2"/>
  <c r="D2032" i="2"/>
  <c r="S2032" i="2"/>
  <c r="D3221" i="2"/>
  <c r="S3221" i="2"/>
  <c r="D2897" i="2"/>
  <c r="S2897" i="2"/>
  <c r="S1424" i="2"/>
  <c r="D1424" i="2"/>
  <c r="D3002" i="2"/>
  <c r="S3002" i="2"/>
  <c r="D1703" i="2"/>
  <c r="S1703" i="2"/>
  <c r="D2651" i="2"/>
  <c r="S2651" i="2"/>
  <c r="D1373" i="2"/>
  <c r="S1373" i="2"/>
  <c r="D891" i="2"/>
  <c r="S891" i="2"/>
  <c r="D10" i="2"/>
  <c r="S10" i="2"/>
  <c r="D245" i="2"/>
  <c r="S245" i="2"/>
  <c r="S528" i="2"/>
  <c r="D528" i="2"/>
  <c r="D1926" i="2"/>
  <c r="S1926" i="2"/>
  <c r="D2029" i="2"/>
  <c r="S2029" i="2"/>
  <c r="S792" i="2"/>
  <c r="D792" i="2"/>
  <c r="D1772" i="2"/>
  <c r="S1772" i="2"/>
  <c r="D2642" i="2"/>
  <c r="S2642" i="2"/>
  <c r="S1470" i="2"/>
  <c r="D1470" i="2"/>
  <c r="D2144" i="2"/>
  <c r="S2144" i="2"/>
  <c r="D546" i="2"/>
  <c r="S546" i="2"/>
  <c r="D3193" i="2"/>
  <c r="S3193" i="2"/>
  <c r="D1333" i="2"/>
  <c r="S1333" i="2"/>
  <c r="D1887" i="2"/>
  <c r="S1887" i="2"/>
  <c r="S2691" i="2"/>
  <c r="D2691" i="2"/>
  <c r="D2509" i="2"/>
  <c r="S2509" i="2"/>
  <c r="D2484" i="2"/>
  <c r="S2484" i="2"/>
  <c r="S15" i="2"/>
  <c r="D15" i="2"/>
  <c r="D92" i="2"/>
  <c r="S92" i="2"/>
  <c r="S2367" i="2"/>
  <c r="D2367" i="2"/>
  <c r="S2504" i="2"/>
  <c r="D2504" i="2"/>
  <c r="D2127" i="2"/>
  <c r="S2127" i="2"/>
  <c r="S2403" i="2"/>
  <c r="D2403" i="2"/>
  <c r="D3083" i="2"/>
  <c r="S3083" i="2"/>
  <c r="D1173" i="2"/>
  <c r="S1173" i="2"/>
  <c r="D2985" i="2"/>
  <c r="S2985" i="2"/>
  <c r="S3190" i="2"/>
  <c r="D3190" i="2"/>
  <c r="S2896" i="2"/>
  <c r="D2896" i="2"/>
  <c r="D2458" i="2"/>
  <c r="S2458" i="2"/>
  <c r="S1443" i="2"/>
  <c r="D1443" i="2"/>
  <c r="S1850" i="2"/>
  <c r="D1850" i="2"/>
  <c r="D2871" i="2"/>
  <c r="S2871" i="2"/>
  <c r="D742" i="2"/>
  <c r="S742" i="2"/>
  <c r="D2622" i="2"/>
  <c r="S2622" i="2"/>
  <c r="S2085" i="2"/>
  <c r="D2085" i="2"/>
  <c r="D1166" i="2"/>
  <c r="S1166" i="2"/>
  <c r="S1586" i="2"/>
  <c r="D1586" i="2"/>
  <c r="D2340" i="2"/>
  <c r="S2340" i="2"/>
  <c r="D3196" i="2"/>
  <c r="S3196" i="2"/>
  <c r="D157" i="2"/>
  <c r="S157" i="2"/>
  <c r="D2409" i="2"/>
  <c r="S2409" i="2"/>
  <c r="S2788" i="2"/>
  <c r="D2788" i="2"/>
  <c r="D1391" i="2"/>
  <c r="S1391" i="2"/>
  <c r="D2232" i="2"/>
  <c r="S2232" i="2"/>
  <c r="D1478" i="2"/>
  <c r="S1478" i="2"/>
  <c r="D1938" i="2"/>
  <c r="S1938" i="2"/>
  <c r="D355" i="2"/>
  <c r="S355" i="2"/>
  <c r="S452" i="2"/>
  <c r="D452" i="2"/>
  <c r="S2800" i="2"/>
  <c r="D2800" i="2"/>
  <c r="S1862" i="2"/>
  <c r="D1862" i="2"/>
  <c r="D2647" i="2"/>
  <c r="S2647" i="2"/>
  <c r="S2537" i="2"/>
  <c r="D2537" i="2"/>
  <c r="D1657" i="2"/>
  <c r="S1657" i="2"/>
  <c r="D749" i="2"/>
  <c r="S749" i="2"/>
  <c r="S2253" i="2"/>
  <c r="D2253" i="2"/>
  <c r="S553" i="2"/>
  <c r="D553" i="2"/>
  <c r="S1216" i="2"/>
  <c r="D1216" i="2"/>
  <c r="D2702" i="2"/>
  <c r="S2702" i="2"/>
  <c r="S2210" i="2"/>
  <c r="D2210" i="2"/>
  <c r="S527" i="2"/>
  <c r="D527" i="2"/>
  <c r="D85" i="2"/>
  <c r="S85" i="2"/>
  <c r="D1025" i="2"/>
  <c r="S1025" i="2"/>
  <c r="D2058" i="2"/>
  <c r="S2058" i="2"/>
  <c r="S2282" i="2"/>
  <c r="D2282" i="2"/>
  <c r="S2295" i="2"/>
  <c r="D2295" i="2"/>
  <c r="D2746" i="2"/>
  <c r="S2746" i="2"/>
  <c r="D2874" i="2"/>
  <c r="S2874" i="2"/>
  <c r="D829" i="2"/>
  <c r="S829" i="2"/>
  <c r="D1731" i="2"/>
  <c r="S1731" i="2"/>
  <c r="D2325" i="2"/>
  <c r="S2325" i="2"/>
  <c r="D932" i="2"/>
  <c r="S932" i="2"/>
  <c r="D435" i="2"/>
  <c r="S435" i="2"/>
  <c r="D586" i="2"/>
  <c r="S586" i="2"/>
  <c r="D2455" i="2"/>
  <c r="S2455" i="2"/>
  <c r="D319" i="2"/>
  <c r="S319" i="2"/>
  <c r="D2845" i="2"/>
  <c r="S2845" i="2"/>
  <c r="S2147" i="2"/>
  <c r="D2147" i="2"/>
  <c r="S3219" i="2"/>
  <c r="D3219" i="2"/>
  <c r="D1496" i="2"/>
  <c r="S1496" i="2"/>
  <c r="S1417" i="2"/>
  <c r="D1417" i="2"/>
  <c r="S2739" i="2"/>
  <c r="D2739" i="2"/>
  <c r="S2245" i="2"/>
  <c r="D2245" i="2"/>
  <c r="S18" i="2"/>
  <c r="D18" i="2"/>
  <c r="S1115" i="2"/>
  <c r="D1115" i="2"/>
  <c r="D1060" i="2"/>
  <c r="S1060" i="2"/>
  <c r="S1351" i="2"/>
  <c r="D1351" i="2"/>
  <c r="S2049" i="2"/>
  <c r="D2049" i="2"/>
  <c r="D2216" i="2"/>
  <c r="S2216" i="2"/>
  <c r="D2206" i="2"/>
  <c r="S2206" i="2"/>
  <c r="D3058" i="2"/>
  <c r="S3058" i="2"/>
  <c r="S2431" i="2"/>
  <c r="D2431" i="2"/>
  <c r="D65" i="2"/>
  <c r="S65" i="2"/>
  <c r="S2979" i="2"/>
  <c r="D2979" i="2"/>
  <c r="S611" i="2"/>
  <c r="D611" i="2"/>
  <c r="S1747" i="2"/>
  <c r="D1747" i="2"/>
  <c r="S2947" i="2"/>
  <c r="D2947" i="2"/>
  <c r="D1528" i="2"/>
  <c r="S1528" i="2"/>
  <c r="S391" i="2"/>
  <c r="D391" i="2"/>
  <c r="D2547" i="2"/>
  <c r="S2547" i="2"/>
  <c r="D2989" i="2"/>
  <c r="S2989" i="2"/>
  <c r="E2" i="4" l="1"/>
  <c r="E1" i="4" s="1"/>
  <c r="E3" i="4" s="1"/>
  <c r="E8" i="4" s="1"/>
  <c r="C22" i="1"/>
  <c r="C23" i="1" s="1"/>
</calcChain>
</file>

<file path=xl/sharedStrings.xml><?xml version="1.0" encoding="utf-8"?>
<sst xmlns="http://schemas.openxmlformats.org/spreadsheetml/2006/main" count="88" uniqueCount="73">
  <si>
    <t>a =</t>
  </si>
  <si>
    <t>b =</t>
  </si>
  <si>
    <t>E =</t>
  </si>
  <si>
    <t>mm</t>
  </si>
  <si>
    <t>K=</t>
  </si>
  <si>
    <t>N/mm</t>
  </si>
  <si>
    <t>u'(t)</t>
  </si>
  <si>
    <t>u''(t)</t>
  </si>
  <si>
    <t>t (s)</t>
  </si>
  <si>
    <t>N</t>
  </si>
  <si>
    <t>Hz</t>
  </si>
  <si>
    <t>A =</t>
  </si>
  <si>
    <t>Damping cooef =</t>
  </si>
  <si>
    <t>B =</t>
  </si>
  <si>
    <t>C =</t>
  </si>
  <si>
    <t>D =</t>
  </si>
  <si>
    <t>u(t) Damped</t>
  </si>
  <si>
    <t>Damped natural freq =</t>
  </si>
  <si>
    <t>u(t) Free</t>
  </si>
  <si>
    <t>PROJECT</t>
  </si>
  <si>
    <t>BY</t>
  </si>
  <si>
    <t>CUSTOMER</t>
  </si>
  <si>
    <t>DATE</t>
  </si>
  <si>
    <t>CALC. No.</t>
  </si>
  <si>
    <t>CALC.FOR</t>
  </si>
  <si>
    <r>
      <t>N/mm</t>
    </r>
    <r>
      <rPr>
        <i/>
        <vertAlign val="superscript"/>
        <sz val="10"/>
        <color theme="1"/>
        <rFont val="Arial"/>
        <family val="2"/>
      </rPr>
      <t>2</t>
    </r>
  </si>
  <si>
    <t>Eq. static force =</t>
  </si>
  <si>
    <t>Max. displacement =</t>
  </si>
  <si>
    <t>Max. bending stress =</t>
  </si>
  <si>
    <t>Max. moment =</t>
  </si>
  <si>
    <t>N.mm</t>
  </si>
  <si>
    <t>Natural frequency =</t>
  </si>
  <si>
    <t>Exciting frequency =</t>
  </si>
  <si>
    <t>Initial displacement =</t>
  </si>
  <si>
    <t>Initial velocity =</t>
  </si>
  <si>
    <t>Peak amplitude =</t>
  </si>
  <si>
    <t>mm/s</t>
  </si>
  <si>
    <r>
      <rPr>
        <b/>
        <sz val="8"/>
        <color rgb="FF000000"/>
        <rFont val="Arial"/>
        <family val="2"/>
      </rPr>
      <t>Sec.</t>
    </r>
    <r>
      <rPr>
        <b/>
        <sz val="8"/>
        <color rgb="FF000000"/>
        <rFont val="Arial"/>
        <family val="2"/>
      </rPr>
      <t xml:space="preserve"> </t>
    </r>
    <r>
      <rPr>
        <b/>
        <sz val="8"/>
        <color rgb="FF000000"/>
        <rFont val="Arial"/>
        <family val="2"/>
      </rPr>
      <t>No.</t>
    </r>
  </si>
  <si>
    <t>Inertia_x</t>
  </si>
  <si>
    <t>Profile :</t>
  </si>
  <si>
    <t>IPE80</t>
  </si>
  <si>
    <t>IPE100</t>
  </si>
  <si>
    <t>IPE120</t>
  </si>
  <si>
    <t>IPE140</t>
  </si>
  <si>
    <t>IPE160</t>
  </si>
  <si>
    <t>IPE180</t>
  </si>
  <si>
    <t>IPE200</t>
  </si>
  <si>
    <t>IPE220</t>
  </si>
  <si>
    <t>IPE240</t>
  </si>
  <si>
    <t>IPE270</t>
  </si>
  <si>
    <t>IPE300</t>
  </si>
  <si>
    <t>IPE330</t>
  </si>
  <si>
    <t>IPE360</t>
  </si>
  <si>
    <t>IPE400</t>
  </si>
  <si>
    <t>IPE450</t>
  </si>
  <si>
    <t>IPE500</t>
  </si>
  <si>
    <t>IPE550</t>
  </si>
  <si>
    <t>IPE600</t>
  </si>
  <si>
    <t>Inertia=</t>
  </si>
  <si>
    <t>Section Modulus</t>
  </si>
  <si>
    <t>Sx =</t>
  </si>
  <si>
    <t>Mass =</t>
  </si>
  <si>
    <t>Kg</t>
  </si>
  <si>
    <t>C1</t>
  </si>
  <si>
    <t>C2</t>
  </si>
  <si>
    <t>L</t>
  </si>
  <si>
    <t>P(t)</t>
  </si>
  <si>
    <t>C4</t>
  </si>
  <si>
    <t>v =</t>
  </si>
  <si>
    <t>x =</t>
  </si>
  <si>
    <t>max_v =</t>
  </si>
  <si>
    <t>Pst(t)</t>
  </si>
  <si>
    <t>Hazem Kassab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</si>
</sst>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Arial"/>
      <family val="2"/>
    </font>
    <font>
      <sz val="10"/>
      <color rgb="FF3323FD"/>
      <name val="Arial"/>
      <family val="2"/>
    </font>
    <font>
      <sz val="11"/>
      <color rgb="FF031195"/>
      <name val="Calibri"/>
      <family val="2"/>
      <scheme val="minor"/>
    </font>
    <font>
      <i/>
      <sz val="10"/>
      <color theme="1"/>
      <name val="Arial"/>
      <family val="2"/>
    </font>
    <font>
      <i/>
      <vertAlign val="superscript"/>
      <sz val="10"/>
      <color theme="1"/>
      <name val="Arial"/>
      <family val="2"/>
    </font>
    <font>
      <sz val="11"/>
      <color theme="1"/>
      <name val="Times New Roman"/>
      <family val="1"/>
    </font>
    <font>
      <sz val="11"/>
      <color rgb="FF000000"/>
      <name val="Calibri"/>
      <family val="2"/>
      <charset val="204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8" fillId="0" borderId="0"/>
  </cellStyleXfs>
  <cellXfs count="34">
    <xf numFmtId="0" fontId="0" fillId="0" borderId="0" xfId="0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3" fillId="0" borderId="10" xfId="0" applyFont="1" applyBorder="1" applyAlignment="1" applyProtection="1">
      <alignment vertical="center"/>
      <protection locked="0"/>
    </xf>
    <xf numFmtId="0" fontId="3" fillId="0" borderId="7" xfId="0" applyFont="1" applyBorder="1" applyAlignment="1" applyProtection="1">
      <alignment vertical="center"/>
      <protection locked="0"/>
    </xf>
    <xf numFmtId="0" fontId="3" fillId="0" borderId="11" xfId="0" applyFont="1" applyBorder="1" applyAlignment="1" applyProtection="1">
      <alignment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2" fillId="0" borderId="7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2" xfId="0" applyFont="1" applyBorder="1" applyAlignment="1" applyProtection="1">
      <alignment vertical="center"/>
      <protection locked="0"/>
    </xf>
    <xf numFmtId="0" fontId="3" fillId="0" borderId="3" xfId="0" applyFont="1" applyBorder="1" applyAlignment="1" applyProtection="1">
      <alignment vertical="center"/>
      <protection locked="0"/>
    </xf>
    <xf numFmtId="0" fontId="2" fillId="0" borderId="6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5" fillId="0" borderId="0" xfId="0" applyFont="1" applyBorder="1"/>
    <xf numFmtId="0" fontId="7" fillId="0" borderId="4" xfId="0" applyFont="1" applyBorder="1"/>
    <xf numFmtId="0" fontId="5" fillId="0" borderId="0" xfId="0" applyFont="1" applyFill="1" applyBorder="1"/>
    <xf numFmtId="0" fontId="9" fillId="0" borderId="12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/>
    </xf>
    <xf numFmtId="2" fontId="4" fillId="0" borderId="0" xfId="0" applyNumberFormat="1" applyFont="1" applyBorder="1"/>
    <xf numFmtId="2" fontId="4" fillId="0" borderId="0" xfId="0" applyNumberFormat="1" applyFont="1" applyBorder="1" applyAlignment="1">
      <alignment horizontal="right"/>
    </xf>
    <xf numFmtId="2" fontId="0" fillId="0" borderId="0" xfId="0" applyNumberFormat="1" applyBorder="1"/>
    <xf numFmtId="2" fontId="0" fillId="0" borderId="0" xfId="0" applyNumberFormat="1"/>
    <xf numFmtId="2" fontId="1" fillId="0" borderId="0" xfId="0" applyNumberFormat="1" applyFont="1" applyBorder="1"/>
    <xf numFmtId="0" fontId="8" fillId="0" borderId="0" xfId="1"/>
    <xf numFmtId="0" fontId="9" fillId="0" borderId="12" xfId="1" applyFont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0311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Displacement</a:t>
            </a:r>
            <a:r>
              <a:rPr lang="en-US" baseline="0"/>
              <a:t> (</a:t>
            </a:r>
            <a:r>
              <a:rPr lang="en-US"/>
              <a:t>Undamped)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u(t) Free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Sheet2!$A$2:$A$3231</c:f>
              <c:numCache>
                <c:formatCode>General</c:formatCode>
                <c:ptCount val="323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  <c:pt idx="1502">
                  <c:v>1.502</c:v>
                </c:pt>
                <c:pt idx="1503">
                  <c:v>1.5029999999999999</c:v>
                </c:pt>
                <c:pt idx="1504">
                  <c:v>1.504</c:v>
                </c:pt>
                <c:pt idx="1505">
                  <c:v>1.5049999999999999</c:v>
                </c:pt>
                <c:pt idx="1506">
                  <c:v>1.506</c:v>
                </c:pt>
                <c:pt idx="1507">
                  <c:v>1.5069999999999999</c:v>
                </c:pt>
                <c:pt idx="1508">
                  <c:v>1.508</c:v>
                </c:pt>
                <c:pt idx="1509">
                  <c:v>1.5089999999999999</c:v>
                </c:pt>
                <c:pt idx="1510">
                  <c:v>1.51</c:v>
                </c:pt>
                <c:pt idx="1511">
                  <c:v>1.5109999999999999</c:v>
                </c:pt>
                <c:pt idx="1512">
                  <c:v>1.512</c:v>
                </c:pt>
                <c:pt idx="1513">
                  <c:v>1.5129999999999999</c:v>
                </c:pt>
                <c:pt idx="1514">
                  <c:v>1.514</c:v>
                </c:pt>
                <c:pt idx="1515">
                  <c:v>1.5149999999999999</c:v>
                </c:pt>
                <c:pt idx="1516">
                  <c:v>1.516</c:v>
                </c:pt>
                <c:pt idx="1517">
                  <c:v>1.5169999999999999</c:v>
                </c:pt>
                <c:pt idx="1518">
                  <c:v>1.518</c:v>
                </c:pt>
                <c:pt idx="1519">
                  <c:v>1.5189999999999999</c:v>
                </c:pt>
                <c:pt idx="1520">
                  <c:v>1.52</c:v>
                </c:pt>
                <c:pt idx="1521">
                  <c:v>1.5209999999999999</c:v>
                </c:pt>
                <c:pt idx="1522">
                  <c:v>1.522</c:v>
                </c:pt>
                <c:pt idx="1523">
                  <c:v>1.5229999999999999</c:v>
                </c:pt>
                <c:pt idx="1524">
                  <c:v>1.524</c:v>
                </c:pt>
                <c:pt idx="1525">
                  <c:v>1.5249999999999999</c:v>
                </c:pt>
                <c:pt idx="1526">
                  <c:v>1.526</c:v>
                </c:pt>
                <c:pt idx="1527">
                  <c:v>1.5269999999999999</c:v>
                </c:pt>
                <c:pt idx="1528">
                  <c:v>1.528</c:v>
                </c:pt>
                <c:pt idx="1529">
                  <c:v>1.5289999999999999</c:v>
                </c:pt>
                <c:pt idx="1530">
                  <c:v>1.53</c:v>
                </c:pt>
                <c:pt idx="1531">
                  <c:v>1.5309999999999999</c:v>
                </c:pt>
                <c:pt idx="1532">
                  <c:v>1.532</c:v>
                </c:pt>
                <c:pt idx="1533">
                  <c:v>1.5329999999999999</c:v>
                </c:pt>
                <c:pt idx="1534">
                  <c:v>1.534</c:v>
                </c:pt>
                <c:pt idx="1535">
                  <c:v>1.5349999999999999</c:v>
                </c:pt>
                <c:pt idx="1536">
                  <c:v>1.536</c:v>
                </c:pt>
                <c:pt idx="1537">
                  <c:v>1.5369999999999999</c:v>
                </c:pt>
                <c:pt idx="1538">
                  <c:v>1.538</c:v>
                </c:pt>
                <c:pt idx="1539">
                  <c:v>1.5389999999999999</c:v>
                </c:pt>
                <c:pt idx="1540">
                  <c:v>1.54</c:v>
                </c:pt>
                <c:pt idx="1541">
                  <c:v>1.5409999999999999</c:v>
                </c:pt>
                <c:pt idx="1542">
                  <c:v>1.542</c:v>
                </c:pt>
                <c:pt idx="1543">
                  <c:v>1.5429999999999999</c:v>
                </c:pt>
                <c:pt idx="1544">
                  <c:v>1.544</c:v>
                </c:pt>
                <c:pt idx="1545">
                  <c:v>1.5449999999999999</c:v>
                </c:pt>
                <c:pt idx="1546">
                  <c:v>1.546</c:v>
                </c:pt>
                <c:pt idx="1547">
                  <c:v>1.5469999999999999</c:v>
                </c:pt>
                <c:pt idx="1548">
                  <c:v>1.548</c:v>
                </c:pt>
                <c:pt idx="1549">
                  <c:v>1.5489999999999999</c:v>
                </c:pt>
                <c:pt idx="1550">
                  <c:v>1.55</c:v>
                </c:pt>
                <c:pt idx="1551">
                  <c:v>1.5509999999999999</c:v>
                </c:pt>
                <c:pt idx="1552">
                  <c:v>1.552</c:v>
                </c:pt>
                <c:pt idx="1553">
                  <c:v>1.5529999999999999</c:v>
                </c:pt>
                <c:pt idx="1554">
                  <c:v>1.554</c:v>
                </c:pt>
                <c:pt idx="1555">
                  <c:v>1.5549999999999999</c:v>
                </c:pt>
                <c:pt idx="1556">
                  <c:v>1.556</c:v>
                </c:pt>
                <c:pt idx="1557">
                  <c:v>1.5569999999999999</c:v>
                </c:pt>
                <c:pt idx="1558">
                  <c:v>1.5580000000000001</c:v>
                </c:pt>
                <c:pt idx="1559">
                  <c:v>1.5589999999999999</c:v>
                </c:pt>
                <c:pt idx="1560">
                  <c:v>1.56</c:v>
                </c:pt>
                <c:pt idx="1561">
                  <c:v>1.5609999999999999</c:v>
                </c:pt>
                <c:pt idx="1562">
                  <c:v>1.5620000000000001</c:v>
                </c:pt>
                <c:pt idx="1563">
                  <c:v>1.5629999999999999</c:v>
                </c:pt>
                <c:pt idx="1564">
                  <c:v>1.5640000000000001</c:v>
                </c:pt>
                <c:pt idx="1565">
                  <c:v>1.5649999999999999</c:v>
                </c:pt>
                <c:pt idx="1566">
                  <c:v>1.5660000000000001</c:v>
                </c:pt>
                <c:pt idx="1567">
                  <c:v>1.5669999999999999</c:v>
                </c:pt>
                <c:pt idx="1568">
                  <c:v>1.5680000000000001</c:v>
                </c:pt>
                <c:pt idx="1569">
                  <c:v>1.569</c:v>
                </c:pt>
                <c:pt idx="1570">
                  <c:v>1.57</c:v>
                </c:pt>
                <c:pt idx="1571">
                  <c:v>1.571</c:v>
                </c:pt>
                <c:pt idx="1572">
                  <c:v>1.5720000000000001</c:v>
                </c:pt>
                <c:pt idx="1573">
                  <c:v>1.573</c:v>
                </c:pt>
                <c:pt idx="1574">
                  <c:v>1.5740000000000001</c:v>
                </c:pt>
                <c:pt idx="1575">
                  <c:v>1.575</c:v>
                </c:pt>
                <c:pt idx="1576">
                  <c:v>1.5760000000000001</c:v>
                </c:pt>
                <c:pt idx="1577">
                  <c:v>1.577</c:v>
                </c:pt>
                <c:pt idx="1578">
                  <c:v>1.5780000000000001</c:v>
                </c:pt>
                <c:pt idx="1579">
                  <c:v>1.579</c:v>
                </c:pt>
                <c:pt idx="1580">
                  <c:v>1.58</c:v>
                </c:pt>
                <c:pt idx="1581">
                  <c:v>1.581</c:v>
                </c:pt>
                <c:pt idx="1582">
                  <c:v>1.5820000000000001</c:v>
                </c:pt>
                <c:pt idx="1583">
                  <c:v>1.583</c:v>
                </c:pt>
                <c:pt idx="1584">
                  <c:v>1.5840000000000001</c:v>
                </c:pt>
                <c:pt idx="1585">
                  <c:v>1.585</c:v>
                </c:pt>
                <c:pt idx="1586">
                  <c:v>1.5860000000000001</c:v>
                </c:pt>
                <c:pt idx="1587">
                  <c:v>1.587</c:v>
                </c:pt>
                <c:pt idx="1588">
                  <c:v>1.5880000000000001</c:v>
                </c:pt>
                <c:pt idx="1589">
                  <c:v>1.589</c:v>
                </c:pt>
                <c:pt idx="1590">
                  <c:v>1.59</c:v>
                </c:pt>
                <c:pt idx="1591">
                  <c:v>1.591</c:v>
                </c:pt>
                <c:pt idx="1592">
                  <c:v>1.5920000000000001</c:v>
                </c:pt>
                <c:pt idx="1593">
                  <c:v>1.593</c:v>
                </c:pt>
                <c:pt idx="1594">
                  <c:v>1.5940000000000001</c:v>
                </c:pt>
                <c:pt idx="1595">
                  <c:v>1.595</c:v>
                </c:pt>
                <c:pt idx="1596">
                  <c:v>1.5960000000000001</c:v>
                </c:pt>
                <c:pt idx="1597">
                  <c:v>1.597</c:v>
                </c:pt>
                <c:pt idx="1598">
                  <c:v>1.5980000000000001</c:v>
                </c:pt>
                <c:pt idx="1599">
                  <c:v>1.599</c:v>
                </c:pt>
                <c:pt idx="1600">
                  <c:v>1.6</c:v>
                </c:pt>
                <c:pt idx="1601">
                  <c:v>1.601</c:v>
                </c:pt>
                <c:pt idx="1602">
                  <c:v>1.6020000000000001</c:v>
                </c:pt>
                <c:pt idx="1603">
                  <c:v>1.603</c:v>
                </c:pt>
                <c:pt idx="1604">
                  <c:v>1.6040000000000001</c:v>
                </c:pt>
                <c:pt idx="1605">
                  <c:v>1.605</c:v>
                </c:pt>
                <c:pt idx="1606">
                  <c:v>1.6060000000000001</c:v>
                </c:pt>
                <c:pt idx="1607">
                  <c:v>1.607</c:v>
                </c:pt>
                <c:pt idx="1608">
                  <c:v>1.6080000000000001</c:v>
                </c:pt>
                <c:pt idx="1609">
                  <c:v>1.609</c:v>
                </c:pt>
                <c:pt idx="1610">
                  <c:v>1.61</c:v>
                </c:pt>
                <c:pt idx="1611">
                  <c:v>1.611</c:v>
                </c:pt>
                <c:pt idx="1612">
                  <c:v>1.6120000000000001</c:v>
                </c:pt>
                <c:pt idx="1613">
                  <c:v>1.613</c:v>
                </c:pt>
                <c:pt idx="1614">
                  <c:v>1.6140000000000001</c:v>
                </c:pt>
                <c:pt idx="1615">
                  <c:v>1.615</c:v>
                </c:pt>
                <c:pt idx="1616">
                  <c:v>1.6160000000000001</c:v>
                </c:pt>
                <c:pt idx="1617">
                  <c:v>1.617</c:v>
                </c:pt>
                <c:pt idx="1618">
                  <c:v>1.6180000000000001</c:v>
                </c:pt>
                <c:pt idx="1619">
                  <c:v>1.619</c:v>
                </c:pt>
                <c:pt idx="1620">
                  <c:v>1.62</c:v>
                </c:pt>
                <c:pt idx="1621">
                  <c:v>1.621</c:v>
                </c:pt>
                <c:pt idx="1622">
                  <c:v>1.6220000000000001</c:v>
                </c:pt>
                <c:pt idx="1623">
                  <c:v>1.623</c:v>
                </c:pt>
                <c:pt idx="1624">
                  <c:v>1.6240000000000001</c:v>
                </c:pt>
                <c:pt idx="1625">
                  <c:v>1.625</c:v>
                </c:pt>
                <c:pt idx="1626">
                  <c:v>1.6259999999999999</c:v>
                </c:pt>
                <c:pt idx="1627">
                  <c:v>1.627</c:v>
                </c:pt>
                <c:pt idx="1628">
                  <c:v>1.6279999999999999</c:v>
                </c:pt>
                <c:pt idx="1629">
                  <c:v>1.629</c:v>
                </c:pt>
                <c:pt idx="1630">
                  <c:v>1.63</c:v>
                </c:pt>
                <c:pt idx="1631">
                  <c:v>1.631</c:v>
                </c:pt>
                <c:pt idx="1632">
                  <c:v>1.6319999999999999</c:v>
                </c:pt>
                <c:pt idx="1633">
                  <c:v>1.633</c:v>
                </c:pt>
                <c:pt idx="1634">
                  <c:v>1.6339999999999999</c:v>
                </c:pt>
                <c:pt idx="1635">
                  <c:v>1.635</c:v>
                </c:pt>
                <c:pt idx="1636">
                  <c:v>1.6359999999999999</c:v>
                </c:pt>
                <c:pt idx="1637">
                  <c:v>1.637</c:v>
                </c:pt>
                <c:pt idx="1638">
                  <c:v>1.6379999999999999</c:v>
                </c:pt>
                <c:pt idx="1639">
                  <c:v>1.639</c:v>
                </c:pt>
                <c:pt idx="1640">
                  <c:v>1.64</c:v>
                </c:pt>
                <c:pt idx="1641">
                  <c:v>1.641</c:v>
                </c:pt>
                <c:pt idx="1642">
                  <c:v>1.6419999999999999</c:v>
                </c:pt>
                <c:pt idx="1643">
                  <c:v>1.643</c:v>
                </c:pt>
                <c:pt idx="1644">
                  <c:v>1.6439999999999999</c:v>
                </c:pt>
                <c:pt idx="1645">
                  <c:v>1.645</c:v>
                </c:pt>
                <c:pt idx="1646">
                  <c:v>1.6459999999999999</c:v>
                </c:pt>
                <c:pt idx="1647">
                  <c:v>1.647</c:v>
                </c:pt>
                <c:pt idx="1648">
                  <c:v>1.6479999999999999</c:v>
                </c:pt>
                <c:pt idx="1649">
                  <c:v>1.649</c:v>
                </c:pt>
                <c:pt idx="1650">
                  <c:v>1.65</c:v>
                </c:pt>
                <c:pt idx="1651">
                  <c:v>1.651</c:v>
                </c:pt>
                <c:pt idx="1652">
                  <c:v>1.6519999999999999</c:v>
                </c:pt>
                <c:pt idx="1653">
                  <c:v>1.653</c:v>
                </c:pt>
                <c:pt idx="1654">
                  <c:v>1.6539999999999999</c:v>
                </c:pt>
                <c:pt idx="1655">
                  <c:v>1.655</c:v>
                </c:pt>
                <c:pt idx="1656">
                  <c:v>1.6559999999999999</c:v>
                </c:pt>
                <c:pt idx="1657">
                  <c:v>1.657</c:v>
                </c:pt>
                <c:pt idx="1658">
                  <c:v>1.6579999999999999</c:v>
                </c:pt>
                <c:pt idx="1659">
                  <c:v>1.659</c:v>
                </c:pt>
                <c:pt idx="1660">
                  <c:v>1.66</c:v>
                </c:pt>
                <c:pt idx="1661">
                  <c:v>1.661</c:v>
                </c:pt>
                <c:pt idx="1662">
                  <c:v>1.6619999999999999</c:v>
                </c:pt>
                <c:pt idx="1663">
                  <c:v>1.663</c:v>
                </c:pt>
                <c:pt idx="1664">
                  <c:v>1.6639999999999999</c:v>
                </c:pt>
                <c:pt idx="1665">
                  <c:v>1.665</c:v>
                </c:pt>
                <c:pt idx="1666">
                  <c:v>1.6659999999999999</c:v>
                </c:pt>
                <c:pt idx="1667">
                  <c:v>1.667</c:v>
                </c:pt>
                <c:pt idx="1668">
                  <c:v>1.6679999999999999</c:v>
                </c:pt>
                <c:pt idx="1669">
                  <c:v>1.669</c:v>
                </c:pt>
                <c:pt idx="1670">
                  <c:v>1.67</c:v>
                </c:pt>
                <c:pt idx="1671">
                  <c:v>1.671</c:v>
                </c:pt>
                <c:pt idx="1672">
                  <c:v>1.6719999999999999</c:v>
                </c:pt>
                <c:pt idx="1673">
                  <c:v>1.673</c:v>
                </c:pt>
                <c:pt idx="1674">
                  <c:v>1.6739999999999999</c:v>
                </c:pt>
                <c:pt idx="1675">
                  <c:v>1.675</c:v>
                </c:pt>
                <c:pt idx="1676">
                  <c:v>1.6759999999999999</c:v>
                </c:pt>
                <c:pt idx="1677">
                  <c:v>1.677</c:v>
                </c:pt>
                <c:pt idx="1678">
                  <c:v>1.6779999999999999</c:v>
                </c:pt>
                <c:pt idx="1679">
                  <c:v>1.679</c:v>
                </c:pt>
                <c:pt idx="1680">
                  <c:v>1.68</c:v>
                </c:pt>
                <c:pt idx="1681">
                  <c:v>1.681</c:v>
                </c:pt>
                <c:pt idx="1682">
                  <c:v>1.6819999999999999</c:v>
                </c:pt>
                <c:pt idx="1683">
                  <c:v>1.6830000000000001</c:v>
                </c:pt>
                <c:pt idx="1684">
                  <c:v>1.6839999999999999</c:v>
                </c:pt>
                <c:pt idx="1685">
                  <c:v>1.6850000000000001</c:v>
                </c:pt>
                <c:pt idx="1686">
                  <c:v>1.6859999999999999</c:v>
                </c:pt>
                <c:pt idx="1687">
                  <c:v>1.6870000000000001</c:v>
                </c:pt>
                <c:pt idx="1688">
                  <c:v>1.6879999999999999</c:v>
                </c:pt>
                <c:pt idx="1689">
                  <c:v>1.6890000000000001</c:v>
                </c:pt>
                <c:pt idx="1690">
                  <c:v>1.69</c:v>
                </c:pt>
                <c:pt idx="1691">
                  <c:v>1.6910000000000001</c:v>
                </c:pt>
                <c:pt idx="1692">
                  <c:v>1.6919999999999999</c:v>
                </c:pt>
                <c:pt idx="1693">
                  <c:v>1.6930000000000001</c:v>
                </c:pt>
                <c:pt idx="1694">
                  <c:v>1.694</c:v>
                </c:pt>
                <c:pt idx="1695">
                  <c:v>1.6950000000000001</c:v>
                </c:pt>
                <c:pt idx="1696">
                  <c:v>1.696</c:v>
                </c:pt>
                <c:pt idx="1697">
                  <c:v>1.6970000000000001</c:v>
                </c:pt>
                <c:pt idx="1698">
                  <c:v>1.698</c:v>
                </c:pt>
                <c:pt idx="1699">
                  <c:v>1.6990000000000001</c:v>
                </c:pt>
                <c:pt idx="1700">
                  <c:v>1.7</c:v>
                </c:pt>
                <c:pt idx="1701">
                  <c:v>1.7010000000000001</c:v>
                </c:pt>
                <c:pt idx="1702">
                  <c:v>1.702</c:v>
                </c:pt>
                <c:pt idx="1703">
                  <c:v>1.7030000000000001</c:v>
                </c:pt>
                <c:pt idx="1704">
                  <c:v>1.704</c:v>
                </c:pt>
                <c:pt idx="1705">
                  <c:v>1.7050000000000001</c:v>
                </c:pt>
                <c:pt idx="1706">
                  <c:v>1.706</c:v>
                </c:pt>
                <c:pt idx="1707">
                  <c:v>1.7070000000000001</c:v>
                </c:pt>
                <c:pt idx="1708">
                  <c:v>1.708</c:v>
                </c:pt>
                <c:pt idx="1709">
                  <c:v>1.7090000000000001</c:v>
                </c:pt>
                <c:pt idx="1710">
                  <c:v>1.71</c:v>
                </c:pt>
                <c:pt idx="1711">
                  <c:v>1.7110000000000001</c:v>
                </c:pt>
                <c:pt idx="1712">
                  <c:v>1.712</c:v>
                </c:pt>
                <c:pt idx="1713">
                  <c:v>1.7130000000000001</c:v>
                </c:pt>
                <c:pt idx="1714">
                  <c:v>1.714</c:v>
                </c:pt>
                <c:pt idx="1715">
                  <c:v>1.7150000000000001</c:v>
                </c:pt>
                <c:pt idx="1716">
                  <c:v>1.716</c:v>
                </c:pt>
                <c:pt idx="1717">
                  <c:v>1.7170000000000001</c:v>
                </c:pt>
                <c:pt idx="1718">
                  <c:v>1.718</c:v>
                </c:pt>
                <c:pt idx="1719">
                  <c:v>1.7190000000000001</c:v>
                </c:pt>
                <c:pt idx="1720">
                  <c:v>1.72</c:v>
                </c:pt>
                <c:pt idx="1721">
                  <c:v>1.7210000000000001</c:v>
                </c:pt>
                <c:pt idx="1722">
                  <c:v>1.722</c:v>
                </c:pt>
                <c:pt idx="1723">
                  <c:v>1.7230000000000001</c:v>
                </c:pt>
                <c:pt idx="1724">
                  <c:v>1.724</c:v>
                </c:pt>
                <c:pt idx="1725">
                  <c:v>1.7250000000000001</c:v>
                </c:pt>
                <c:pt idx="1726">
                  <c:v>1.726</c:v>
                </c:pt>
                <c:pt idx="1727">
                  <c:v>1.7270000000000001</c:v>
                </c:pt>
                <c:pt idx="1728">
                  <c:v>1.728</c:v>
                </c:pt>
                <c:pt idx="1729">
                  <c:v>1.7290000000000001</c:v>
                </c:pt>
                <c:pt idx="1730">
                  <c:v>1.73</c:v>
                </c:pt>
                <c:pt idx="1731">
                  <c:v>1.7310000000000001</c:v>
                </c:pt>
                <c:pt idx="1732">
                  <c:v>1.732</c:v>
                </c:pt>
                <c:pt idx="1733">
                  <c:v>1.7330000000000001</c:v>
                </c:pt>
                <c:pt idx="1734">
                  <c:v>1.734</c:v>
                </c:pt>
                <c:pt idx="1735">
                  <c:v>1.7350000000000001</c:v>
                </c:pt>
                <c:pt idx="1736">
                  <c:v>1.736</c:v>
                </c:pt>
                <c:pt idx="1737">
                  <c:v>1.7370000000000001</c:v>
                </c:pt>
                <c:pt idx="1738">
                  <c:v>1.738</c:v>
                </c:pt>
                <c:pt idx="1739">
                  <c:v>1.7390000000000001</c:v>
                </c:pt>
                <c:pt idx="1740">
                  <c:v>1.74</c:v>
                </c:pt>
                <c:pt idx="1741">
                  <c:v>1.7410000000000001</c:v>
                </c:pt>
                <c:pt idx="1742">
                  <c:v>1.742</c:v>
                </c:pt>
                <c:pt idx="1743">
                  <c:v>1.7430000000000001</c:v>
                </c:pt>
                <c:pt idx="1744">
                  <c:v>1.744</c:v>
                </c:pt>
                <c:pt idx="1745">
                  <c:v>1.7450000000000001</c:v>
                </c:pt>
                <c:pt idx="1746">
                  <c:v>1.746</c:v>
                </c:pt>
                <c:pt idx="1747">
                  <c:v>1.7470000000000001</c:v>
                </c:pt>
                <c:pt idx="1748">
                  <c:v>1.748</c:v>
                </c:pt>
                <c:pt idx="1749">
                  <c:v>1.7490000000000001</c:v>
                </c:pt>
                <c:pt idx="1750">
                  <c:v>1.75</c:v>
                </c:pt>
                <c:pt idx="1751">
                  <c:v>1.7509999999999999</c:v>
                </c:pt>
                <c:pt idx="1752">
                  <c:v>1.752</c:v>
                </c:pt>
                <c:pt idx="1753">
                  <c:v>1.7529999999999999</c:v>
                </c:pt>
                <c:pt idx="1754">
                  <c:v>1.754</c:v>
                </c:pt>
                <c:pt idx="1755">
                  <c:v>1.7549999999999999</c:v>
                </c:pt>
                <c:pt idx="1756">
                  <c:v>1.756</c:v>
                </c:pt>
                <c:pt idx="1757">
                  <c:v>1.7569999999999999</c:v>
                </c:pt>
                <c:pt idx="1758">
                  <c:v>1.758</c:v>
                </c:pt>
                <c:pt idx="1759">
                  <c:v>1.7589999999999999</c:v>
                </c:pt>
                <c:pt idx="1760">
                  <c:v>1.76</c:v>
                </c:pt>
                <c:pt idx="1761">
                  <c:v>1.7609999999999999</c:v>
                </c:pt>
                <c:pt idx="1762">
                  <c:v>1.762</c:v>
                </c:pt>
                <c:pt idx="1763">
                  <c:v>1.7629999999999999</c:v>
                </c:pt>
                <c:pt idx="1764">
                  <c:v>1.764</c:v>
                </c:pt>
                <c:pt idx="1765">
                  <c:v>1.7649999999999999</c:v>
                </c:pt>
                <c:pt idx="1766">
                  <c:v>1.766</c:v>
                </c:pt>
                <c:pt idx="1767">
                  <c:v>1.7669999999999999</c:v>
                </c:pt>
                <c:pt idx="1768">
                  <c:v>1.768</c:v>
                </c:pt>
                <c:pt idx="1769">
                  <c:v>1.7689999999999999</c:v>
                </c:pt>
                <c:pt idx="1770">
                  <c:v>1.77</c:v>
                </c:pt>
                <c:pt idx="1771">
                  <c:v>1.7709999999999999</c:v>
                </c:pt>
                <c:pt idx="1772">
                  <c:v>1.772</c:v>
                </c:pt>
                <c:pt idx="1773">
                  <c:v>1.7729999999999999</c:v>
                </c:pt>
                <c:pt idx="1774">
                  <c:v>1.774</c:v>
                </c:pt>
                <c:pt idx="1775">
                  <c:v>1.7749999999999999</c:v>
                </c:pt>
                <c:pt idx="1776">
                  <c:v>1.776</c:v>
                </c:pt>
                <c:pt idx="1777">
                  <c:v>1.7769999999999999</c:v>
                </c:pt>
                <c:pt idx="1778">
                  <c:v>1.778</c:v>
                </c:pt>
                <c:pt idx="1779">
                  <c:v>1.7789999999999999</c:v>
                </c:pt>
                <c:pt idx="1780">
                  <c:v>1.78</c:v>
                </c:pt>
                <c:pt idx="1781">
                  <c:v>1.7809999999999999</c:v>
                </c:pt>
                <c:pt idx="1782">
                  <c:v>1.782</c:v>
                </c:pt>
                <c:pt idx="1783">
                  <c:v>1.7829999999999999</c:v>
                </c:pt>
                <c:pt idx="1784">
                  <c:v>1.784</c:v>
                </c:pt>
                <c:pt idx="1785">
                  <c:v>1.7849999999999999</c:v>
                </c:pt>
                <c:pt idx="1786">
                  <c:v>1.786</c:v>
                </c:pt>
                <c:pt idx="1787">
                  <c:v>1.7869999999999999</c:v>
                </c:pt>
                <c:pt idx="1788">
                  <c:v>1.788</c:v>
                </c:pt>
                <c:pt idx="1789">
                  <c:v>1.7889999999999999</c:v>
                </c:pt>
                <c:pt idx="1790">
                  <c:v>1.79</c:v>
                </c:pt>
                <c:pt idx="1791">
                  <c:v>1.7909999999999999</c:v>
                </c:pt>
                <c:pt idx="1792">
                  <c:v>1.792</c:v>
                </c:pt>
                <c:pt idx="1793">
                  <c:v>1.7929999999999999</c:v>
                </c:pt>
                <c:pt idx="1794">
                  <c:v>1.794</c:v>
                </c:pt>
                <c:pt idx="1795">
                  <c:v>1.7949999999999999</c:v>
                </c:pt>
                <c:pt idx="1796">
                  <c:v>1.796</c:v>
                </c:pt>
                <c:pt idx="1797">
                  <c:v>1.7969999999999999</c:v>
                </c:pt>
                <c:pt idx="1798">
                  <c:v>1.798</c:v>
                </c:pt>
                <c:pt idx="1799">
                  <c:v>1.7989999999999999</c:v>
                </c:pt>
                <c:pt idx="1800">
                  <c:v>1.8</c:v>
                </c:pt>
                <c:pt idx="1801">
                  <c:v>1.8009999999999999</c:v>
                </c:pt>
                <c:pt idx="1802">
                  <c:v>1.802</c:v>
                </c:pt>
                <c:pt idx="1803">
                  <c:v>1.8029999999999999</c:v>
                </c:pt>
                <c:pt idx="1804">
                  <c:v>1.804</c:v>
                </c:pt>
                <c:pt idx="1805">
                  <c:v>1.8049999999999999</c:v>
                </c:pt>
                <c:pt idx="1806">
                  <c:v>1.806</c:v>
                </c:pt>
                <c:pt idx="1807">
                  <c:v>1.8069999999999999</c:v>
                </c:pt>
                <c:pt idx="1808">
                  <c:v>1.8080000000000001</c:v>
                </c:pt>
                <c:pt idx="1809">
                  <c:v>1.8089999999999999</c:v>
                </c:pt>
                <c:pt idx="1810">
                  <c:v>1.81</c:v>
                </c:pt>
                <c:pt idx="1811">
                  <c:v>1.8109999999999999</c:v>
                </c:pt>
                <c:pt idx="1812">
                  <c:v>1.8120000000000001</c:v>
                </c:pt>
                <c:pt idx="1813">
                  <c:v>1.8129999999999999</c:v>
                </c:pt>
                <c:pt idx="1814">
                  <c:v>1.8140000000000001</c:v>
                </c:pt>
                <c:pt idx="1815">
                  <c:v>1.8149999999999999</c:v>
                </c:pt>
                <c:pt idx="1816">
                  <c:v>1.8160000000000001</c:v>
                </c:pt>
                <c:pt idx="1817">
                  <c:v>1.8169999999999999</c:v>
                </c:pt>
                <c:pt idx="1818">
                  <c:v>1.8180000000000001</c:v>
                </c:pt>
                <c:pt idx="1819">
                  <c:v>1.819</c:v>
                </c:pt>
                <c:pt idx="1820">
                  <c:v>1.82</c:v>
                </c:pt>
                <c:pt idx="1821">
                  <c:v>1.821</c:v>
                </c:pt>
                <c:pt idx="1822">
                  <c:v>1.8220000000000001</c:v>
                </c:pt>
                <c:pt idx="1823">
                  <c:v>1.823</c:v>
                </c:pt>
                <c:pt idx="1824">
                  <c:v>1.8240000000000001</c:v>
                </c:pt>
                <c:pt idx="1825">
                  <c:v>1.825</c:v>
                </c:pt>
                <c:pt idx="1826">
                  <c:v>1.8260000000000001</c:v>
                </c:pt>
                <c:pt idx="1827">
                  <c:v>1.827</c:v>
                </c:pt>
                <c:pt idx="1828">
                  <c:v>1.8280000000000001</c:v>
                </c:pt>
                <c:pt idx="1829">
                  <c:v>1.829</c:v>
                </c:pt>
                <c:pt idx="1830">
                  <c:v>1.83</c:v>
                </c:pt>
                <c:pt idx="1831">
                  <c:v>1.831</c:v>
                </c:pt>
                <c:pt idx="1832">
                  <c:v>1.8320000000000001</c:v>
                </c:pt>
                <c:pt idx="1833">
                  <c:v>1.833</c:v>
                </c:pt>
                <c:pt idx="1834">
                  <c:v>1.8340000000000001</c:v>
                </c:pt>
                <c:pt idx="1835">
                  <c:v>1.835</c:v>
                </c:pt>
                <c:pt idx="1836">
                  <c:v>1.8360000000000001</c:v>
                </c:pt>
                <c:pt idx="1837">
                  <c:v>1.837</c:v>
                </c:pt>
                <c:pt idx="1838">
                  <c:v>1.8380000000000001</c:v>
                </c:pt>
                <c:pt idx="1839">
                  <c:v>1.839</c:v>
                </c:pt>
                <c:pt idx="1840">
                  <c:v>1.84</c:v>
                </c:pt>
                <c:pt idx="1841">
                  <c:v>1.841</c:v>
                </c:pt>
                <c:pt idx="1842">
                  <c:v>1.8420000000000001</c:v>
                </c:pt>
                <c:pt idx="1843">
                  <c:v>1.843</c:v>
                </c:pt>
                <c:pt idx="1844">
                  <c:v>1.8440000000000001</c:v>
                </c:pt>
                <c:pt idx="1845">
                  <c:v>1.845</c:v>
                </c:pt>
                <c:pt idx="1846">
                  <c:v>1.8460000000000001</c:v>
                </c:pt>
                <c:pt idx="1847">
                  <c:v>1.847</c:v>
                </c:pt>
                <c:pt idx="1848">
                  <c:v>1.8480000000000001</c:v>
                </c:pt>
                <c:pt idx="1849">
                  <c:v>1.849</c:v>
                </c:pt>
                <c:pt idx="1850">
                  <c:v>1.85</c:v>
                </c:pt>
                <c:pt idx="1851">
                  <c:v>1.851</c:v>
                </c:pt>
                <c:pt idx="1852">
                  <c:v>1.8520000000000001</c:v>
                </c:pt>
                <c:pt idx="1853">
                  <c:v>1.853</c:v>
                </c:pt>
                <c:pt idx="1854">
                  <c:v>1.8540000000000001</c:v>
                </c:pt>
                <c:pt idx="1855">
                  <c:v>1.855</c:v>
                </c:pt>
                <c:pt idx="1856">
                  <c:v>1.8560000000000001</c:v>
                </c:pt>
                <c:pt idx="1857">
                  <c:v>1.857</c:v>
                </c:pt>
                <c:pt idx="1858">
                  <c:v>1.8580000000000001</c:v>
                </c:pt>
                <c:pt idx="1859">
                  <c:v>1.859</c:v>
                </c:pt>
                <c:pt idx="1860">
                  <c:v>1.86</c:v>
                </c:pt>
                <c:pt idx="1861">
                  <c:v>1.861</c:v>
                </c:pt>
                <c:pt idx="1862">
                  <c:v>1.8620000000000001</c:v>
                </c:pt>
                <c:pt idx="1863">
                  <c:v>1.863</c:v>
                </c:pt>
                <c:pt idx="1864">
                  <c:v>1.8640000000000001</c:v>
                </c:pt>
                <c:pt idx="1865">
                  <c:v>1.865</c:v>
                </c:pt>
                <c:pt idx="1866">
                  <c:v>1.8660000000000001</c:v>
                </c:pt>
                <c:pt idx="1867">
                  <c:v>1.867</c:v>
                </c:pt>
                <c:pt idx="1868">
                  <c:v>1.8680000000000001</c:v>
                </c:pt>
                <c:pt idx="1869">
                  <c:v>1.869</c:v>
                </c:pt>
                <c:pt idx="1870">
                  <c:v>1.87</c:v>
                </c:pt>
                <c:pt idx="1871">
                  <c:v>1.871</c:v>
                </c:pt>
                <c:pt idx="1872">
                  <c:v>1.8720000000000001</c:v>
                </c:pt>
                <c:pt idx="1873">
                  <c:v>1.873</c:v>
                </c:pt>
                <c:pt idx="1874">
                  <c:v>1.8740000000000001</c:v>
                </c:pt>
                <c:pt idx="1875">
                  <c:v>1.875</c:v>
                </c:pt>
                <c:pt idx="1876">
                  <c:v>1.8759999999999999</c:v>
                </c:pt>
                <c:pt idx="1877">
                  <c:v>1.877</c:v>
                </c:pt>
                <c:pt idx="1878">
                  <c:v>1.8779999999999999</c:v>
                </c:pt>
                <c:pt idx="1879">
                  <c:v>1.879</c:v>
                </c:pt>
                <c:pt idx="1880">
                  <c:v>1.88</c:v>
                </c:pt>
                <c:pt idx="1881">
                  <c:v>1.881</c:v>
                </c:pt>
                <c:pt idx="1882">
                  <c:v>1.8819999999999999</c:v>
                </c:pt>
                <c:pt idx="1883">
                  <c:v>1.883</c:v>
                </c:pt>
                <c:pt idx="1884">
                  <c:v>1.8839999999999999</c:v>
                </c:pt>
                <c:pt idx="1885">
                  <c:v>1.885</c:v>
                </c:pt>
                <c:pt idx="1886">
                  <c:v>1.8859999999999999</c:v>
                </c:pt>
                <c:pt idx="1887">
                  <c:v>1.887</c:v>
                </c:pt>
                <c:pt idx="1888">
                  <c:v>1.8879999999999999</c:v>
                </c:pt>
                <c:pt idx="1889">
                  <c:v>1.889</c:v>
                </c:pt>
                <c:pt idx="1890">
                  <c:v>1.89</c:v>
                </c:pt>
                <c:pt idx="1891">
                  <c:v>1.891</c:v>
                </c:pt>
                <c:pt idx="1892">
                  <c:v>1.8919999999999999</c:v>
                </c:pt>
                <c:pt idx="1893">
                  <c:v>1.893</c:v>
                </c:pt>
                <c:pt idx="1894">
                  <c:v>1.8939999999999999</c:v>
                </c:pt>
                <c:pt idx="1895">
                  <c:v>1.895</c:v>
                </c:pt>
                <c:pt idx="1896">
                  <c:v>1.8959999999999999</c:v>
                </c:pt>
                <c:pt idx="1897">
                  <c:v>1.897</c:v>
                </c:pt>
                <c:pt idx="1898">
                  <c:v>1.8979999999999999</c:v>
                </c:pt>
                <c:pt idx="1899">
                  <c:v>1.899</c:v>
                </c:pt>
                <c:pt idx="1900">
                  <c:v>1.9</c:v>
                </c:pt>
                <c:pt idx="1901">
                  <c:v>1.901</c:v>
                </c:pt>
                <c:pt idx="1902">
                  <c:v>1.9019999999999999</c:v>
                </c:pt>
                <c:pt idx="1903">
                  <c:v>1.903</c:v>
                </c:pt>
                <c:pt idx="1904">
                  <c:v>1.9039999999999999</c:v>
                </c:pt>
                <c:pt idx="1905">
                  <c:v>1.905</c:v>
                </c:pt>
                <c:pt idx="1906">
                  <c:v>1.9059999999999999</c:v>
                </c:pt>
                <c:pt idx="1907">
                  <c:v>1.907</c:v>
                </c:pt>
                <c:pt idx="1908">
                  <c:v>1.9079999999999999</c:v>
                </c:pt>
                <c:pt idx="1909">
                  <c:v>1.909</c:v>
                </c:pt>
                <c:pt idx="1910">
                  <c:v>1.91</c:v>
                </c:pt>
                <c:pt idx="1911">
                  <c:v>1.911</c:v>
                </c:pt>
                <c:pt idx="1912">
                  <c:v>1.9119999999999999</c:v>
                </c:pt>
                <c:pt idx="1913">
                  <c:v>1.913</c:v>
                </c:pt>
                <c:pt idx="1914">
                  <c:v>1.9139999999999999</c:v>
                </c:pt>
                <c:pt idx="1915">
                  <c:v>1.915</c:v>
                </c:pt>
                <c:pt idx="1916">
                  <c:v>1.9159999999999999</c:v>
                </c:pt>
                <c:pt idx="1917">
                  <c:v>1.917</c:v>
                </c:pt>
                <c:pt idx="1918">
                  <c:v>1.9179999999999999</c:v>
                </c:pt>
                <c:pt idx="1919">
                  <c:v>1.919</c:v>
                </c:pt>
                <c:pt idx="1920">
                  <c:v>1.92</c:v>
                </c:pt>
                <c:pt idx="1921">
                  <c:v>1.921</c:v>
                </c:pt>
                <c:pt idx="1922">
                  <c:v>1.9219999999999999</c:v>
                </c:pt>
                <c:pt idx="1923">
                  <c:v>1.923</c:v>
                </c:pt>
                <c:pt idx="1924">
                  <c:v>1.9239999999999999</c:v>
                </c:pt>
                <c:pt idx="1925">
                  <c:v>1.925</c:v>
                </c:pt>
                <c:pt idx="1926">
                  <c:v>1.9259999999999999</c:v>
                </c:pt>
                <c:pt idx="1927">
                  <c:v>1.927</c:v>
                </c:pt>
                <c:pt idx="1928">
                  <c:v>1.9279999999999999</c:v>
                </c:pt>
                <c:pt idx="1929">
                  <c:v>1.929</c:v>
                </c:pt>
                <c:pt idx="1930">
                  <c:v>1.93</c:v>
                </c:pt>
                <c:pt idx="1931">
                  <c:v>1.931</c:v>
                </c:pt>
                <c:pt idx="1932">
                  <c:v>1.9319999999999999</c:v>
                </c:pt>
                <c:pt idx="1933">
                  <c:v>1.9330000000000001</c:v>
                </c:pt>
                <c:pt idx="1934">
                  <c:v>1.9339999999999999</c:v>
                </c:pt>
                <c:pt idx="1935">
                  <c:v>1.9350000000000001</c:v>
                </c:pt>
                <c:pt idx="1936">
                  <c:v>1.9359999999999999</c:v>
                </c:pt>
                <c:pt idx="1937">
                  <c:v>1.9370000000000001</c:v>
                </c:pt>
                <c:pt idx="1938">
                  <c:v>1.9379999999999999</c:v>
                </c:pt>
                <c:pt idx="1939">
                  <c:v>1.9390000000000001</c:v>
                </c:pt>
                <c:pt idx="1940">
                  <c:v>1.94</c:v>
                </c:pt>
                <c:pt idx="1941">
                  <c:v>1.9410000000000001</c:v>
                </c:pt>
                <c:pt idx="1942">
                  <c:v>1.9419999999999999</c:v>
                </c:pt>
                <c:pt idx="1943">
                  <c:v>1.9430000000000001</c:v>
                </c:pt>
                <c:pt idx="1944">
                  <c:v>1.944</c:v>
                </c:pt>
                <c:pt idx="1945">
                  <c:v>1.9450000000000001</c:v>
                </c:pt>
                <c:pt idx="1946">
                  <c:v>1.946</c:v>
                </c:pt>
                <c:pt idx="1947">
                  <c:v>1.9470000000000001</c:v>
                </c:pt>
                <c:pt idx="1948">
                  <c:v>1.948</c:v>
                </c:pt>
                <c:pt idx="1949">
                  <c:v>1.9490000000000001</c:v>
                </c:pt>
                <c:pt idx="1950">
                  <c:v>1.95</c:v>
                </c:pt>
                <c:pt idx="1951">
                  <c:v>1.9510000000000001</c:v>
                </c:pt>
                <c:pt idx="1952">
                  <c:v>1.952</c:v>
                </c:pt>
                <c:pt idx="1953">
                  <c:v>1.9530000000000001</c:v>
                </c:pt>
                <c:pt idx="1954">
                  <c:v>1.954</c:v>
                </c:pt>
                <c:pt idx="1955">
                  <c:v>1.9550000000000001</c:v>
                </c:pt>
                <c:pt idx="1956">
                  <c:v>1.956</c:v>
                </c:pt>
                <c:pt idx="1957">
                  <c:v>1.9570000000000001</c:v>
                </c:pt>
                <c:pt idx="1958">
                  <c:v>1.958</c:v>
                </c:pt>
                <c:pt idx="1959">
                  <c:v>1.9590000000000001</c:v>
                </c:pt>
                <c:pt idx="1960">
                  <c:v>1.96</c:v>
                </c:pt>
                <c:pt idx="1961">
                  <c:v>1.9610000000000001</c:v>
                </c:pt>
                <c:pt idx="1962">
                  <c:v>1.962</c:v>
                </c:pt>
                <c:pt idx="1963">
                  <c:v>1.9630000000000001</c:v>
                </c:pt>
                <c:pt idx="1964">
                  <c:v>1.964</c:v>
                </c:pt>
                <c:pt idx="1965">
                  <c:v>1.9650000000000001</c:v>
                </c:pt>
                <c:pt idx="1966">
                  <c:v>1.966</c:v>
                </c:pt>
                <c:pt idx="1967">
                  <c:v>1.9670000000000001</c:v>
                </c:pt>
                <c:pt idx="1968">
                  <c:v>1.968</c:v>
                </c:pt>
                <c:pt idx="1969">
                  <c:v>1.9690000000000001</c:v>
                </c:pt>
                <c:pt idx="1970">
                  <c:v>1.97</c:v>
                </c:pt>
                <c:pt idx="1971">
                  <c:v>1.9710000000000001</c:v>
                </c:pt>
                <c:pt idx="1972">
                  <c:v>1.972</c:v>
                </c:pt>
                <c:pt idx="1973">
                  <c:v>1.9730000000000001</c:v>
                </c:pt>
                <c:pt idx="1974">
                  <c:v>1.974</c:v>
                </c:pt>
                <c:pt idx="1975">
                  <c:v>1.9750000000000001</c:v>
                </c:pt>
                <c:pt idx="1976">
                  <c:v>1.976</c:v>
                </c:pt>
                <c:pt idx="1977">
                  <c:v>1.9770000000000001</c:v>
                </c:pt>
                <c:pt idx="1978">
                  <c:v>1.978</c:v>
                </c:pt>
                <c:pt idx="1979">
                  <c:v>1.9790000000000001</c:v>
                </c:pt>
                <c:pt idx="1980">
                  <c:v>1.98</c:v>
                </c:pt>
                <c:pt idx="1981">
                  <c:v>1.9810000000000001</c:v>
                </c:pt>
                <c:pt idx="1982">
                  <c:v>1.982</c:v>
                </c:pt>
                <c:pt idx="1983">
                  <c:v>1.9830000000000001</c:v>
                </c:pt>
                <c:pt idx="1984">
                  <c:v>1.984</c:v>
                </c:pt>
                <c:pt idx="1985">
                  <c:v>1.9850000000000001</c:v>
                </c:pt>
                <c:pt idx="1986">
                  <c:v>1.986</c:v>
                </c:pt>
                <c:pt idx="1987">
                  <c:v>1.9870000000000001</c:v>
                </c:pt>
                <c:pt idx="1988">
                  <c:v>1.988</c:v>
                </c:pt>
                <c:pt idx="1989">
                  <c:v>1.9890000000000001</c:v>
                </c:pt>
                <c:pt idx="1990">
                  <c:v>1.99</c:v>
                </c:pt>
                <c:pt idx="1991">
                  <c:v>1.9910000000000001</c:v>
                </c:pt>
                <c:pt idx="1992">
                  <c:v>1.992</c:v>
                </c:pt>
                <c:pt idx="1993">
                  <c:v>1.9930000000000001</c:v>
                </c:pt>
                <c:pt idx="1994">
                  <c:v>1.994</c:v>
                </c:pt>
                <c:pt idx="1995">
                  <c:v>1.9950000000000001</c:v>
                </c:pt>
                <c:pt idx="1996">
                  <c:v>1.996</c:v>
                </c:pt>
                <c:pt idx="1997">
                  <c:v>1.9970000000000001</c:v>
                </c:pt>
                <c:pt idx="1998">
                  <c:v>1.998</c:v>
                </c:pt>
                <c:pt idx="1999">
                  <c:v>1.9990000000000001</c:v>
                </c:pt>
                <c:pt idx="2000">
                  <c:v>2</c:v>
                </c:pt>
                <c:pt idx="2001">
                  <c:v>2.0009999999999999</c:v>
                </c:pt>
                <c:pt idx="2002">
                  <c:v>2.0019999999999998</c:v>
                </c:pt>
                <c:pt idx="2003">
                  <c:v>2.0030000000000001</c:v>
                </c:pt>
                <c:pt idx="2004">
                  <c:v>2.004</c:v>
                </c:pt>
                <c:pt idx="2005">
                  <c:v>2.0049999999999999</c:v>
                </c:pt>
                <c:pt idx="2006">
                  <c:v>2.0059999999999998</c:v>
                </c:pt>
                <c:pt idx="2007">
                  <c:v>2.0070000000000001</c:v>
                </c:pt>
                <c:pt idx="2008">
                  <c:v>2.008</c:v>
                </c:pt>
                <c:pt idx="2009">
                  <c:v>2.0089999999999999</c:v>
                </c:pt>
                <c:pt idx="2010">
                  <c:v>2.0099999999999998</c:v>
                </c:pt>
                <c:pt idx="2011">
                  <c:v>2.0110000000000001</c:v>
                </c:pt>
                <c:pt idx="2012">
                  <c:v>2.012</c:v>
                </c:pt>
                <c:pt idx="2013">
                  <c:v>2.0129999999999999</c:v>
                </c:pt>
                <c:pt idx="2014">
                  <c:v>2.0139999999999998</c:v>
                </c:pt>
                <c:pt idx="2015">
                  <c:v>2.0150000000000001</c:v>
                </c:pt>
                <c:pt idx="2016">
                  <c:v>2.016</c:v>
                </c:pt>
                <c:pt idx="2017">
                  <c:v>2.0169999999999999</c:v>
                </c:pt>
                <c:pt idx="2018">
                  <c:v>2.0179999999999998</c:v>
                </c:pt>
                <c:pt idx="2019">
                  <c:v>2.0190000000000001</c:v>
                </c:pt>
                <c:pt idx="2020">
                  <c:v>2.02</c:v>
                </c:pt>
                <c:pt idx="2021">
                  <c:v>2.0209999999999999</c:v>
                </c:pt>
                <c:pt idx="2022">
                  <c:v>2.0219999999999998</c:v>
                </c:pt>
                <c:pt idx="2023">
                  <c:v>2.0230000000000001</c:v>
                </c:pt>
                <c:pt idx="2024">
                  <c:v>2.024</c:v>
                </c:pt>
                <c:pt idx="2025">
                  <c:v>2.0249999999999999</c:v>
                </c:pt>
                <c:pt idx="2026">
                  <c:v>2.0259999999999998</c:v>
                </c:pt>
                <c:pt idx="2027">
                  <c:v>2.0270000000000001</c:v>
                </c:pt>
                <c:pt idx="2028">
                  <c:v>2.028</c:v>
                </c:pt>
                <c:pt idx="2029">
                  <c:v>2.0289999999999999</c:v>
                </c:pt>
                <c:pt idx="2030">
                  <c:v>2.0299999999999998</c:v>
                </c:pt>
                <c:pt idx="2031">
                  <c:v>2.0310000000000001</c:v>
                </c:pt>
                <c:pt idx="2032">
                  <c:v>2.032</c:v>
                </c:pt>
                <c:pt idx="2033">
                  <c:v>2.0329999999999999</c:v>
                </c:pt>
                <c:pt idx="2034">
                  <c:v>2.0339999999999998</c:v>
                </c:pt>
                <c:pt idx="2035">
                  <c:v>2.0350000000000001</c:v>
                </c:pt>
                <c:pt idx="2036">
                  <c:v>2.036</c:v>
                </c:pt>
                <c:pt idx="2037">
                  <c:v>2.0369999999999999</c:v>
                </c:pt>
                <c:pt idx="2038">
                  <c:v>2.0379999999999998</c:v>
                </c:pt>
                <c:pt idx="2039">
                  <c:v>2.0390000000000001</c:v>
                </c:pt>
                <c:pt idx="2040">
                  <c:v>2.04</c:v>
                </c:pt>
                <c:pt idx="2041">
                  <c:v>2.0409999999999999</c:v>
                </c:pt>
                <c:pt idx="2042">
                  <c:v>2.0419999999999998</c:v>
                </c:pt>
                <c:pt idx="2043">
                  <c:v>2.0430000000000001</c:v>
                </c:pt>
                <c:pt idx="2044">
                  <c:v>2.044</c:v>
                </c:pt>
                <c:pt idx="2045">
                  <c:v>2.0449999999999999</c:v>
                </c:pt>
                <c:pt idx="2046">
                  <c:v>2.0459999999999998</c:v>
                </c:pt>
                <c:pt idx="2047">
                  <c:v>2.0470000000000002</c:v>
                </c:pt>
                <c:pt idx="2048">
                  <c:v>2.048</c:v>
                </c:pt>
                <c:pt idx="2049">
                  <c:v>2.0489999999999999</c:v>
                </c:pt>
                <c:pt idx="2050">
                  <c:v>2.0499999999999998</c:v>
                </c:pt>
                <c:pt idx="2051">
                  <c:v>2.0510000000000002</c:v>
                </c:pt>
                <c:pt idx="2052">
                  <c:v>2.052</c:v>
                </c:pt>
                <c:pt idx="2053">
                  <c:v>2.0529999999999999</c:v>
                </c:pt>
                <c:pt idx="2054">
                  <c:v>2.0539999999999998</c:v>
                </c:pt>
                <c:pt idx="2055">
                  <c:v>2.0550000000000002</c:v>
                </c:pt>
                <c:pt idx="2056">
                  <c:v>2.056</c:v>
                </c:pt>
                <c:pt idx="2057">
                  <c:v>2.0569999999999999</c:v>
                </c:pt>
                <c:pt idx="2058">
                  <c:v>2.0579999999999998</c:v>
                </c:pt>
                <c:pt idx="2059">
                  <c:v>2.0590000000000002</c:v>
                </c:pt>
                <c:pt idx="2060">
                  <c:v>2.06</c:v>
                </c:pt>
                <c:pt idx="2061">
                  <c:v>2.0609999999999999</c:v>
                </c:pt>
                <c:pt idx="2062">
                  <c:v>2.0619999999999998</c:v>
                </c:pt>
                <c:pt idx="2063">
                  <c:v>2.0630000000000002</c:v>
                </c:pt>
                <c:pt idx="2064">
                  <c:v>2.0640000000000001</c:v>
                </c:pt>
                <c:pt idx="2065">
                  <c:v>2.0649999999999999</c:v>
                </c:pt>
                <c:pt idx="2066">
                  <c:v>2.0659999999999998</c:v>
                </c:pt>
                <c:pt idx="2067">
                  <c:v>2.0670000000000002</c:v>
                </c:pt>
                <c:pt idx="2068">
                  <c:v>2.0680000000000001</c:v>
                </c:pt>
                <c:pt idx="2069">
                  <c:v>2.069</c:v>
                </c:pt>
                <c:pt idx="2070">
                  <c:v>2.0699999999999998</c:v>
                </c:pt>
                <c:pt idx="2071">
                  <c:v>2.0710000000000002</c:v>
                </c:pt>
                <c:pt idx="2072">
                  <c:v>2.0720000000000001</c:v>
                </c:pt>
                <c:pt idx="2073">
                  <c:v>2.073</c:v>
                </c:pt>
                <c:pt idx="2074">
                  <c:v>2.0739999999999998</c:v>
                </c:pt>
                <c:pt idx="2075">
                  <c:v>2.0750000000000002</c:v>
                </c:pt>
                <c:pt idx="2076">
                  <c:v>2.0760000000000001</c:v>
                </c:pt>
                <c:pt idx="2077">
                  <c:v>2.077</c:v>
                </c:pt>
                <c:pt idx="2078">
                  <c:v>2.0779999999999998</c:v>
                </c:pt>
                <c:pt idx="2079">
                  <c:v>2.0790000000000002</c:v>
                </c:pt>
                <c:pt idx="2080">
                  <c:v>2.08</c:v>
                </c:pt>
                <c:pt idx="2081">
                  <c:v>2.081</c:v>
                </c:pt>
                <c:pt idx="2082">
                  <c:v>2.0819999999999999</c:v>
                </c:pt>
                <c:pt idx="2083">
                  <c:v>2.0830000000000002</c:v>
                </c:pt>
                <c:pt idx="2084">
                  <c:v>2.0840000000000001</c:v>
                </c:pt>
                <c:pt idx="2085">
                  <c:v>2.085</c:v>
                </c:pt>
                <c:pt idx="2086">
                  <c:v>2.0859999999999999</c:v>
                </c:pt>
                <c:pt idx="2087">
                  <c:v>2.0870000000000002</c:v>
                </c:pt>
                <c:pt idx="2088">
                  <c:v>2.0880000000000001</c:v>
                </c:pt>
                <c:pt idx="2089">
                  <c:v>2.089</c:v>
                </c:pt>
                <c:pt idx="2090">
                  <c:v>2.09</c:v>
                </c:pt>
                <c:pt idx="2091">
                  <c:v>2.0910000000000002</c:v>
                </c:pt>
                <c:pt idx="2092">
                  <c:v>2.0920000000000001</c:v>
                </c:pt>
                <c:pt idx="2093">
                  <c:v>2.093</c:v>
                </c:pt>
                <c:pt idx="2094">
                  <c:v>2.0939999999999999</c:v>
                </c:pt>
                <c:pt idx="2095">
                  <c:v>2.0950000000000002</c:v>
                </c:pt>
                <c:pt idx="2096">
                  <c:v>2.0960000000000001</c:v>
                </c:pt>
                <c:pt idx="2097">
                  <c:v>2.097</c:v>
                </c:pt>
                <c:pt idx="2098">
                  <c:v>2.0979999999999999</c:v>
                </c:pt>
                <c:pt idx="2099">
                  <c:v>2.0990000000000002</c:v>
                </c:pt>
                <c:pt idx="2100">
                  <c:v>2.1</c:v>
                </c:pt>
                <c:pt idx="2101">
                  <c:v>2.101</c:v>
                </c:pt>
                <c:pt idx="2102">
                  <c:v>2.1019999999999999</c:v>
                </c:pt>
                <c:pt idx="2103">
                  <c:v>2.1030000000000002</c:v>
                </c:pt>
                <c:pt idx="2104">
                  <c:v>2.1040000000000001</c:v>
                </c:pt>
                <c:pt idx="2105">
                  <c:v>2.105</c:v>
                </c:pt>
                <c:pt idx="2106">
                  <c:v>2.1059999999999999</c:v>
                </c:pt>
                <c:pt idx="2107">
                  <c:v>2.1070000000000002</c:v>
                </c:pt>
                <c:pt idx="2108">
                  <c:v>2.1080000000000001</c:v>
                </c:pt>
                <c:pt idx="2109">
                  <c:v>2.109</c:v>
                </c:pt>
                <c:pt idx="2110">
                  <c:v>2.11</c:v>
                </c:pt>
                <c:pt idx="2111">
                  <c:v>2.1110000000000002</c:v>
                </c:pt>
                <c:pt idx="2112">
                  <c:v>2.1120000000000001</c:v>
                </c:pt>
                <c:pt idx="2113">
                  <c:v>2.113</c:v>
                </c:pt>
                <c:pt idx="2114">
                  <c:v>2.1139999999999999</c:v>
                </c:pt>
                <c:pt idx="2115">
                  <c:v>2.1150000000000002</c:v>
                </c:pt>
                <c:pt idx="2116">
                  <c:v>2.1160000000000001</c:v>
                </c:pt>
                <c:pt idx="2117">
                  <c:v>2.117</c:v>
                </c:pt>
                <c:pt idx="2118">
                  <c:v>2.1179999999999999</c:v>
                </c:pt>
                <c:pt idx="2119">
                  <c:v>2.1190000000000002</c:v>
                </c:pt>
                <c:pt idx="2120">
                  <c:v>2.12</c:v>
                </c:pt>
                <c:pt idx="2121">
                  <c:v>2.121</c:v>
                </c:pt>
                <c:pt idx="2122">
                  <c:v>2.1219999999999999</c:v>
                </c:pt>
                <c:pt idx="2123">
                  <c:v>2.1230000000000002</c:v>
                </c:pt>
                <c:pt idx="2124">
                  <c:v>2.1240000000000001</c:v>
                </c:pt>
                <c:pt idx="2125">
                  <c:v>2.125</c:v>
                </c:pt>
                <c:pt idx="2126">
                  <c:v>2.1259999999999999</c:v>
                </c:pt>
                <c:pt idx="2127">
                  <c:v>2.1269999999999998</c:v>
                </c:pt>
                <c:pt idx="2128">
                  <c:v>2.1280000000000001</c:v>
                </c:pt>
                <c:pt idx="2129">
                  <c:v>2.129</c:v>
                </c:pt>
                <c:pt idx="2130">
                  <c:v>2.13</c:v>
                </c:pt>
                <c:pt idx="2131">
                  <c:v>2.1309999999999998</c:v>
                </c:pt>
                <c:pt idx="2132">
                  <c:v>2.1320000000000001</c:v>
                </c:pt>
                <c:pt idx="2133">
                  <c:v>2.133</c:v>
                </c:pt>
                <c:pt idx="2134">
                  <c:v>2.1339999999999999</c:v>
                </c:pt>
                <c:pt idx="2135">
                  <c:v>2.1349999999999998</c:v>
                </c:pt>
                <c:pt idx="2136">
                  <c:v>2.1360000000000001</c:v>
                </c:pt>
                <c:pt idx="2137">
                  <c:v>2.137</c:v>
                </c:pt>
                <c:pt idx="2138">
                  <c:v>2.1379999999999999</c:v>
                </c:pt>
                <c:pt idx="2139">
                  <c:v>2.1389999999999998</c:v>
                </c:pt>
                <c:pt idx="2140">
                  <c:v>2.14</c:v>
                </c:pt>
                <c:pt idx="2141">
                  <c:v>2.141</c:v>
                </c:pt>
                <c:pt idx="2142">
                  <c:v>2.1419999999999999</c:v>
                </c:pt>
                <c:pt idx="2143">
                  <c:v>2.1429999999999998</c:v>
                </c:pt>
                <c:pt idx="2144">
                  <c:v>2.1440000000000001</c:v>
                </c:pt>
                <c:pt idx="2145">
                  <c:v>2.145</c:v>
                </c:pt>
                <c:pt idx="2146">
                  <c:v>2.1459999999999999</c:v>
                </c:pt>
                <c:pt idx="2147">
                  <c:v>2.1469999999999998</c:v>
                </c:pt>
                <c:pt idx="2148">
                  <c:v>2.1480000000000001</c:v>
                </c:pt>
                <c:pt idx="2149">
                  <c:v>2.149</c:v>
                </c:pt>
                <c:pt idx="2150">
                  <c:v>2.15</c:v>
                </c:pt>
                <c:pt idx="2151">
                  <c:v>2.1509999999999998</c:v>
                </c:pt>
                <c:pt idx="2152">
                  <c:v>2.1520000000000001</c:v>
                </c:pt>
                <c:pt idx="2153">
                  <c:v>2.153</c:v>
                </c:pt>
                <c:pt idx="2154">
                  <c:v>2.1539999999999999</c:v>
                </c:pt>
                <c:pt idx="2155">
                  <c:v>2.1549999999999998</c:v>
                </c:pt>
                <c:pt idx="2156">
                  <c:v>2.1560000000000001</c:v>
                </c:pt>
                <c:pt idx="2157">
                  <c:v>2.157</c:v>
                </c:pt>
                <c:pt idx="2158">
                  <c:v>2.1579999999999999</c:v>
                </c:pt>
                <c:pt idx="2159">
                  <c:v>2.1589999999999998</c:v>
                </c:pt>
                <c:pt idx="2160">
                  <c:v>2.16</c:v>
                </c:pt>
                <c:pt idx="2161">
                  <c:v>2.161</c:v>
                </c:pt>
                <c:pt idx="2162">
                  <c:v>2.1619999999999999</c:v>
                </c:pt>
                <c:pt idx="2163">
                  <c:v>2.1629999999999998</c:v>
                </c:pt>
                <c:pt idx="2164">
                  <c:v>2.1640000000000001</c:v>
                </c:pt>
                <c:pt idx="2165">
                  <c:v>2.165</c:v>
                </c:pt>
                <c:pt idx="2166">
                  <c:v>2.1659999999999999</c:v>
                </c:pt>
                <c:pt idx="2167">
                  <c:v>2.1669999999999998</c:v>
                </c:pt>
                <c:pt idx="2168">
                  <c:v>2.1680000000000001</c:v>
                </c:pt>
                <c:pt idx="2169">
                  <c:v>2.169</c:v>
                </c:pt>
                <c:pt idx="2170">
                  <c:v>2.17</c:v>
                </c:pt>
                <c:pt idx="2171">
                  <c:v>2.1709999999999998</c:v>
                </c:pt>
                <c:pt idx="2172">
                  <c:v>2.1720000000000002</c:v>
                </c:pt>
                <c:pt idx="2173">
                  <c:v>2.173</c:v>
                </c:pt>
                <c:pt idx="2174">
                  <c:v>2.1739999999999999</c:v>
                </c:pt>
                <c:pt idx="2175">
                  <c:v>2.1749999999999998</c:v>
                </c:pt>
                <c:pt idx="2176">
                  <c:v>2.1760000000000002</c:v>
                </c:pt>
                <c:pt idx="2177">
                  <c:v>2.177</c:v>
                </c:pt>
                <c:pt idx="2178">
                  <c:v>2.1779999999999999</c:v>
                </c:pt>
                <c:pt idx="2179">
                  <c:v>2.1789999999999998</c:v>
                </c:pt>
                <c:pt idx="2180">
                  <c:v>2.1800000000000002</c:v>
                </c:pt>
                <c:pt idx="2181">
                  <c:v>2.181</c:v>
                </c:pt>
                <c:pt idx="2182">
                  <c:v>2.1819999999999999</c:v>
                </c:pt>
                <c:pt idx="2183">
                  <c:v>2.1829999999999998</c:v>
                </c:pt>
                <c:pt idx="2184">
                  <c:v>2.1840000000000002</c:v>
                </c:pt>
                <c:pt idx="2185">
                  <c:v>2.1850000000000001</c:v>
                </c:pt>
                <c:pt idx="2186">
                  <c:v>2.1859999999999999</c:v>
                </c:pt>
                <c:pt idx="2187">
                  <c:v>2.1869999999999998</c:v>
                </c:pt>
                <c:pt idx="2188">
                  <c:v>2.1880000000000002</c:v>
                </c:pt>
                <c:pt idx="2189">
                  <c:v>2.1890000000000001</c:v>
                </c:pt>
                <c:pt idx="2190">
                  <c:v>2.19</c:v>
                </c:pt>
                <c:pt idx="2191">
                  <c:v>2.1909999999999998</c:v>
                </c:pt>
                <c:pt idx="2192">
                  <c:v>2.1920000000000002</c:v>
                </c:pt>
                <c:pt idx="2193">
                  <c:v>2.1930000000000001</c:v>
                </c:pt>
                <c:pt idx="2194">
                  <c:v>2.194</c:v>
                </c:pt>
                <c:pt idx="2195">
                  <c:v>2.1949999999999998</c:v>
                </c:pt>
                <c:pt idx="2196">
                  <c:v>2.1960000000000002</c:v>
                </c:pt>
                <c:pt idx="2197">
                  <c:v>2.1970000000000001</c:v>
                </c:pt>
                <c:pt idx="2198">
                  <c:v>2.198</c:v>
                </c:pt>
                <c:pt idx="2199">
                  <c:v>2.1989999999999998</c:v>
                </c:pt>
                <c:pt idx="2200">
                  <c:v>2.2000000000000002</c:v>
                </c:pt>
                <c:pt idx="2201">
                  <c:v>2.2010000000000001</c:v>
                </c:pt>
                <c:pt idx="2202">
                  <c:v>2.202</c:v>
                </c:pt>
                <c:pt idx="2203">
                  <c:v>2.2029999999999998</c:v>
                </c:pt>
                <c:pt idx="2204">
                  <c:v>2.2040000000000002</c:v>
                </c:pt>
                <c:pt idx="2205">
                  <c:v>2.2050000000000001</c:v>
                </c:pt>
                <c:pt idx="2206">
                  <c:v>2.206</c:v>
                </c:pt>
                <c:pt idx="2207">
                  <c:v>2.2069999999999999</c:v>
                </c:pt>
                <c:pt idx="2208">
                  <c:v>2.2080000000000002</c:v>
                </c:pt>
                <c:pt idx="2209">
                  <c:v>2.2090000000000001</c:v>
                </c:pt>
                <c:pt idx="2210">
                  <c:v>2.21</c:v>
                </c:pt>
                <c:pt idx="2211">
                  <c:v>2.2109999999999999</c:v>
                </c:pt>
                <c:pt idx="2212">
                  <c:v>2.2120000000000002</c:v>
                </c:pt>
                <c:pt idx="2213">
                  <c:v>2.2130000000000001</c:v>
                </c:pt>
                <c:pt idx="2214">
                  <c:v>2.214</c:v>
                </c:pt>
                <c:pt idx="2215">
                  <c:v>2.2149999999999999</c:v>
                </c:pt>
                <c:pt idx="2216">
                  <c:v>2.2160000000000002</c:v>
                </c:pt>
                <c:pt idx="2217">
                  <c:v>2.2170000000000001</c:v>
                </c:pt>
                <c:pt idx="2218">
                  <c:v>2.218</c:v>
                </c:pt>
                <c:pt idx="2219">
                  <c:v>2.2189999999999999</c:v>
                </c:pt>
                <c:pt idx="2220">
                  <c:v>2.2200000000000002</c:v>
                </c:pt>
                <c:pt idx="2221">
                  <c:v>2.2210000000000001</c:v>
                </c:pt>
                <c:pt idx="2222">
                  <c:v>2.222</c:v>
                </c:pt>
                <c:pt idx="2223">
                  <c:v>2.2229999999999999</c:v>
                </c:pt>
                <c:pt idx="2224">
                  <c:v>2.2240000000000002</c:v>
                </c:pt>
                <c:pt idx="2225">
                  <c:v>2.2250000000000001</c:v>
                </c:pt>
                <c:pt idx="2226">
                  <c:v>2.226</c:v>
                </c:pt>
                <c:pt idx="2227">
                  <c:v>2.2269999999999999</c:v>
                </c:pt>
                <c:pt idx="2228">
                  <c:v>2.2280000000000002</c:v>
                </c:pt>
                <c:pt idx="2229">
                  <c:v>2.2290000000000001</c:v>
                </c:pt>
                <c:pt idx="2230">
                  <c:v>2.23</c:v>
                </c:pt>
                <c:pt idx="2231">
                  <c:v>2.2309999999999999</c:v>
                </c:pt>
                <c:pt idx="2232">
                  <c:v>2.2320000000000002</c:v>
                </c:pt>
                <c:pt idx="2233">
                  <c:v>2.2330000000000001</c:v>
                </c:pt>
                <c:pt idx="2234">
                  <c:v>2.234</c:v>
                </c:pt>
                <c:pt idx="2235">
                  <c:v>2.2349999999999999</c:v>
                </c:pt>
                <c:pt idx="2236">
                  <c:v>2.2360000000000002</c:v>
                </c:pt>
                <c:pt idx="2237">
                  <c:v>2.2370000000000001</c:v>
                </c:pt>
                <c:pt idx="2238">
                  <c:v>2.238</c:v>
                </c:pt>
                <c:pt idx="2239">
                  <c:v>2.2389999999999999</c:v>
                </c:pt>
                <c:pt idx="2240">
                  <c:v>2.2400000000000002</c:v>
                </c:pt>
                <c:pt idx="2241">
                  <c:v>2.2410000000000001</c:v>
                </c:pt>
                <c:pt idx="2242">
                  <c:v>2.242</c:v>
                </c:pt>
                <c:pt idx="2243">
                  <c:v>2.2429999999999999</c:v>
                </c:pt>
                <c:pt idx="2244">
                  <c:v>2.2440000000000002</c:v>
                </c:pt>
                <c:pt idx="2245">
                  <c:v>2.2450000000000001</c:v>
                </c:pt>
                <c:pt idx="2246">
                  <c:v>2.246</c:v>
                </c:pt>
                <c:pt idx="2247">
                  <c:v>2.2469999999999999</c:v>
                </c:pt>
                <c:pt idx="2248">
                  <c:v>2.2480000000000002</c:v>
                </c:pt>
                <c:pt idx="2249">
                  <c:v>2.2490000000000001</c:v>
                </c:pt>
                <c:pt idx="2250">
                  <c:v>2.25</c:v>
                </c:pt>
                <c:pt idx="2251">
                  <c:v>2.2509999999999999</c:v>
                </c:pt>
                <c:pt idx="2252">
                  <c:v>2.2519999999999998</c:v>
                </c:pt>
                <c:pt idx="2253">
                  <c:v>2.2530000000000001</c:v>
                </c:pt>
                <c:pt idx="2254">
                  <c:v>2.254</c:v>
                </c:pt>
                <c:pt idx="2255">
                  <c:v>2.2549999999999999</c:v>
                </c:pt>
                <c:pt idx="2256">
                  <c:v>2.2559999999999998</c:v>
                </c:pt>
                <c:pt idx="2257">
                  <c:v>2.2570000000000001</c:v>
                </c:pt>
                <c:pt idx="2258">
                  <c:v>2.258</c:v>
                </c:pt>
                <c:pt idx="2259">
                  <c:v>2.2589999999999999</c:v>
                </c:pt>
                <c:pt idx="2260">
                  <c:v>2.2599999999999998</c:v>
                </c:pt>
                <c:pt idx="2261">
                  <c:v>2.2610000000000001</c:v>
                </c:pt>
                <c:pt idx="2262">
                  <c:v>2.262</c:v>
                </c:pt>
                <c:pt idx="2263">
                  <c:v>2.2629999999999999</c:v>
                </c:pt>
                <c:pt idx="2264">
                  <c:v>2.2639999999999998</c:v>
                </c:pt>
                <c:pt idx="2265">
                  <c:v>2.2650000000000001</c:v>
                </c:pt>
                <c:pt idx="2266">
                  <c:v>2.266</c:v>
                </c:pt>
                <c:pt idx="2267">
                  <c:v>2.2669999999999999</c:v>
                </c:pt>
                <c:pt idx="2268">
                  <c:v>2.2679999999999998</c:v>
                </c:pt>
                <c:pt idx="2269">
                  <c:v>2.2690000000000001</c:v>
                </c:pt>
                <c:pt idx="2270">
                  <c:v>2.27</c:v>
                </c:pt>
                <c:pt idx="2271">
                  <c:v>2.2709999999999999</c:v>
                </c:pt>
                <c:pt idx="2272">
                  <c:v>2.2719999999999998</c:v>
                </c:pt>
                <c:pt idx="2273">
                  <c:v>2.2730000000000001</c:v>
                </c:pt>
                <c:pt idx="2274">
                  <c:v>2.274</c:v>
                </c:pt>
                <c:pt idx="2275">
                  <c:v>2.2749999999999999</c:v>
                </c:pt>
                <c:pt idx="2276">
                  <c:v>2.2759999999999998</c:v>
                </c:pt>
                <c:pt idx="2277">
                  <c:v>2.2770000000000001</c:v>
                </c:pt>
                <c:pt idx="2278">
                  <c:v>2.278</c:v>
                </c:pt>
                <c:pt idx="2279">
                  <c:v>2.2789999999999999</c:v>
                </c:pt>
                <c:pt idx="2280">
                  <c:v>2.2799999999999998</c:v>
                </c:pt>
                <c:pt idx="2281">
                  <c:v>2.2810000000000001</c:v>
                </c:pt>
                <c:pt idx="2282">
                  <c:v>2.282</c:v>
                </c:pt>
                <c:pt idx="2283">
                  <c:v>2.2829999999999999</c:v>
                </c:pt>
                <c:pt idx="2284">
                  <c:v>2.2839999999999998</c:v>
                </c:pt>
                <c:pt idx="2285">
                  <c:v>2.2850000000000001</c:v>
                </c:pt>
                <c:pt idx="2286">
                  <c:v>2.286</c:v>
                </c:pt>
                <c:pt idx="2287">
                  <c:v>2.2869999999999999</c:v>
                </c:pt>
                <c:pt idx="2288">
                  <c:v>2.2879999999999998</c:v>
                </c:pt>
                <c:pt idx="2289">
                  <c:v>2.2890000000000001</c:v>
                </c:pt>
                <c:pt idx="2290">
                  <c:v>2.29</c:v>
                </c:pt>
                <c:pt idx="2291">
                  <c:v>2.2909999999999999</c:v>
                </c:pt>
                <c:pt idx="2292">
                  <c:v>2.2919999999999998</c:v>
                </c:pt>
                <c:pt idx="2293">
                  <c:v>2.2930000000000001</c:v>
                </c:pt>
                <c:pt idx="2294">
                  <c:v>2.294</c:v>
                </c:pt>
                <c:pt idx="2295">
                  <c:v>2.2949999999999999</c:v>
                </c:pt>
                <c:pt idx="2296">
                  <c:v>2.2959999999999998</c:v>
                </c:pt>
                <c:pt idx="2297">
                  <c:v>2.2970000000000002</c:v>
                </c:pt>
                <c:pt idx="2298">
                  <c:v>2.298</c:v>
                </c:pt>
                <c:pt idx="2299">
                  <c:v>2.2989999999999999</c:v>
                </c:pt>
                <c:pt idx="2300">
                  <c:v>2.2999999999999998</c:v>
                </c:pt>
                <c:pt idx="2301">
                  <c:v>2.3010000000000002</c:v>
                </c:pt>
                <c:pt idx="2302">
                  <c:v>2.302</c:v>
                </c:pt>
                <c:pt idx="2303">
                  <c:v>2.3029999999999999</c:v>
                </c:pt>
                <c:pt idx="2304">
                  <c:v>2.3039999999999998</c:v>
                </c:pt>
                <c:pt idx="2305">
                  <c:v>2.3050000000000002</c:v>
                </c:pt>
                <c:pt idx="2306">
                  <c:v>2.306</c:v>
                </c:pt>
                <c:pt idx="2307">
                  <c:v>2.3069999999999999</c:v>
                </c:pt>
                <c:pt idx="2308">
                  <c:v>2.3079999999999998</c:v>
                </c:pt>
                <c:pt idx="2309">
                  <c:v>2.3090000000000002</c:v>
                </c:pt>
                <c:pt idx="2310">
                  <c:v>2.31</c:v>
                </c:pt>
                <c:pt idx="2311">
                  <c:v>2.3109999999999999</c:v>
                </c:pt>
                <c:pt idx="2312">
                  <c:v>2.3119999999999998</c:v>
                </c:pt>
                <c:pt idx="2313">
                  <c:v>2.3130000000000002</c:v>
                </c:pt>
                <c:pt idx="2314">
                  <c:v>2.3140000000000001</c:v>
                </c:pt>
                <c:pt idx="2315">
                  <c:v>2.3149999999999999</c:v>
                </c:pt>
                <c:pt idx="2316">
                  <c:v>2.3159999999999998</c:v>
                </c:pt>
                <c:pt idx="2317">
                  <c:v>2.3170000000000002</c:v>
                </c:pt>
                <c:pt idx="2318">
                  <c:v>2.3180000000000001</c:v>
                </c:pt>
                <c:pt idx="2319">
                  <c:v>2.319</c:v>
                </c:pt>
                <c:pt idx="2320">
                  <c:v>2.3199999999999998</c:v>
                </c:pt>
                <c:pt idx="2321">
                  <c:v>2.3210000000000002</c:v>
                </c:pt>
                <c:pt idx="2322">
                  <c:v>2.3220000000000001</c:v>
                </c:pt>
                <c:pt idx="2323">
                  <c:v>2.323</c:v>
                </c:pt>
                <c:pt idx="2324">
                  <c:v>2.3239999999999998</c:v>
                </c:pt>
                <c:pt idx="2325">
                  <c:v>2.3250000000000002</c:v>
                </c:pt>
                <c:pt idx="2326">
                  <c:v>2.3260000000000001</c:v>
                </c:pt>
                <c:pt idx="2327">
                  <c:v>2.327</c:v>
                </c:pt>
                <c:pt idx="2328">
                  <c:v>2.3279999999999998</c:v>
                </c:pt>
                <c:pt idx="2329">
                  <c:v>2.3290000000000002</c:v>
                </c:pt>
                <c:pt idx="2330">
                  <c:v>2.33</c:v>
                </c:pt>
                <c:pt idx="2331">
                  <c:v>2.331</c:v>
                </c:pt>
                <c:pt idx="2332">
                  <c:v>2.3319999999999999</c:v>
                </c:pt>
                <c:pt idx="2333">
                  <c:v>2.3330000000000002</c:v>
                </c:pt>
                <c:pt idx="2334">
                  <c:v>2.3340000000000001</c:v>
                </c:pt>
                <c:pt idx="2335">
                  <c:v>2.335</c:v>
                </c:pt>
                <c:pt idx="2336">
                  <c:v>2.3359999999999999</c:v>
                </c:pt>
                <c:pt idx="2337">
                  <c:v>2.3370000000000002</c:v>
                </c:pt>
                <c:pt idx="2338">
                  <c:v>2.3380000000000001</c:v>
                </c:pt>
                <c:pt idx="2339">
                  <c:v>2.339</c:v>
                </c:pt>
                <c:pt idx="2340">
                  <c:v>2.34</c:v>
                </c:pt>
                <c:pt idx="2341">
                  <c:v>2.3410000000000002</c:v>
                </c:pt>
                <c:pt idx="2342">
                  <c:v>2.3420000000000001</c:v>
                </c:pt>
                <c:pt idx="2343">
                  <c:v>2.343</c:v>
                </c:pt>
                <c:pt idx="2344">
                  <c:v>2.3439999999999999</c:v>
                </c:pt>
                <c:pt idx="2345">
                  <c:v>2.3450000000000002</c:v>
                </c:pt>
                <c:pt idx="2346">
                  <c:v>2.3460000000000001</c:v>
                </c:pt>
                <c:pt idx="2347">
                  <c:v>2.347</c:v>
                </c:pt>
                <c:pt idx="2348">
                  <c:v>2.3479999999999999</c:v>
                </c:pt>
                <c:pt idx="2349">
                  <c:v>2.3490000000000002</c:v>
                </c:pt>
                <c:pt idx="2350">
                  <c:v>2.35</c:v>
                </c:pt>
                <c:pt idx="2351">
                  <c:v>2.351</c:v>
                </c:pt>
                <c:pt idx="2352">
                  <c:v>2.3519999999999999</c:v>
                </c:pt>
                <c:pt idx="2353">
                  <c:v>2.3530000000000002</c:v>
                </c:pt>
                <c:pt idx="2354">
                  <c:v>2.3540000000000001</c:v>
                </c:pt>
                <c:pt idx="2355">
                  <c:v>2.355</c:v>
                </c:pt>
                <c:pt idx="2356">
                  <c:v>2.3559999999999999</c:v>
                </c:pt>
                <c:pt idx="2357">
                  <c:v>2.3570000000000002</c:v>
                </c:pt>
                <c:pt idx="2358">
                  <c:v>2.3580000000000001</c:v>
                </c:pt>
                <c:pt idx="2359">
                  <c:v>2.359</c:v>
                </c:pt>
                <c:pt idx="2360">
                  <c:v>2.36</c:v>
                </c:pt>
                <c:pt idx="2361">
                  <c:v>2.3610000000000002</c:v>
                </c:pt>
                <c:pt idx="2362">
                  <c:v>2.3620000000000001</c:v>
                </c:pt>
                <c:pt idx="2363">
                  <c:v>2.363</c:v>
                </c:pt>
                <c:pt idx="2364">
                  <c:v>2.3639999999999999</c:v>
                </c:pt>
                <c:pt idx="2365">
                  <c:v>2.3650000000000002</c:v>
                </c:pt>
                <c:pt idx="2366">
                  <c:v>2.3660000000000001</c:v>
                </c:pt>
                <c:pt idx="2367">
                  <c:v>2.367</c:v>
                </c:pt>
                <c:pt idx="2368">
                  <c:v>2.3679999999999999</c:v>
                </c:pt>
                <c:pt idx="2369">
                  <c:v>2.3690000000000002</c:v>
                </c:pt>
                <c:pt idx="2370">
                  <c:v>2.37</c:v>
                </c:pt>
                <c:pt idx="2371">
                  <c:v>2.371</c:v>
                </c:pt>
                <c:pt idx="2372">
                  <c:v>2.3719999999999999</c:v>
                </c:pt>
                <c:pt idx="2373">
                  <c:v>2.3730000000000002</c:v>
                </c:pt>
                <c:pt idx="2374">
                  <c:v>2.3740000000000001</c:v>
                </c:pt>
                <c:pt idx="2375">
                  <c:v>2.375</c:v>
                </c:pt>
                <c:pt idx="2376">
                  <c:v>2.3759999999999999</c:v>
                </c:pt>
                <c:pt idx="2377">
                  <c:v>2.3769999999999998</c:v>
                </c:pt>
                <c:pt idx="2378">
                  <c:v>2.3780000000000001</c:v>
                </c:pt>
                <c:pt idx="2379">
                  <c:v>2.379</c:v>
                </c:pt>
                <c:pt idx="2380">
                  <c:v>2.38</c:v>
                </c:pt>
                <c:pt idx="2381">
                  <c:v>2.3809999999999998</c:v>
                </c:pt>
                <c:pt idx="2382">
                  <c:v>2.3820000000000001</c:v>
                </c:pt>
                <c:pt idx="2383">
                  <c:v>2.383</c:v>
                </c:pt>
                <c:pt idx="2384">
                  <c:v>2.3839999999999999</c:v>
                </c:pt>
                <c:pt idx="2385">
                  <c:v>2.3849999999999998</c:v>
                </c:pt>
                <c:pt idx="2386">
                  <c:v>2.3860000000000001</c:v>
                </c:pt>
                <c:pt idx="2387">
                  <c:v>2.387</c:v>
                </c:pt>
                <c:pt idx="2388">
                  <c:v>2.3879999999999999</c:v>
                </c:pt>
                <c:pt idx="2389">
                  <c:v>2.3889999999999998</c:v>
                </c:pt>
                <c:pt idx="2390">
                  <c:v>2.39</c:v>
                </c:pt>
                <c:pt idx="2391">
                  <c:v>2.391</c:v>
                </c:pt>
                <c:pt idx="2392">
                  <c:v>2.3919999999999999</c:v>
                </c:pt>
                <c:pt idx="2393">
                  <c:v>2.3929999999999998</c:v>
                </c:pt>
                <c:pt idx="2394">
                  <c:v>2.3940000000000001</c:v>
                </c:pt>
                <c:pt idx="2395">
                  <c:v>2.395</c:v>
                </c:pt>
                <c:pt idx="2396">
                  <c:v>2.3959999999999999</c:v>
                </c:pt>
                <c:pt idx="2397">
                  <c:v>2.3969999999999998</c:v>
                </c:pt>
                <c:pt idx="2398">
                  <c:v>2.3980000000000001</c:v>
                </c:pt>
                <c:pt idx="2399">
                  <c:v>2.399</c:v>
                </c:pt>
                <c:pt idx="2400">
                  <c:v>2.4</c:v>
                </c:pt>
                <c:pt idx="2401">
                  <c:v>2.4009999999999998</c:v>
                </c:pt>
                <c:pt idx="2402">
                  <c:v>2.4020000000000001</c:v>
                </c:pt>
                <c:pt idx="2403">
                  <c:v>2.403</c:v>
                </c:pt>
                <c:pt idx="2404">
                  <c:v>2.4039999999999999</c:v>
                </c:pt>
                <c:pt idx="2405">
                  <c:v>2.4049999999999998</c:v>
                </c:pt>
                <c:pt idx="2406">
                  <c:v>2.4060000000000001</c:v>
                </c:pt>
                <c:pt idx="2407">
                  <c:v>2.407</c:v>
                </c:pt>
                <c:pt idx="2408">
                  <c:v>2.4079999999999999</c:v>
                </c:pt>
                <c:pt idx="2409">
                  <c:v>2.4089999999999998</c:v>
                </c:pt>
                <c:pt idx="2410">
                  <c:v>2.41</c:v>
                </c:pt>
                <c:pt idx="2411">
                  <c:v>2.411</c:v>
                </c:pt>
                <c:pt idx="2412">
                  <c:v>2.4119999999999999</c:v>
                </c:pt>
                <c:pt idx="2413">
                  <c:v>2.4129999999999998</c:v>
                </c:pt>
                <c:pt idx="2414">
                  <c:v>2.4140000000000001</c:v>
                </c:pt>
                <c:pt idx="2415">
                  <c:v>2.415</c:v>
                </c:pt>
                <c:pt idx="2416">
                  <c:v>2.4159999999999999</c:v>
                </c:pt>
                <c:pt idx="2417">
                  <c:v>2.4169999999999998</c:v>
                </c:pt>
                <c:pt idx="2418">
                  <c:v>2.4180000000000001</c:v>
                </c:pt>
                <c:pt idx="2419">
                  <c:v>2.419</c:v>
                </c:pt>
                <c:pt idx="2420">
                  <c:v>2.42</c:v>
                </c:pt>
                <c:pt idx="2421">
                  <c:v>2.4209999999999998</c:v>
                </c:pt>
                <c:pt idx="2422">
                  <c:v>2.4220000000000002</c:v>
                </c:pt>
                <c:pt idx="2423">
                  <c:v>2.423</c:v>
                </c:pt>
                <c:pt idx="2424">
                  <c:v>2.4239999999999999</c:v>
                </c:pt>
                <c:pt idx="2425">
                  <c:v>2.4249999999999998</c:v>
                </c:pt>
                <c:pt idx="2426">
                  <c:v>2.4260000000000002</c:v>
                </c:pt>
                <c:pt idx="2427">
                  <c:v>2.427</c:v>
                </c:pt>
                <c:pt idx="2428">
                  <c:v>2.4279999999999999</c:v>
                </c:pt>
                <c:pt idx="2429">
                  <c:v>2.4289999999999998</c:v>
                </c:pt>
                <c:pt idx="2430">
                  <c:v>2.4300000000000002</c:v>
                </c:pt>
                <c:pt idx="2431">
                  <c:v>2.431</c:v>
                </c:pt>
                <c:pt idx="2432">
                  <c:v>2.4319999999999999</c:v>
                </c:pt>
                <c:pt idx="2433">
                  <c:v>2.4329999999999998</c:v>
                </c:pt>
                <c:pt idx="2434">
                  <c:v>2.4340000000000002</c:v>
                </c:pt>
                <c:pt idx="2435">
                  <c:v>2.4350000000000001</c:v>
                </c:pt>
                <c:pt idx="2436">
                  <c:v>2.4359999999999999</c:v>
                </c:pt>
                <c:pt idx="2437">
                  <c:v>2.4369999999999998</c:v>
                </c:pt>
                <c:pt idx="2438">
                  <c:v>2.4380000000000002</c:v>
                </c:pt>
                <c:pt idx="2439">
                  <c:v>2.4390000000000001</c:v>
                </c:pt>
                <c:pt idx="2440">
                  <c:v>2.44</c:v>
                </c:pt>
                <c:pt idx="2441">
                  <c:v>2.4409999999999998</c:v>
                </c:pt>
                <c:pt idx="2442">
                  <c:v>2.4420000000000002</c:v>
                </c:pt>
                <c:pt idx="2443">
                  <c:v>2.4430000000000001</c:v>
                </c:pt>
                <c:pt idx="2444">
                  <c:v>2.444</c:v>
                </c:pt>
                <c:pt idx="2445">
                  <c:v>2.4449999999999998</c:v>
                </c:pt>
                <c:pt idx="2446">
                  <c:v>2.4460000000000002</c:v>
                </c:pt>
                <c:pt idx="2447">
                  <c:v>2.4470000000000001</c:v>
                </c:pt>
                <c:pt idx="2448">
                  <c:v>2.448</c:v>
                </c:pt>
                <c:pt idx="2449">
                  <c:v>2.4489999999999998</c:v>
                </c:pt>
                <c:pt idx="2450">
                  <c:v>2.4500000000000002</c:v>
                </c:pt>
                <c:pt idx="2451">
                  <c:v>2.4510000000000001</c:v>
                </c:pt>
                <c:pt idx="2452">
                  <c:v>2.452</c:v>
                </c:pt>
                <c:pt idx="2453">
                  <c:v>2.4529999999999998</c:v>
                </c:pt>
                <c:pt idx="2454">
                  <c:v>2.4540000000000002</c:v>
                </c:pt>
                <c:pt idx="2455">
                  <c:v>2.4550000000000001</c:v>
                </c:pt>
                <c:pt idx="2456">
                  <c:v>2.456</c:v>
                </c:pt>
                <c:pt idx="2457">
                  <c:v>2.4569999999999999</c:v>
                </c:pt>
                <c:pt idx="2458">
                  <c:v>2.4580000000000002</c:v>
                </c:pt>
                <c:pt idx="2459">
                  <c:v>2.4590000000000001</c:v>
                </c:pt>
                <c:pt idx="2460">
                  <c:v>2.46</c:v>
                </c:pt>
                <c:pt idx="2461">
                  <c:v>2.4609999999999999</c:v>
                </c:pt>
                <c:pt idx="2462">
                  <c:v>2.4620000000000002</c:v>
                </c:pt>
                <c:pt idx="2463">
                  <c:v>2.4630000000000001</c:v>
                </c:pt>
                <c:pt idx="2464">
                  <c:v>2.464</c:v>
                </c:pt>
                <c:pt idx="2465">
                  <c:v>2.4649999999999999</c:v>
                </c:pt>
                <c:pt idx="2466">
                  <c:v>2.4660000000000002</c:v>
                </c:pt>
                <c:pt idx="2467">
                  <c:v>2.4670000000000001</c:v>
                </c:pt>
                <c:pt idx="2468">
                  <c:v>2.468</c:v>
                </c:pt>
                <c:pt idx="2469">
                  <c:v>2.4689999999999999</c:v>
                </c:pt>
                <c:pt idx="2470">
                  <c:v>2.4700000000000002</c:v>
                </c:pt>
                <c:pt idx="2471">
                  <c:v>2.4710000000000001</c:v>
                </c:pt>
                <c:pt idx="2472">
                  <c:v>2.472</c:v>
                </c:pt>
                <c:pt idx="2473">
                  <c:v>2.4729999999999999</c:v>
                </c:pt>
                <c:pt idx="2474">
                  <c:v>2.4740000000000002</c:v>
                </c:pt>
                <c:pt idx="2475">
                  <c:v>2.4750000000000001</c:v>
                </c:pt>
                <c:pt idx="2476">
                  <c:v>2.476</c:v>
                </c:pt>
                <c:pt idx="2477">
                  <c:v>2.4769999999999999</c:v>
                </c:pt>
                <c:pt idx="2478">
                  <c:v>2.4780000000000002</c:v>
                </c:pt>
                <c:pt idx="2479">
                  <c:v>2.4790000000000001</c:v>
                </c:pt>
                <c:pt idx="2480">
                  <c:v>2.48</c:v>
                </c:pt>
                <c:pt idx="2481">
                  <c:v>2.4809999999999999</c:v>
                </c:pt>
                <c:pt idx="2482">
                  <c:v>2.4820000000000002</c:v>
                </c:pt>
                <c:pt idx="2483">
                  <c:v>2.4830000000000001</c:v>
                </c:pt>
                <c:pt idx="2484">
                  <c:v>2.484</c:v>
                </c:pt>
                <c:pt idx="2485">
                  <c:v>2.4849999999999999</c:v>
                </c:pt>
                <c:pt idx="2486">
                  <c:v>2.4860000000000002</c:v>
                </c:pt>
                <c:pt idx="2487">
                  <c:v>2.4870000000000001</c:v>
                </c:pt>
                <c:pt idx="2488">
                  <c:v>2.488</c:v>
                </c:pt>
                <c:pt idx="2489">
                  <c:v>2.4889999999999999</c:v>
                </c:pt>
                <c:pt idx="2490">
                  <c:v>2.4900000000000002</c:v>
                </c:pt>
                <c:pt idx="2491">
                  <c:v>2.4910000000000001</c:v>
                </c:pt>
                <c:pt idx="2492">
                  <c:v>2.492</c:v>
                </c:pt>
                <c:pt idx="2493">
                  <c:v>2.4929999999999999</c:v>
                </c:pt>
                <c:pt idx="2494">
                  <c:v>2.4940000000000002</c:v>
                </c:pt>
                <c:pt idx="2495">
                  <c:v>2.4950000000000001</c:v>
                </c:pt>
                <c:pt idx="2496">
                  <c:v>2.496</c:v>
                </c:pt>
                <c:pt idx="2497">
                  <c:v>2.4969999999999999</c:v>
                </c:pt>
                <c:pt idx="2498">
                  <c:v>2.4980000000000002</c:v>
                </c:pt>
                <c:pt idx="2499">
                  <c:v>2.4990000000000001</c:v>
                </c:pt>
                <c:pt idx="2500">
                  <c:v>2.5</c:v>
                </c:pt>
                <c:pt idx="2501">
                  <c:v>2.5009999999999999</c:v>
                </c:pt>
                <c:pt idx="2502">
                  <c:v>2.5019999999999998</c:v>
                </c:pt>
                <c:pt idx="2503">
                  <c:v>2.5030000000000001</c:v>
                </c:pt>
                <c:pt idx="2504">
                  <c:v>2.504</c:v>
                </c:pt>
                <c:pt idx="2505">
                  <c:v>2.5049999999999999</c:v>
                </c:pt>
                <c:pt idx="2506">
                  <c:v>2.5059999999999998</c:v>
                </c:pt>
                <c:pt idx="2507">
                  <c:v>2.5070000000000001</c:v>
                </c:pt>
                <c:pt idx="2508">
                  <c:v>2.508</c:v>
                </c:pt>
                <c:pt idx="2509">
                  <c:v>2.5089999999999999</c:v>
                </c:pt>
                <c:pt idx="2510">
                  <c:v>2.5099999999999998</c:v>
                </c:pt>
                <c:pt idx="2511">
                  <c:v>2.5110000000000001</c:v>
                </c:pt>
                <c:pt idx="2512">
                  <c:v>2.512</c:v>
                </c:pt>
                <c:pt idx="2513">
                  <c:v>2.5129999999999999</c:v>
                </c:pt>
                <c:pt idx="2514">
                  <c:v>2.5139999999999998</c:v>
                </c:pt>
                <c:pt idx="2515">
                  <c:v>2.5150000000000001</c:v>
                </c:pt>
                <c:pt idx="2516">
                  <c:v>2.516</c:v>
                </c:pt>
                <c:pt idx="2517">
                  <c:v>2.5169999999999999</c:v>
                </c:pt>
                <c:pt idx="2518">
                  <c:v>2.5179999999999998</c:v>
                </c:pt>
                <c:pt idx="2519">
                  <c:v>2.5190000000000001</c:v>
                </c:pt>
                <c:pt idx="2520">
                  <c:v>2.52</c:v>
                </c:pt>
                <c:pt idx="2521">
                  <c:v>2.5209999999999999</c:v>
                </c:pt>
                <c:pt idx="2522">
                  <c:v>2.5219999999999998</c:v>
                </c:pt>
                <c:pt idx="2523">
                  <c:v>2.5230000000000001</c:v>
                </c:pt>
                <c:pt idx="2524">
                  <c:v>2.524</c:v>
                </c:pt>
                <c:pt idx="2525">
                  <c:v>2.5249999999999999</c:v>
                </c:pt>
                <c:pt idx="2526">
                  <c:v>2.5259999999999998</c:v>
                </c:pt>
                <c:pt idx="2527">
                  <c:v>2.5270000000000001</c:v>
                </c:pt>
                <c:pt idx="2528">
                  <c:v>2.528</c:v>
                </c:pt>
                <c:pt idx="2529">
                  <c:v>2.5289999999999999</c:v>
                </c:pt>
                <c:pt idx="2530">
                  <c:v>2.5299999999999998</c:v>
                </c:pt>
                <c:pt idx="2531">
                  <c:v>2.5310000000000001</c:v>
                </c:pt>
                <c:pt idx="2532">
                  <c:v>2.532</c:v>
                </c:pt>
                <c:pt idx="2533">
                  <c:v>2.5329999999999999</c:v>
                </c:pt>
                <c:pt idx="2534">
                  <c:v>2.5339999999999998</c:v>
                </c:pt>
                <c:pt idx="2535">
                  <c:v>2.5350000000000001</c:v>
                </c:pt>
                <c:pt idx="2536">
                  <c:v>2.536</c:v>
                </c:pt>
                <c:pt idx="2537">
                  <c:v>2.5369999999999999</c:v>
                </c:pt>
                <c:pt idx="2538">
                  <c:v>2.5379999999999998</c:v>
                </c:pt>
                <c:pt idx="2539">
                  <c:v>2.5390000000000001</c:v>
                </c:pt>
                <c:pt idx="2540">
                  <c:v>2.54</c:v>
                </c:pt>
                <c:pt idx="2541">
                  <c:v>2.5409999999999999</c:v>
                </c:pt>
                <c:pt idx="2542">
                  <c:v>2.5419999999999998</c:v>
                </c:pt>
                <c:pt idx="2543">
                  <c:v>2.5430000000000001</c:v>
                </c:pt>
                <c:pt idx="2544">
                  <c:v>2.544</c:v>
                </c:pt>
                <c:pt idx="2545">
                  <c:v>2.5449999999999999</c:v>
                </c:pt>
                <c:pt idx="2546">
                  <c:v>2.5459999999999998</c:v>
                </c:pt>
                <c:pt idx="2547">
                  <c:v>2.5470000000000002</c:v>
                </c:pt>
                <c:pt idx="2548">
                  <c:v>2.548</c:v>
                </c:pt>
                <c:pt idx="2549">
                  <c:v>2.5489999999999999</c:v>
                </c:pt>
                <c:pt idx="2550">
                  <c:v>2.5499999999999998</c:v>
                </c:pt>
                <c:pt idx="2551">
                  <c:v>2.5510000000000002</c:v>
                </c:pt>
                <c:pt idx="2552">
                  <c:v>2.552</c:v>
                </c:pt>
                <c:pt idx="2553">
                  <c:v>2.5529999999999999</c:v>
                </c:pt>
                <c:pt idx="2554">
                  <c:v>2.5539999999999998</c:v>
                </c:pt>
                <c:pt idx="2555">
                  <c:v>2.5550000000000002</c:v>
                </c:pt>
                <c:pt idx="2556">
                  <c:v>2.556</c:v>
                </c:pt>
                <c:pt idx="2557">
                  <c:v>2.5569999999999999</c:v>
                </c:pt>
                <c:pt idx="2558">
                  <c:v>2.5579999999999998</c:v>
                </c:pt>
                <c:pt idx="2559">
                  <c:v>2.5590000000000002</c:v>
                </c:pt>
                <c:pt idx="2560">
                  <c:v>2.56</c:v>
                </c:pt>
                <c:pt idx="2561">
                  <c:v>2.5609999999999999</c:v>
                </c:pt>
                <c:pt idx="2562">
                  <c:v>2.5619999999999998</c:v>
                </c:pt>
                <c:pt idx="2563">
                  <c:v>2.5630000000000002</c:v>
                </c:pt>
                <c:pt idx="2564">
                  <c:v>2.5640000000000001</c:v>
                </c:pt>
                <c:pt idx="2565">
                  <c:v>2.5649999999999999</c:v>
                </c:pt>
                <c:pt idx="2566">
                  <c:v>2.5659999999999998</c:v>
                </c:pt>
                <c:pt idx="2567">
                  <c:v>2.5670000000000002</c:v>
                </c:pt>
                <c:pt idx="2568">
                  <c:v>2.5680000000000001</c:v>
                </c:pt>
                <c:pt idx="2569">
                  <c:v>2.569</c:v>
                </c:pt>
                <c:pt idx="2570">
                  <c:v>2.57</c:v>
                </c:pt>
                <c:pt idx="2571">
                  <c:v>2.5710000000000002</c:v>
                </c:pt>
                <c:pt idx="2572">
                  <c:v>2.5720000000000001</c:v>
                </c:pt>
                <c:pt idx="2573">
                  <c:v>2.573</c:v>
                </c:pt>
                <c:pt idx="2574">
                  <c:v>2.5739999999999998</c:v>
                </c:pt>
                <c:pt idx="2575">
                  <c:v>2.5750000000000002</c:v>
                </c:pt>
                <c:pt idx="2576">
                  <c:v>2.5760000000000001</c:v>
                </c:pt>
                <c:pt idx="2577">
                  <c:v>2.577</c:v>
                </c:pt>
                <c:pt idx="2578">
                  <c:v>2.5779999999999998</c:v>
                </c:pt>
                <c:pt idx="2579">
                  <c:v>2.5790000000000002</c:v>
                </c:pt>
                <c:pt idx="2580">
                  <c:v>2.58</c:v>
                </c:pt>
                <c:pt idx="2581">
                  <c:v>2.581</c:v>
                </c:pt>
                <c:pt idx="2582">
                  <c:v>2.5819999999999999</c:v>
                </c:pt>
                <c:pt idx="2583">
                  <c:v>2.5830000000000002</c:v>
                </c:pt>
                <c:pt idx="2584">
                  <c:v>2.5840000000000001</c:v>
                </c:pt>
                <c:pt idx="2585">
                  <c:v>2.585</c:v>
                </c:pt>
                <c:pt idx="2586">
                  <c:v>2.5859999999999999</c:v>
                </c:pt>
                <c:pt idx="2587">
                  <c:v>2.5870000000000002</c:v>
                </c:pt>
                <c:pt idx="2588">
                  <c:v>2.5880000000000001</c:v>
                </c:pt>
                <c:pt idx="2589">
                  <c:v>2.589</c:v>
                </c:pt>
                <c:pt idx="2590">
                  <c:v>2.59</c:v>
                </c:pt>
                <c:pt idx="2591">
                  <c:v>2.5910000000000002</c:v>
                </c:pt>
                <c:pt idx="2592">
                  <c:v>2.5920000000000001</c:v>
                </c:pt>
                <c:pt idx="2593">
                  <c:v>2.593</c:v>
                </c:pt>
                <c:pt idx="2594">
                  <c:v>2.5939999999999999</c:v>
                </c:pt>
                <c:pt idx="2595">
                  <c:v>2.5950000000000002</c:v>
                </c:pt>
                <c:pt idx="2596">
                  <c:v>2.5960000000000001</c:v>
                </c:pt>
                <c:pt idx="2597">
                  <c:v>2.597</c:v>
                </c:pt>
                <c:pt idx="2598">
                  <c:v>2.5979999999999999</c:v>
                </c:pt>
                <c:pt idx="2599">
                  <c:v>2.5990000000000002</c:v>
                </c:pt>
                <c:pt idx="2600">
                  <c:v>2.6</c:v>
                </c:pt>
                <c:pt idx="2601">
                  <c:v>2.601</c:v>
                </c:pt>
                <c:pt idx="2602">
                  <c:v>2.6019999999999999</c:v>
                </c:pt>
                <c:pt idx="2603">
                  <c:v>2.6030000000000002</c:v>
                </c:pt>
                <c:pt idx="2604">
                  <c:v>2.6040000000000001</c:v>
                </c:pt>
                <c:pt idx="2605">
                  <c:v>2.605</c:v>
                </c:pt>
                <c:pt idx="2606">
                  <c:v>2.6059999999999999</c:v>
                </c:pt>
                <c:pt idx="2607">
                  <c:v>2.6070000000000002</c:v>
                </c:pt>
                <c:pt idx="2608">
                  <c:v>2.6080000000000001</c:v>
                </c:pt>
                <c:pt idx="2609">
                  <c:v>2.609</c:v>
                </c:pt>
                <c:pt idx="2610">
                  <c:v>2.61</c:v>
                </c:pt>
                <c:pt idx="2611">
                  <c:v>2.6110000000000002</c:v>
                </c:pt>
                <c:pt idx="2612">
                  <c:v>2.6120000000000001</c:v>
                </c:pt>
                <c:pt idx="2613">
                  <c:v>2.613</c:v>
                </c:pt>
                <c:pt idx="2614">
                  <c:v>2.6139999999999999</c:v>
                </c:pt>
                <c:pt idx="2615">
                  <c:v>2.6150000000000002</c:v>
                </c:pt>
                <c:pt idx="2616">
                  <c:v>2.6160000000000001</c:v>
                </c:pt>
                <c:pt idx="2617">
                  <c:v>2.617</c:v>
                </c:pt>
                <c:pt idx="2618">
                  <c:v>2.6179999999999999</c:v>
                </c:pt>
                <c:pt idx="2619">
                  <c:v>2.6190000000000002</c:v>
                </c:pt>
                <c:pt idx="2620">
                  <c:v>2.62</c:v>
                </c:pt>
                <c:pt idx="2621">
                  <c:v>2.621</c:v>
                </c:pt>
                <c:pt idx="2622">
                  <c:v>2.6219999999999999</c:v>
                </c:pt>
                <c:pt idx="2623">
                  <c:v>2.6230000000000002</c:v>
                </c:pt>
                <c:pt idx="2624">
                  <c:v>2.6240000000000001</c:v>
                </c:pt>
                <c:pt idx="2625">
                  <c:v>2.625</c:v>
                </c:pt>
                <c:pt idx="2626">
                  <c:v>2.6259999999999999</c:v>
                </c:pt>
                <c:pt idx="2627">
                  <c:v>2.6269999999999998</c:v>
                </c:pt>
                <c:pt idx="2628">
                  <c:v>2.6280000000000001</c:v>
                </c:pt>
                <c:pt idx="2629">
                  <c:v>2.629</c:v>
                </c:pt>
                <c:pt idx="2630">
                  <c:v>2.63</c:v>
                </c:pt>
                <c:pt idx="2631">
                  <c:v>2.6309999999999998</c:v>
                </c:pt>
                <c:pt idx="2632">
                  <c:v>2.6320000000000001</c:v>
                </c:pt>
                <c:pt idx="2633">
                  <c:v>2.633</c:v>
                </c:pt>
                <c:pt idx="2634">
                  <c:v>2.6339999999999999</c:v>
                </c:pt>
                <c:pt idx="2635">
                  <c:v>2.6349999999999998</c:v>
                </c:pt>
                <c:pt idx="2636">
                  <c:v>2.6360000000000001</c:v>
                </c:pt>
                <c:pt idx="2637">
                  <c:v>2.637</c:v>
                </c:pt>
                <c:pt idx="2638">
                  <c:v>2.6379999999999999</c:v>
                </c:pt>
                <c:pt idx="2639">
                  <c:v>2.6389999999999998</c:v>
                </c:pt>
                <c:pt idx="2640">
                  <c:v>2.64</c:v>
                </c:pt>
                <c:pt idx="2641">
                  <c:v>2.641</c:v>
                </c:pt>
                <c:pt idx="2642">
                  <c:v>2.6419999999999999</c:v>
                </c:pt>
                <c:pt idx="2643">
                  <c:v>2.6429999999999998</c:v>
                </c:pt>
                <c:pt idx="2644">
                  <c:v>2.6440000000000001</c:v>
                </c:pt>
                <c:pt idx="2645">
                  <c:v>2.645</c:v>
                </c:pt>
                <c:pt idx="2646">
                  <c:v>2.6459999999999999</c:v>
                </c:pt>
                <c:pt idx="2647">
                  <c:v>2.6469999999999998</c:v>
                </c:pt>
                <c:pt idx="2648">
                  <c:v>2.6480000000000001</c:v>
                </c:pt>
                <c:pt idx="2649">
                  <c:v>2.649</c:v>
                </c:pt>
                <c:pt idx="2650">
                  <c:v>2.65</c:v>
                </c:pt>
                <c:pt idx="2651">
                  <c:v>2.6509999999999998</c:v>
                </c:pt>
                <c:pt idx="2652">
                  <c:v>2.6520000000000001</c:v>
                </c:pt>
                <c:pt idx="2653">
                  <c:v>2.653</c:v>
                </c:pt>
                <c:pt idx="2654">
                  <c:v>2.6539999999999999</c:v>
                </c:pt>
                <c:pt idx="2655">
                  <c:v>2.6549999999999998</c:v>
                </c:pt>
                <c:pt idx="2656">
                  <c:v>2.6560000000000001</c:v>
                </c:pt>
                <c:pt idx="2657">
                  <c:v>2.657</c:v>
                </c:pt>
                <c:pt idx="2658">
                  <c:v>2.6579999999999999</c:v>
                </c:pt>
                <c:pt idx="2659">
                  <c:v>2.6589999999999998</c:v>
                </c:pt>
                <c:pt idx="2660">
                  <c:v>2.66</c:v>
                </c:pt>
                <c:pt idx="2661">
                  <c:v>2.661</c:v>
                </c:pt>
                <c:pt idx="2662">
                  <c:v>2.6619999999999999</c:v>
                </c:pt>
                <c:pt idx="2663">
                  <c:v>2.6629999999999998</c:v>
                </c:pt>
                <c:pt idx="2664">
                  <c:v>2.6640000000000001</c:v>
                </c:pt>
                <c:pt idx="2665">
                  <c:v>2.665</c:v>
                </c:pt>
                <c:pt idx="2666">
                  <c:v>2.6659999999999999</c:v>
                </c:pt>
                <c:pt idx="2667">
                  <c:v>2.6669999999999998</c:v>
                </c:pt>
                <c:pt idx="2668">
                  <c:v>2.6680000000000001</c:v>
                </c:pt>
                <c:pt idx="2669">
                  <c:v>2.669</c:v>
                </c:pt>
                <c:pt idx="2670">
                  <c:v>2.67</c:v>
                </c:pt>
                <c:pt idx="2671">
                  <c:v>2.6709999999999998</c:v>
                </c:pt>
                <c:pt idx="2672">
                  <c:v>2.6720000000000002</c:v>
                </c:pt>
                <c:pt idx="2673">
                  <c:v>2.673</c:v>
                </c:pt>
                <c:pt idx="2674">
                  <c:v>2.6739999999999999</c:v>
                </c:pt>
                <c:pt idx="2675">
                  <c:v>2.6749999999999998</c:v>
                </c:pt>
                <c:pt idx="2676">
                  <c:v>2.6760000000000002</c:v>
                </c:pt>
                <c:pt idx="2677">
                  <c:v>2.677</c:v>
                </c:pt>
                <c:pt idx="2678">
                  <c:v>2.6779999999999999</c:v>
                </c:pt>
                <c:pt idx="2679">
                  <c:v>2.6789999999999998</c:v>
                </c:pt>
                <c:pt idx="2680">
                  <c:v>2.68</c:v>
                </c:pt>
                <c:pt idx="2681">
                  <c:v>2.681</c:v>
                </c:pt>
                <c:pt idx="2682">
                  <c:v>2.6819999999999999</c:v>
                </c:pt>
                <c:pt idx="2683">
                  <c:v>2.6829999999999998</c:v>
                </c:pt>
                <c:pt idx="2684">
                  <c:v>2.6840000000000002</c:v>
                </c:pt>
                <c:pt idx="2685">
                  <c:v>2.6850000000000001</c:v>
                </c:pt>
                <c:pt idx="2686">
                  <c:v>2.6859999999999999</c:v>
                </c:pt>
                <c:pt idx="2687">
                  <c:v>2.6869999999999998</c:v>
                </c:pt>
                <c:pt idx="2688">
                  <c:v>2.6880000000000002</c:v>
                </c:pt>
                <c:pt idx="2689">
                  <c:v>2.6890000000000001</c:v>
                </c:pt>
                <c:pt idx="2690">
                  <c:v>2.69</c:v>
                </c:pt>
                <c:pt idx="2691">
                  <c:v>2.6909999999999998</c:v>
                </c:pt>
                <c:pt idx="2692">
                  <c:v>2.6920000000000002</c:v>
                </c:pt>
                <c:pt idx="2693">
                  <c:v>2.6930000000000001</c:v>
                </c:pt>
                <c:pt idx="2694">
                  <c:v>2.694</c:v>
                </c:pt>
                <c:pt idx="2695">
                  <c:v>2.6949999999999998</c:v>
                </c:pt>
                <c:pt idx="2696">
                  <c:v>2.6960000000000002</c:v>
                </c:pt>
                <c:pt idx="2697">
                  <c:v>2.6970000000000001</c:v>
                </c:pt>
                <c:pt idx="2698">
                  <c:v>2.698</c:v>
                </c:pt>
                <c:pt idx="2699">
                  <c:v>2.6989999999999998</c:v>
                </c:pt>
                <c:pt idx="2700">
                  <c:v>2.7</c:v>
                </c:pt>
                <c:pt idx="2701">
                  <c:v>2.7010000000000001</c:v>
                </c:pt>
                <c:pt idx="2702">
                  <c:v>2.702</c:v>
                </c:pt>
                <c:pt idx="2703">
                  <c:v>2.7029999999999998</c:v>
                </c:pt>
                <c:pt idx="2704">
                  <c:v>2.7040000000000002</c:v>
                </c:pt>
                <c:pt idx="2705">
                  <c:v>2.7050000000000001</c:v>
                </c:pt>
                <c:pt idx="2706">
                  <c:v>2.706</c:v>
                </c:pt>
                <c:pt idx="2707">
                  <c:v>2.7069999999999999</c:v>
                </c:pt>
                <c:pt idx="2708">
                  <c:v>2.7080000000000002</c:v>
                </c:pt>
                <c:pt idx="2709">
                  <c:v>2.7090000000000001</c:v>
                </c:pt>
                <c:pt idx="2710">
                  <c:v>2.71</c:v>
                </c:pt>
                <c:pt idx="2711">
                  <c:v>2.7109999999999999</c:v>
                </c:pt>
                <c:pt idx="2712">
                  <c:v>2.7120000000000002</c:v>
                </c:pt>
                <c:pt idx="2713">
                  <c:v>2.7130000000000001</c:v>
                </c:pt>
                <c:pt idx="2714">
                  <c:v>2.714</c:v>
                </c:pt>
                <c:pt idx="2715">
                  <c:v>2.7149999999999999</c:v>
                </c:pt>
                <c:pt idx="2716">
                  <c:v>2.7160000000000002</c:v>
                </c:pt>
                <c:pt idx="2717">
                  <c:v>2.7170000000000001</c:v>
                </c:pt>
                <c:pt idx="2718">
                  <c:v>2.718</c:v>
                </c:pt>
                <c:pt idx="2719">
                  <c:v>2.7189999999999999</c:v>
                </c:pt>
                <c:pt idx="2720">
                  <c:v>2.72</c:v>
                </c:pt>
                <c:pt idx="2721">
                  <c:v>2.7210000000000001</c:v>
                </c:pt>
                <c:pt idx="2722">
                  <c:v>2.722</c:v>
                </c:pt>
                <c:pt idx="2723">
                  <c:v>2.7229999999999999</c:v>
                </c:pt>
                <c:pt idx="2724">
                  <c:v>2.7240000000000002</c:v>
                </c:pt>
                <c:pt idx="2725">
                  <c:v>2.7250000000000001</c:v>
                </c:pt>
                <c:pt idx="2726">
                  <c:v>2.726</c:v>
                </c:pt>
                <c:pt idx="2727">
                  <c:v>2.7269999999999999</c:v>
                </c:pt>
                <c:pt idx="2728">
                  <c:v>2.7280000000000002</c:v>
                </c:pt>
                <c:pt idx="2729">
                  <c:v>2.7290000000000001</c:v>
                </c:pt>
                <c:pt idx="2730">
                  <c:v>2.73</c:v>
                </c:pt>
                <c:pt idx="2731">
                  <c:v>2.7309999999999999</c:v>
                </c:pt>
                <c:pt idx="2732">
                  <c:v>2.7320000000000002</c:v>
                </c:pt>
                <c:pt idx="2733">
                  <c:v>2.7330000000000001</c:v>
                </c:pt>
                <c:pt idx="2734">
                  <c:v>2.734</c:v>
                </c:pt>
                <c:pt idx="2735">
                  <c:v>2.7349999999999999</c:v>
                </c:pt>
                <c:pt idx="2736">
                  <c:v>2.7360000000000002</c:v>
                </c:pt>
                <c:pt idx="2737">
                  <c:v>2.7370000000000001</c:v>
                </c:pt>
                <c:pt idx="2738">
                  <c:v>2.738</c:v>
                </c:pt>
                <c:pt idx="2739">
                  <c:v>2.7389999999999999</c:v>
                </c:pt>
                <c:pt idx="2740">
                  <c:v>2.74</c:v>
                </c:pt>
                <c:pt idx="2741">
                  <c:v>2.7410000000000001</c:v>
                </c:pt>
                <c:pt idx="2742">
                  <c:v>2.742</c:v>
                </c:pt>
                <c:pt idx="2743">
                  <c:v>2.7429999999999999</c:v>
                </c:pt>
                <c:pt idx="2744">
                  <c:v>2.7440000000000002</c:v>
                </c:pt>
                <c:pt idx="2745">
                  <c:v>2.7450000000000001</c:v>
                </c:pt>
                <c:pt idx="2746">
                  <c:v>2.746</c:v>
                </c:pt>
                <c:pt idx="2747">
                  <c:v>2.7469999999999999</c:v>
                </c:pt>
                <c:pt idx="2748">
                  <c:v>2.7480000000000002</c:v>
                </c:pt>
                <c:pt idx="2749">
                  <c:v>2.7490000000000001</c:v>
                </c:pt>
                <c:pt idx="2750">
                  <c:v>2.75</c:v>
                </c:pt>
                <c:pt idx="2751">
                  <c:v>2.7509999999999999</c:v>
                </c:pt>
                <c:pt idx="2752">
                  <c:v>2.7519999999999998</c:v>
                </c:pt>
                <c:pt idx="2753">
                  <c:v>2.7530000000000001</c:v>
                </c:pt>
                <c:pt idx="2754">
                  <c:v>2.754</c:v>
                </c:pt>
                <c:pt idx="2755">
                  <c:v>2.7549999999999999</c:v>
                </c:pt>
                <c:pt idx="2756">
                  <c:v>2.7559999999999998</c:v>
                </c:pt>
                <c:pt idx="2757">
                  <c:v>2.7570000000000001</c:v>
                </c:pt>
                <c:pt idx="2758">
                  <c:v>2.758</c:v>
                </c:pt>
                <c:pt idx="2759">
                  <c:v>2.7589999999999999</c:v>
                </c:pt>
                <c:pt idx="2760">
                  <c:v>2.76</c:v>
                </c:pt>
                <c:pt idx="2761">
                  <c:v>2.7610000000000001</c:v>
                </c:pt>
                <c:pt idx="2762">
                  <c:v>2.762</c:v>
                </c:pt>
                <c:pt idx="2763">
                  <c:v>2.7629999999999999</c:v>
                </c:pt>
                <c:pt idx="2764">
                  <c:v>2.7639999999999998</c:v>
                </c:pt>
                <c:pt idx="2765">
                  <c:v>2.7650000000000001</c:v>
                </c:pt>
                <c:pt idx="2766">
                  <c:v>2.766</c:v>
                </c:pt>
                <c:pt idx="2767">
                  <c:v>2.7669999999999999</c:v>
                </c:pt>
                <c:pt idx="2768">
                  <c:v>2.7679999999999998</c:v>
                </c:pt>
                <c:pt idx="2769">
                  <c:v>2.7690000000000001</c:v>
                </c:pt>
                <c:pt idx="2770">
                  <c:v>2.77</c:v>
                </c:pt>
                <c:pt idx="2771">
                  <c:v>2.7709999999999999</c:v>
                </c:pt>
                <c:pt idx="2772">
                  <c:v>2.7719999999999998</c:v>
                </c:pt>
                <c:pt idx="2773">
                  <c:v>2.7730000000000001</c:v>
                </c:pt>
                <c:pt idx="2774">
                  <c:v>2.774</c:v>
                </c:pt>
                <c:pt idx="2775">
                  <c:v>2.7749999999999999</c:v>
                </c:pt>
                <c:pt idx="2776">
                  <c:v>2.7759999999999998</c:v>
                </c:pt>
                <c:pt idx="2777">
                  <c:v>2.7770000000000001</c:v>
                </c:pt>
                <c:pt idx="2778">
                  <c:v>2.778</c:v>
                </c:pt>
                <c:pt idx="2779">
                  <c:v>2.7789999999999999</c:v>
                </c:pt>
                <c:pt idx="2780">
                  <c:v>2.78</c:v>
                </c:pt>
                <c:pt idx="2781">
                  <c:v>2.7810000000000001</c:v>
                </c:pt>
                <c:pt idx="2782">
                  <c:v>2.782</c:v>
                </c:pt>
                <c:pt idx="2783">
                  <c:v>2.7829999999999999</c:v>
                </c:pt>
                <c:pt idx="2784">
                  <c:v>2.7839999999999998</c:v>
                </c:pt>
                <c:pt idx="2785">
                  <c:v>2.7850000000000001</c:v>
                </c:pt>
                <c:pt idx="2786">
                  <c:v>2.786</c:v>
                </c:pt>
                <c:pt idx="2787">
                  <c:v>2.7869999999999999</c:v>
                </c:pt>
                <c:pt idx="2788">
                  <c:v>2.7879999999999998</c:v>
                </c:pt>
                <c:pt idx="2789">
                  <c:v>2.7890000000000001</c:v>
                </c:pt>
                <c:pt idx="2790">
                  <c:v>2.79</c:v>
                </c:pt>
                <c:pt idx="2791">
                  <c:v>2.7909999999999999</c:v>
                </c:pt>
                <c:pt idx="2792">
                  <c:v>2.7919999999999998</c:v>
                </c:pt>
                <c:pt idx="2793">
                  <c:v>2.7930000000000001</c:v>
                </c:pt>
                <c:pt idx="2794">
                  <c:v>2.794</c:v>
                </c:pt>
                <c:pt idx="2795">
                  <c:v>2.7949999999999999</c:v>
                </c:pt>
                <c:pt idx="2796">
                  <c:v>2.7959999999999998</c:v>
                </c:pt>
                <c:pt idx="2797">
                  <c:v>2.7970000000000002</c:v>
                </c:pt>
                <c:pt idx="2798">
                  <c:v>2.798</c:v>
                </c:pt>
                <c:pt idx="2799">
                  <c:v>2.7989999999999999</c:v>
                </c:pt>
                <c:pt idx="2800">
                  <c:v>2.8</c:v>
                </c:pt>
                <c:pt idx="2801">
                  <c:v>2.8010000000000002</c:v>
                </c:pt>
                <c:pt idx="2802">
                  <c:v>2.802</c:v>
                </c:pt>
                <c:pt idx="2803">
                  <c:v>2.8029999999999999</c:v>
                </c:pt>
                <c:pt idx="2804">
                  <c:v>2.8039999999999998</c:v>
                </c:pt>
                <c:pt idx="2805">
                  <c:v>2.8050000000000002</c:v>
                </c:pt>
                <c:pt idx="2806">
                  <c:v>2.806</c:v>
                </c:pt>
                <c:pt idx="2807">
                  <c:v>2.8069999999999999</c:v>
                </c:pt>
                <c:pt idx="2808">
                  <c:v>2.8079999999999998</c:v>
                </c:pt>
                <c:pt idx="2809">
                  <c:v>2.8090000000000002</c:v>
                </c:pt>
                <c:pt idx="2810">
                  <c:v>2.81</c:v>
                </c:pt>
                <c:pt idx="2811">
                  <c:v>2.8109999999999999</c:v>
                </c:pt>
                <c:pt idx="2812">
                  <c:v>2.8119999999999998</c:v>
                </c:pt>
                <c:pt idx="2813">
                  <c:v>2.8130000000000002</c:v>
                </c:pt>
                <c:pt idx="2814">
                  <c:v>2.8140000000000001</c:v>
                </c:pt>
                <c:pt idx="2815">
                  <c:v>2.8149999999999999</c:v>
                </c:pt>
                <c:pt idx="2816">
                  <c:v>2.8159999999999998</c:v>
                </c:pt>
                <c:pt idx="2817">
                  <c:v>2.8170000000000002</c:v>
                </c:pt>
                <c:pt idx="2818">
                  <c:v>2.8180000000000001</c:v>
                </c:pt>
                <c:pt idx="2819">
                  <c:v>2.819</c:v>
                </c:pt>
                <c:pt idx="2820">
                  <c:v>2.82</c:v>
                </c:pt>
                <c:pt idx="2821">
                  <c:v>2.8210000000000002</c:v>
                </c:pt>
                <c:pt idx="2822">
                  <c:v>2.8220000000000001</c:v>
                </c:pt>
                <c:pt idx="2823">
                  <c:v>2.823</c:v>
                </c:pt>
                <c:pt idx="2824">
                  <c:v>2.8239999999999998</c:v>
                </c:pt>
                <c:pt idx="2825">
                  <c:v>2.8250000000000002</c:v>
                </c:pt>
                <c:pt idx="2826">
                  <c:v>2.8260000000000001</c:v>
                </c:pt>
                <c:pt idx="2827">
                  <c:v>2.827</c:v>
                </c:pt>
                <c:pt idx="2828">
                  <c:v>2.8279999999999998</c:v>
                </c:pt>
                <c:pt idx="2829">
                  <c:v>2.8290000000000002</c:v>
                </c:pt>
                <c:pt idx="2830">
                  <c:v>2.83</c:v>
                </c:pt>
                <c:pt idx="2831">
                  <c:v>2.831</c:v>
                </c:pt>
                <c:pt idx="2832">
                  <c:v>2.8319999999999999</c:v>
                </c:pt>
                <c:pt idx="2833">
                  <c:v>2.8330000000000002</c:v>
                </c:pt>
                <c:pt idx="2834">
                  <c:v>2.8340000000000001</c:v>
                </c:pt>
                <c:pt idx="2835">
                  <c:v>2.835</c:v>
                </c:pt>
                <c:pt idx="2836">
                  <c:v>2.8359999999999999</c:v>
                </c:pt>
                <c:pt idx="2837">
                  <c:v>2.8370000000000002</c:v>
                </c:pt>
                <c:pt idx="2838">
                  <c:v>2.8380000000000001</c:v>
                </c:pt>
                <c:pt idx="2839">
                  <c:v>2.839</c:v>
                </c:pt>
                <c:pt idx="2840">
                  <c:v>2.84</c:v>
                </c:pt>
                <c:pt idx="2841">
                  <c:v>2.8410000000000002</c:v>
                </c:pt>
                <c:pt idx="2842">
                  <c:v>2.8420000000000001</c:v>
                </c:pt>
                <c:pt idx="2843">
                  <c:v>2.843</c:v>
                </c:pt>
                <c:pt idx="2844">
                  <c:v>2.8439999999999999</c:v>
                </c:pt>
                <c:pt idx="2845">
                  <c:v>2.8450000000000002</c:v>
                </c:pt>
                <c:pt idx="2846">
                  <c:v>2.8460000000000001</c:v>
                </c:pt>
                <c:pt idx="2847">
                  <c:v>2.847</c:v>
                </c:pt>
                <c:pt idx="2848">
                  <c:v>2.8479999999999999</c:v>
                </c:pt>
                <c:pt idx="2849">
                  <c:v>2.8490000000000002</c:v>
                </c:pt>
                <c:pt idx="2850">
                  <c:v>2.85</c:v>
                </c:pt>
                <c:pt idx="2851">
                  <c:v>2.851</c:v>
                </c:pt>
                <c:pt idx="2852">
                  <c:v>2.8519999999999999</c:v>
                </c:pt>
                <c:pt idx="2853">
                  <c:v>2.8530000000000002</c:v>
                </c:pt>
                <c:pt idx="2854">
                  <c:v>2.8540000000000001</c:v>
                </c:pt>
                <c:pt idx="2855">
                  <c:v>2.855</c:v>
                </c:pt>
                <c:pt idx="2856">
                  <c:v>2.8559999999999999</c:v>
                </c:pt>
                <c:pt idx="2857">
                  <c:v>2.8570000000000002</c:v>
                </c:pt>
                <c:pt idx="2858">
                  <c:v>2.8580000000000001</c:v>
                </c:pt>
                <c:pt idx="2859">
                  <c:v>2.859</c:v>
                </c:pt>
                <c:pt idx="2860">
                  <c:v>2.86</c:v>
                </c:pt>
                <c:pt idx="2861">
                  <c:v>2.8610000000000002</c:v>
                </c:pt>
                <c:pt idx="2862">
                  <c:v>2.8620000000000001</c:v>
                </c:pt>
                <c:pt idx="2863">
                  <c:v>2.863</c:v>
                </c:pt>
                <c:pt idx="2864">
                  <c:v>2.8639999999999999</c:v>
                </c:pt>
                <c:pt idx="2865">
                  <c:v>2.8650000000000002</c:v>
                </c:pt>
                <c:pt idx="2866">
                  <c:v>2.8660000000000001</c:v>
                </c:pt>
                <c:pt idx="2867">
                  <c:v>2.867</c:v>
                </c:pt>
                <c:pt idx="2868">
                  <c:v>2.8679999999999999</c:v>
                </c:pt>
                <c:pt idx="2869">
                  <c:v>2.8690000000000002</c:v>
                </c:pt>
                <c:pt idx="2870">
                  <c:v>2.87</c:v>
                </c:pt>
                <c:pt idx="2871">
                  <c:v>2.871</c:v>
                </c:pt>
                <c:pt idx="2872">
                  <c:v>2.8719999999999999</c:v>
                </c:pt>
                <c:pt idx="2873">
                  <c:v>2.8730000000000002</c:v>
                </c:pt>
                <c:pt idx="2874">
                  <c:v>2.8740000000000001</c:v>
                </c:pt>
                <c:pt idx="2875">
                  <c:v>2.875</c:v>
                </c:pt>
                <c:pt idx="2876">
                  <c:v>2.8759999999999999</c:v>
                </c:pt>
                <c:pt idx="2877">
                  <c:v>2.8769999999999998</c:v>
                </c:pt>
                <c:pt idx="2878">
                  <c:v>2.8780000000000001</c:v>
                </c:pt>
                <c:pt idx="2879">
                  <c:v>2.879</c:v>
                </c:pt>
                <c:pt idx="2880">
                  <c:v>2.88</c:v>
                </c:pt>
                <c:pt idx="2881">
                  <c:v>2.8809999999999998</c:v>
                </c:pt>
                <c:pt idx="2882">
                  <c:v>2.8820000000000001</c:v>
                </c:pt>
                <c:pt idx="2883">
                  <c:v>2.883</c:v>
                </c:pt>
                <c:pt idx="2884">
                  <c:v>2.8839999999999999</c:v>
                </c:pt>
                <c:pt idx="2885">
                  <c:v>2.8849999999999998</c:v>
                </c:pt>
                <c:pt idx="2886">
                  <c:v>2.8860000000000001</c:v>
                </c:pt>
                <c:pt idx="2887">
                  <c:v>2.887</c:v>
                </c:pt>
                <c:pt idx="2888">
                  <c:v>2.8879999999999999</c:v>
                </c:pt>
                <c:pt idx="2889">
                  <c:v>2.8889999999999998</c:v>
                </c:pt>
                <c:pt idx="2890">
                  <c:v>2.89</c:v>
                </c:pt>
                <c:pt idx="2891">
                  <c:v>2.891</c:v>
                </c:pt>
                <c:pt idx="2892">
                  <c:v>2.8919999999999999</c:v>
                </c:pt>
                <c:pt idx="2893">
                  <c:v>2.8929999999999998</c:v>
                </c:pt>
                <c:pt idx="2894">
                  <c:v>2.8940000000000001</c:v>
                </c:pt>
                <c:pt idx="2895">
                  <c:v>2.895</c:v>
                </c:pt>
                <c:pt idx="2896">
                  <c:v>2.8959999999999999</c:v>
                </c:pt>
                <c:pt idx="2897">
                  <c:v>2.8969999999999998</c:v>
                </c:pt>
                <c:pt idx="2898">
                  <c:v>2.8980000000000001</c:v>
                </c:pt>
                <c:pt idx="2899">
                  <c:v>2.899</c:v>
                </c:pt>
                <c:pt idx="2900">
                  <c:v>2.9</c:v>
                </c:pt>
                <c:pt idx="2901">
                  <c:v>2.9009999999999998</c:v>
                </c:pt>
                <c:pt idx="2902">
                  <c:v>2.9020000000000001</c:v>
                </c:pt>
                <c:pt idx="2903">
                  <c:v>2.903</c:v>
                </c:pt>
                <c:pt idx="2904">
                  <c:v>2.9039999999999999</c:v>
                </c:pt>
                <c:pt idx="2905">
                  <c:v>2.9049999999999998</c:v>
                </c:pt>
                <c:pt idx="2906">
                  <c:v>2.9060000000000001</c:v>
                </c:pt>
                <c:pt idx="2907">
                  <c:v>2.907</c:v>
                </c:pt>
                <c:pt idx="2908">
                  <c:v>2.9079999999999999</c:v>
                </c:pt>
                <c:pt idx="2909">
                  <c:v>2.9089999999999998</c:v>
                </c:pt>
                <c:pt idx="2910">
                  <c:v>2.91</c:v>
                </c:pt>
                <c:pt idx="2911">
                  <c:v>2.911</c:v>
                </c:pt>
                <c:pt idx="2912">
                  <c:v>2.9119999999999999</c:v>
                </c:pt>
                <c:pt idx="2913">
                  <c:v>2.9129999999999998</c:v>
                </c:pt>
                <c:pt idx="2914">
                  <c:v>2.9140000000000001</c:v>
                </c:pt>
                <c:pt idx="2915">
                  <c:v>2.915</c:v>
                </c:pt>
                <c:pt idx="2916">
                  <c:v>2.9159999999999999</c:v>
                </c:pt>
                <c:pt idx="2917">
                  <c:v>2.9169999999999998</c:v>
                </c:pt>
                <c:pt idx="2918">
                  <c:v>2.9180000000000001</c:v>
                </c:pt>
                <c:pt idx="2919">
                  <c:v>2.919</c:v>
                </c:pt>
                <c:pt idx="2920">
                  <c:v>2.92</c:v>
                </c:pt>
                <c:pt idx="2921">
                  <c:v>2.9209999999999998</c:v>
                </c:pt>
                <c:pt idx="2922">
                  <c:v>2.9220000000000002</c:v>
                </c:pt>
                <c:pt idx="2923">
                  <c:v>2.923</c:v>
                </c:pt>
                <c:pt idx="2924">
                  <c:v>2.9239999999999999</c:v>
                </c:pt>
                <c:pt idx="2925">
                  <c:v>2.9249999999999998</c:v>
                </c:pt>
                <c:pt idx="2926">
                  <c:v>2.9260000000000002</c:v>
                </c:pt>
                <c:pt idx="2927">
                  <c:v>2.927</c:v>
                </c:pt>
                <c:pt idx="2928">
                  <c:v>2.9279999999999999</c:v>
                </c:pt>
                <c:pt idx="2929">
                  <c:v>2.9289999999999998</c:v>
                </c:pt>
                <c:pt idx="2930">
                  <c:v>2.93</c:v>
                </c:pt>
                <c:pt idx="2931">
                  <c:v>2.931</c:v>
                </c:pt>
                <c:pt idx="2932">
                  <c:v>2.9319999999999999</c:v>
                </c:pt>
                <c:pt idx="2933">
                  <c:v>2.9329999999999998</c:v>
                </c:pt>
                <c:pt idx="2934">
                  <c:v>2.9340000000000002</c:v>
                </c:pt>
                <c:pt idx="2935">
                  <c:v>2.9350000000000001</c:v>
                </c:pt>
                <c:pt idx="2936">
                  <c:v>2.9359999999999999</c:v>
                </c:pt>
                <c:pt idx="2937">
                  <c:v>2.9369999999999998</c:v>
                </c:pt>
                <c:pt idx="2938">
                  <c:v>2.9380000000000002</c:v>
                </c:pt>
                <c:pt idx="2939">
                  <c:v>2.9390000000000001</c:v>
                </c:pt>
                <c:pt idx="2940">
                  <c:v>2.94</c:v>
                </c:pt>
                <c:pt idx="2941">
                  <c:v>2.9409999999999998</c:v>
                </c:pt>
                <c:pt idx="2942">
                  <c:v>2.9420000000000002</c:v>
                </c:pt>
                <c:pt idx="2943">
                  <c:v>2.9430000000000001</c:v>
                </c:pt>
                <c:pt idx="2944">
                  <c:v>2.944</c:v>
                </c:pt>
                <c:pt idx="2945">
                  <c:v>2.9449999999999998</c:v>
                </c:pt>
                <c:pt idx="2946">
                  <c:v>2.9460000000000002</c:v>
                </c:pt>
                <c:pt idx="2947">
                  <c:v>2.9470000000000001</c:v>
                </c:pt>
                <c:pt idx="2948">
                  <c:v>2.948</c:v>
                </c:pt>
                <c:pt idx="2949">
                  <c:v>2.9489999999999998</c:v>
                </c:pt>
                <c:pt idx="2950">
                  <c:v>2.95</c:v>
                </c:pt>
                <c:pt idx="2951">
                  <c:v>2.9510000000000001</c:v>
                </c:pt>
                <c:pt idx="2952">
                  <c:v>2.952</c:v>
                </c:pt>
                <c:pt idx="2953">
                  <c:v>2.9529999999999998</c:v>
                </c:pt>
                <c:pt idx="2954">
                  <c:v>2.9540000000000002</c:v>
                </c:pt>
                <c:pt idx="2955">
                  <c:v>2.9550000000000001</c:v>
                </c:pt>
                <c:pt idx="2956">
                  <c:v>2.956</c:v>
                </c:pt>
                <c:pt idx="2957">
                  <c:v>2.9569999999999999</c:v>
                </c:pt>
                <c:pt idx="2958">
                  <c:v>2.9580000000000002</c:v>
                </c:pt>
                <c:pt idx="2959">
                  <c:v>2.9590000000000001</c:v>
                </c:pt>
                <c:pt idx="2960">
                  <c:v>2.96</c:v>
                </c:pt>
                <c:pt idx="2961">
                  <c:v>2.9609999999999999</c:v>
                </c:pt>
                <c:pt idx="2962">
                  <c:v>2.9620000000000002</c:v>
                </c:pt>
                <c:pt idx="2963">
                  <c:v>2.9630000000000001</c:v>
                </c:pt>
                <c:pt idx="2964">
                  <c:v>2.964</c:v>
                </c:pt>
                <c:pt idx="2965">
                  <c:v>2.9649999999999999</c:v>
                </c:pt>
                <c:pt idx="2966">
                  <c:v>2.9660000000000002</c:v>
                </c:pt>
                <c:pt idx="2967">
                  <c:v>2.9670000000000001</c:v>
                </c:pt>
                <c:pt idx="2968">
                  <c:v>2.968</c:v>
                </c:pt>
                <c:pt idx="2969">
                  <c:v>2.9689999999999999</c:v>
                </c:pt>
                <c:pt idx="2970">
                  <c:v>2.97</c:v>
                </c:pt>
                <c:pt idx="2971">
                  <c:v>2.9710000000000001</c:v>
                </c:pt>
                <c:pt idx="2972">
                  <c:v>2.972</c:v>
                </c:pt>
                <c:pt idx="2973">
                  <c:v>2.9729999999999999</c:v>
                </c:pt>
                <c:pt idx="2974">
                  <c:v>2.9740000000000002</c:v>
                </c:pt>
                <c:pt idx="2975">
                  <c:v>2.9750000000000001</c:v>
                </c:pt>
                <c:pt idx="2976">
                  <c:v>2.976</c:v>
                </c:pt>
                <c:pt idx="2977">
                  <c:v>2.9769999999999999</c:v>
                </c:pt>
                <c:pt idx="2978">
                  <c:v>2.9780000000000002</c:v>
                </c:pt>
                <c:pt idx="2979">
                  <c:v>2.9790000000000001</c:v>
                </c:pt>
                <c:pt idx="2980">
                  <c:v>2.98</c:v>
                </c:pt>
                <c:pt idx="2981">
                  <c:v>2.9809999999999999</c:v>
                </c:pt>
                <c:pt idx="2982">
                  <c:v>2.9820000000000002</c:v>
                </c:pt>
                <c:pt idx="2983">
                  <c:v>2.9830000000000001</c:v>
                </c:pt>
                <c:pt idx="2984">
                  <c:v>2.984</c:v>
                </c:pt>
                <c:pt idx="2985">
                  <c:v>2.9849999999999999</c:v>
                </c:pt>
                <c:pt idx="2986">
                  <c:v>2.9860000000000002</c:v>
                </c:pt>
                <c:pt idx="2987">
                  <c:v>2.9870000000000001</c:v>
                </c:pt>
                <c:pt idx="2988">
                  <c:v>2.988</c:v>
                </c:pt>
                <c:pt idx="2989">
                  <c:v>2.9889999999999999</c:v>
                </c:pt>
                <c:pt idx="2990">
                  <c:v>2.99</c:v>
                </c:pt>
                <c:pt idx="2991">
                  <c:v>2.9910000000000001</c:v>
                </c:pt>
                <c:pt idx="2992">
                  <c:v>2.992</c:v>
                </c:pt>
                <c:pt idx="2993">
                  <c:v>2.9929999999999999</c:v>
                </c:pt>
                <c:pt idx="2994">
                  <c:v>2.9940000000000002</c:v>
                </c:pt>
                <c:pt idx="2995">
                  <c:v>2.9950000000000001</c:v>
                </c:pt>
                <c:pt idx="2996">
                  <c:v>2.996</c:v>
                </c:pt>
                <c:pt idx="2997">
                  <c:v>2.9969999999999999</c:v>
                </c:pt>
                <c:pt idx="2998">
                  <c:v>2.9980000000000002</c:v>
                </c:pt>
                <c:pt idx="2999">
                  <c:v>2.9990000000000001</c:v>
                </c:pt>
                <c:pt idx="3000">
                  <c:v>3</c:v>
                </c:pt>
                <c:pt idx="3001">
                  <c:v>3.0009999999999999</c:v>
                </c:pt>
                <c:pt idx="3002">
                  <c:v>3.0019999999999998</c:v>
                </c:pt>
                <c:pt idx="3003">
                  <c:v>3.0030000000000001</c:v>
                </c:pt>
                <c:pt idx="3004">
                  <c:v>3.004</c:v>
                </c:pt>
                <c:pt idx="3005">
                  <c:v>3.0049999999999999</c:v>
                </c:pt>
                <c:pt idx="3006">
                  <c:v>3.0059999999999998</c:v>
                </c:pt>
                <c:pt idx="3007">
                  <c:v>3.0070000000000001</c:v>
                </c:pt>
                <c:pt idx="3008">
                  <c:v>3.008</c:v>
                </c:pt>
                <c:pt idx="3009">
                  <c:v>3.0089999999999999</c:v>
                </c:pt>
                <c:pt idx="3010">
                  <c:v>3.01</c:v>
                </c:pt>
                <c:pt idx="3011">
                  <c:v>3.0110000000000001</c:v>
                </c:pt>
                <c:pt idx="3012">
                  <c:v>3.012</c:v>
                </c:pt>
                <c:pt idx="3013">
                  <c:v>3.0129999999999999</c:v>
                </c:pt>
                <c:pt idx="3014">
                  <c:v>3.0139999999999998</c:v>
                </c:pt>
                <c:pt idx="3015">
                  <c:v>3.0150000000000001</c:v>
                </c:pt>
                <c:pt idx="3016">
                  <c:v>3.016</c:v>
                </c:pt>
                <c:pt idx="3017">
                  <c:v>3.0169999999999999</c:v>
                </c:pt>
                <c:pt idx="3018">
                  <c:v>3.0179999999999998</c:v>
                </c:pt>
                <c:pt idx="3019">
                  <c:v>3.0190000000000001</c:v>
                </c:pt>
                <c:pt idx="3020">
                  <c:v>3.02</c:v>
                </c:pt>
                <c:pt idx="3021">
                  <c:v>3.0209999999999999</c:v>
                </c:pt>
                <c:pt idx="3022">
                  <c:v>3.0219999999999998</c:v>
                </c:pt>
                <c:pt idx="3023">
                  <c:v>3.0230000000000001</c:v>
                </c:pt>
                <c:pt idx="3024">
                  <c:v>3.024</c:v>
                </c:pt>
                <c:pt idx="3025">
                  <c:v>3.0249999999999999</c:v>
                </c:pt>
                <c:pt idx="3026">
                  <c:v>3.0259999999999998</c:v>
                </c:pt>
                <c:pt idx="3027">
                  <c:v>3.0270000000000001</c:v>
                </c:pt>
                <c:pt idx="3028">
                  <c:v>3.028</c:v>
                </c:pt>
                <c:pt idx="3029">
                  <c:v>3.0289999999999999</c:v>
                </c:pt>
                <c:pt idx="3030">
                  <c:v>3.03</c:v>
                </c:pt>
                <c:pt idx="3031">
                  <c:v>3.0310000000000001</c:v>
                </c:pt>
                <c:pt idx="3032">
                  <c:v>3.032</c:v>
                </c:pt>
                <c:pt idx="3033">
                  <c:v>3.0329999999999999</c:v>
                </c:pt>
                <c:pt idx="3034">
                  <c:v>3.0339999999999998</c:v>
                </c:pt>
                <c:pt idx="3035">
                  <c:v>3.0350000000000001</c:v>
                </c:pt>
                <c:pt idx="3036">
                  <c:v>3.036</c:v>
                </c:pt>
                <c:pt idx="3037">
                  <c:v>3.0369999999999999</c:v>
                </c:pt>
                <c:pt idx="3038">
                  <c:v>3.0379999999999998</c:v>
                </c:pt>
                <c:pt idx="3039">
                  <c:v>3.0390000000000001</c:v>
                </c:pt>
                <c:pt idx="3040">
                  <c:v>3.04</c:v>
                </c:pt>
                <c:pt idx="3041">
                  <c:v>3.0409999999999999</c:v>
                </c:pt>
                <c:pt idx="3042">
                  <c:v>3.0419999999999998</c:v>
                </c:pt>
                <c:pt idx="3043">
                  <c:v>3.0430000000000001</c:v>
                </c:pt>
                <c:pt idx="3044">
                  <c:v>3.044</c:v>
                </c:pt>
                <c:pt idx="3045">
                  <c:v>3.0449999999999999</c:v>
                </c:pt>
                <c:pt idx="3046">
                  <c:v>3.0459999999999998</c:v>
                </c:pt>
                <c:pt idx="3047">
                  <c:v>3.0470000000000002</c:v>
                </c:pt>
                <c:pt idx="3048">
                  <c:v>3.048</c:v>
                </c:pt>
                <c:pt idx="3049">
                  <c:v>3.0489999999999999</c:v>
                </c:pt>
                <c:pt idx="3050">
                  <c:v>3.05</c:v>
                </c:pt>
                <c:pt idx="3051">
                  <c:v>3.0510000000000002</c:v>
                </c:pt>
                <c:pt idx="3052">
                  <c:v>3.052</c:v>
                </c:pt>
                <c:pt idx="3053">
                  <c:v>3.0529999999999999</c:v>
                </c:pt>
                <c:pt idx="3054">
                  <c:v>3.0539999999999998</c:v>
                </c:pt>
                <c:pt idx="3055">
                  <c:v>3.0550000000000002</c:v>
                </c:pt>
                <c:pt idx="3056">
                  <c:v>3.056</c:v>
                </c:pt>
                <c:pt idx="3057">
                  <c:v>3.0569999999999999</c:v>
                </c:pt>
                <c:pt idx="3058">
                  <c:v>3.0579999999999998</c:v>
                </c:pt>
                <c:pt idx="3059">
                  <c:v>3.0590000000000002</c:v>
                </c:pt>
                <c:pt idx="3060">
                  <c:v>3.06</c:v>
                </c:pt>
                <c:pt idx="3061">
                  <c:v>3.0609999999999999</c:v>
                </c:pt>
                <c:pt idx="3062">
                  <c:v>3.0619999999999998</c:v>
                </c:pt>
                <c:pt idx="3063">
                  <c:v>3.0630000000000002</c:v>
                </c:pt>
                <c:pt idx="3064">
                  <c:v>3.0640000000000001</c:v>
                </c:pt>
                <c:pt idx="3065">
                  <c:v>3.0649999999999999</c:v>
                </c:pt>
                <c:pt idx="3066">
                  <c:v>3.0659999999999998</c:v>
                </c:pt>
                <c:pt idx="3067">
                  <c:v>3.0670000000000002</c:v>
                </c:pt>
                <c:pt idx="3068">
                  <c:v>3.0680000000000001</c:v>
                </c:pt>
                <c:pt idx="3069">
                  <c:v>3.069</c:v>
                </c:pt>
                <c:pt idx="3070">
                  <c:v>3.07</c:v>
                </c:pt>
                <c:pt idx="3071">
                  <c:v>3.0710000000000002</c:v>
                </c:pt>
                <c:pt idx="3072">
                  <c:v>3.0720000000000001</c:v>
                </c:pt>
                <c:pt idx="3073">
                  <c:v>3.073</c:v>
                </c:pt>
                <c:pt idx="3074">
                  <c:v>3.0739999999999998</c:v>
                </c:pt>
                <c:pt idx="3075">
                  <c:v>3.0750000000000002</c:v>
                </c:pt>
                <c:pt idx="3076">
                  <c:v>3.0760000000000001</c:v>
                </c:pt>
                <c:pt idx="3077">
                  <c:v>3.077</c:v>
                </c:pt>
                <c:pt idx="3078">
                  <c:v>3.0779999999999998</c:v>
                </c:pt>
                <c:pt idx="3079">
                  <c:v>3.0790000000000002</c:v>
                </c:pt>
                <c:pt idx="3080">
                  <c:v>3.08</c:v>
                </c:pt>
                <c:pt idx="3081">
                  <c:v>3.081</c:v>
                </c:pt>
                <c:pt idx="3082">
                  <c:v>3.0819999999999999</c:v>
                </c:pt>
                <c:pt idx="3083">
                  <c:v>3.0830000000000002</c:v>
                </c:pt>
                <c:pt idx="3084">
                  <c:v>3.0840000000000001</c:v>
                </c:pt>
                <c:pt idx="3085">
                  <c:v>3.085</c:v>
                </c:pt>
                <c:pt idx="3086">
                  <c:v>3.0859999999999999</c:v>
                </c:pt>
                <c:pt idx="3087">
                  <c:v>3.0870000000000002</c:v>
                </c:pt>
                <c:pt idx="3088">
                  <c:v>3.0880000000000001</c:v>
                </c:pt>
                <c:pt idx="3089">
                  <c:v>3.089</c:v>
                </c:pt>
                <c:pt idx="3090">
                  <c:v>3.09</c:v>
                </c:pt>
                <c:pt idx="3091">
                  <c:v>3.0910000000000002</c:v>
                </c:pt>
                <c:pt idx="3092">
                  <c:v>3.0920000000000001</c:v>
                </c:pt>
                <c:pt idx="3093">
                  <c:v>3.093</c:v>
                </c:pt>
                <c:pt idx="3094">
                  <c:v>3.0939999999999999</c:v>
                </c:pt>
                <c:pt idx="3095">
                  <c:v>3.0950000000000002</c:v>
                </c:pt>
                <c:pt idx="3096">
                  <c:v>3.0960000000000001</c:v>
                </c:pt>
                <c:pt idx="3097">
                  <c:v>3.097</c:v>
                </c:pt>
                <c:pt idx="3098">
                  <c:v>3.0979999999999999</c:v>
                </c:pt>
                <c:pt idx="3099">
                  <c:v>3.0990000000000002</c:v>
                </c:pt>
                <c:pt idx="3100">
                  <c:v>3.1</c:v>
                </c:pt>
                <c:pt idx="3101">
                  <c:v>3.101</c:v>
                </c:pt>
                <c:pt idx="3102">
                  <c:v>3.1019999999999999</c:v>
                </c:pt>
                <c:pt idx="3103">
                  <c:v>3.1030000000000002</c:v>
                </c:pt>
                <c:pt idx="3104">
                  <c:v>3.1040000000000001</c:v>
                </c:pt>
                <c:pt idx="3105">
                  <c:v>3.105</c:v>
                </c:pt>
                <c:pt idx="3106">
                  <c:v>3.1059999999999999</c:v>
                </c:pt>
                <c:pt idx="3107">
                  <c:v>3.1070000000000002</c:v>
                </c:pt>
                <c:pt idx="3108">
                  <c:v>3.1080000000000001</c:v>
                </c:pt>
                <c:pt idx="3109">
                  <c:v>3.109</c:v>
                </c:pt>
                <c:pt idx="3110">
                  <c:v>3.11</c:v>
                </c:pt>
                <c:pt idx="3111">
                  <c:v>3.1110000000000002</c:v>
                </c:pt>
                <c:pt idx="3112">
                  <c:v>3.1120000000000001</c:v>
                </c:pt>
                <c:pt idx="3113">
                  <c:v>3.113</c:v>
                </c:pt>
                <c:pt idx="3114">
                  <c:v>3.1139999999999999</c:v>
                </c:pt>
                <c:pt idx="3115">
                  <c:v>3.1150000000000002</c:v>
                </c:pt>
                <c:pt idx="3116">
                  <c:v>3.1160000000000001</c:v>
                </c:pt>
                <c:pt idx="3117">
                  <c:v>3.117</c:v>
                </c:pt>
                <c:pt idx="3118">
                  <c:v>3.1179999999999999</c:v>
                </c:pt>
                <c:pt idx="3119">
                  <c:v>3.1190000000000002</c:v>
                </c:pt>
                <c:pt idx="3120">
                  <c:v>3.12</c:v>
                </c:pt>
                <c:pt idx="3121">
                  <c:v>3.121</c:v>
                </c:pt>
                <c:pt idx="3122">
                  <c:v>3.1219999999999999</c:v>
                </c:pt>
                <c:pt idx="3123">
                  <c:v>3.1230000000000002</c:v>
                </c:pt>
                <c:pt idx="3124">
                  <c:v>3.1240000000000001</c:v>
                </c:pt>
                <c:pt idx="3125">
                  <c:v>3.125</c:v>
                </c:pt>
                <c:pt idx="3126">
                  <c:v>3.1259999999999999</c:v>
                </c:pt>
                <c:pt idx="3127">
                  <c:v>3.1269999999999998</c:v>
                </c:pt>
                <c:pt idx="3128">
                  <c:v>3.1280000000000001</c:v>
                </c:pt>
                <c:pt idx="3129">
                  <c:v>3.129</c:v>
                </c:pt>
                <c:pt idx="3130">
                  <c:v>3.13</c:v>
                </c:pt>
                <c:pt idx="3131">
                  <c:v>3.1309999999999998</c:v>
                </c:pt>
                <c:pt idx="3132">
                  <c:v>3.1320000000000001</c:v>
                </c:pt>
                <c:pt idx="3133">
                  <c:v>3.133</c:v>
                </c:pt>
                <c:pt idx="3134">
                  <c:v>3.1339999999999999</c:v>
                </c:pt>
                <c:pt idx="3135">
                  <c:v>3.1349999999999998</c:v>
                </c:pt>
                <c:pt idx="3136">
                  <c:v>3.1360000000000001</c:v>
                </c:pt>
                <c:pt idx="3137">
                  <c:v>3.137</c:v>
                </c:pt>
                <c:pt idx="3138">
                  <c:v>3.1379999999999999</c:v>
                </c:pt>
                <c:pt idx="3139">
                  <c:v>3.1389999999999998</c:v>
                </c:pt>
                <c:pt idx="3140">
                  <c:v>3.14</c:v>
                </c:pt>
                <c:pt idx="3141">
                  <c:v>3.141</c:v>
                </c:pt>
                <c:pt idx="3142">
                  <c:v>3.1419999999999999</c:v>
                </c:pt>
                <c:pt idx="3143">
                  <c:v>3.1429999999999998</c:v>
                </c:pt>
                <c:pt idx="3144">
                  <c:v>3.1440000000000001</c:v>
                </c:pt>
                <c:pt idx="3145">
                  <c:v>3.145</c:v>
                </c:pt>
                <c:pt idx="3146">
                  <c:v>3.1459999999999999</c:v>
                </c:pt>
                <c:pt idx="3147">
                  <c:v>3.1469999999999998</c:v>
                </c:pt>
                <c:pt idx="3148">
                  <c:v>3.1480000000000001</c:v>
                </c:pt>
                <c:pt idx="3149">
                  <c:v>3.149</c:v>
                </c:pt>
                <c:pt idx="3150">
                  <c:v>3.15</c:v>
                </c:pt>
                <c:pt idx="3151">
                  <c:v>3.1509999999999998</c:v>
                </c:pt>
                <c:pt idx="3152">
                  <c:v>3.1520000000000001</c:v>
                </c:pt>
                <c:pt idx="3153">
                  <c:v>3.153</c:v>
                </c:pt>
                <c:pt idx="3154">
                  <c:v>3.1539999999999999</c:v>
                </c:pt>
                <c:pt idx="3155">
                  <c:v>3.1549999999999998</c:v>
                </c:pt>
                <c:pt idx="3156">
                  <c:v>3.1560000000000001</c:v>
                </c:pt>
                <c:pt idx="3157">
                  <c:v>3.157</c:v>
                </c:pt>
                <c:pt idx="3158">
                  <c:v>3.1579999999999999</c:v>
                </c:pt>
                <c:pt idx="3159">
                  <c:v>3.1589999999999998</c:v>
                </c:pt>
                <c:pt idx="3160">
                  <c:v>3.16</c:v>
                </c:pt>
                <c:pt idx="3161">
                  <c:v>3.161</c:v>
                </c:pt>
                <c:pt idx="3162">
                  <c:v>3.1619999999999999</c:v>
                </c:pt>
                <c:pt idx="3163">
                  <c:v>3.1629999999999998</c:v>
                </c:pt>
                <c:pt idx="3164">
                  <c:v>3.1640000000000001</c:v>
                </c:pt>
                <c:pt idx="3165">
                  <c:v>3.165</c:v>
                </c:pt>
                <c:pt idx="3166">
                  <c:v>3.1659999999999999</c:v>
                </c:pt>
                <c:pt idx="3167">
                  <c:v>3.1669999999999998</c:v>
                </c:pt>
                <c:pt idx="3168">
                  <c:v>3.1680000000000001</c:v>
                </c:pt>
                <c:pt idx="3169">
                  <c:v>3.169</c:v>
                </c:pt>
                <c:pt idx="3170">
                  <c:v>3.17</c:v>
                </c:pt>
                <c:pt idx="3171">
                  <c:v>3.1709999999999998</c:v>
                </c:pt>
                <c:pt idx="3172">
                  <c:v>3.1720000000000002</c:v>
                </c:pt>
                <c:pt idx="3173">
                  <c:v>3.173</c:v>
                </c:pt>
                <c:pt idx="3174">
                  <c:v>3.1739999999999999</c:v>
                </c:pt>
                <c:pt idx="3175">
                  <c:v>3.1749999999999998</c:v>
                </c:pt>
                <c:pt idx="3176">
                  <c:v>3.1760000000000002</c:v>
                </c:pt>
                <c:pt idx="3177">
                  <c:v>3.177</c:v>
                </c:pt>
                <c:pt idx="3178">
                  <c:v>3.1779999999999999</c:v>
                </c:pt>
                <c:pt idx="3179">
                  <c:v>3.1789999999999998</c:v>
                </c:pt>
                <c:pt idx="3180">
                  <c:v>3.18</c:v>
                </c:pt>
                <c:pt idx="3181">
                  <c:v>3.181</c:v>
                </c:pt>
                <c:pt idx="3182">
                  <c:v>3.1819999999999999</c:v>
                </c:pt>
                <c:pt idx="3183">
                  <c:v>3.1829999999999998</c:v>
                </c:pt>
                <c:pt idx="3184">
                  <c:v>3.1840000000000002</c:v>
                </c:pt>
                <c:pt idx="3185">
                  <c:v>3.1850000000000001</c:v>
                </c:pt>
                <c:pt idx="3186">
                  <c:v>3.1859999999999999</c:v>
                </c:pt>
                <c:pt idx="3187">
                  <c:v>3.1869999999999998</c:v>
                </c:pt>
                <c:pt idx="3188">
                  <c:v>3.1880000000000002</c:v>
                </c:pt>
                <c:pt idx="3189">
                  <c:v>3.1890000000000001</c:v>
                </c:pt>
                <c:pt idx="3190">
                  <c:v>3.19</c:v>
                </c:pt>
                <c:pt idx="3191">
                  <c:v>3.1909999999999998</c:v>
                </c:pt>
                <c:pt idx="3192">
                  <c:v>3.1920000000000002</c:v>
                </c:pt>
                <c:pt idx="3193">
                  <c:v>3.1930000000000001</c:v>
                </c:pt>
                <c:pt idx="3194">
                  <c:v>3.194</c:v>
                </c:pt>
                <c:pt idx="3195">
                  <c:v>3.1949999999999998</c:v>
                </c:pt>
                <c:pt idx="3196">
                  <c:v>3.1960000000000002</c:v>
                </c:pt>
                <c:pt idx="3197">
                  <c:v>3.1970000000000001</c:v>
                </c:pt>
                <c:pt idx="3198">
                  <c:v>3.198</c:v>
                </c:pt>
                <c:pt idx="3199">
                  <c:v>3.1989999999999998</c:v>
                </c:pt>
                <c:pt idx="3200">
                  <c:v>3.2</c:v>
                </c:pt>
                <c:pt idx="3201">
                  <c:v>3.2010000000000001</c:v>
                </c:pt>
                <c:pt idx="3202">
                  <c:v>3.202</c:v>
                </c:pt>
                <c:pt idx="3203">
                  <c:v>3.2029999999999998</c:v>
                </c:pt>
                <c:pt idx="3204">
                  <c:v>3.2040000000000002</c:v>
                </c:pt>
                <c:pt idx="3205">
                  <c:v>3.2050000000000001</c:v>
                </c:pt>
                <c:pt idx="3206">
                  <c:v>3.206</c:v>
                </c:pt>
                <c:pt idx="3207">
                  <c:v>3.2069999999999999</c:v>
                </c:pt>
                <c:pt idx="3208">
                  <c:v>3.2080000000000002</c:v>
                </c:pt>
                <c:pt idx="3209">
                  <c:v>3.2090000000000001</c:v>
                </c:pt>
                <c:pt idx="3210">
                  <c:v>3.21</c:v>
                </c:pt>
                <c:pt idx="3211">
                  <c:v>3.2109999999999999</c:v>
                </c:pt>
                <c:pt idx="3212">
                  <c:v>3.2120000000000002</c:v>
                </c:pt>
                <c:pt idx="3213">
                  <c:v>3.2130000000000001</c:v>
                </c:pt>
                <c:pt idx="3214">
                  <c:v>3.214</c:v>
                </c:pt>
                <c:pt idx="3215">
                  <c:v>3.2149999999999999</c:v>
                </c:pt>
                <c:pt idx="3216">
                  <c:v>3.2160000000000002</c:v>
                </c:pt>
                <c:pt idx="3217">
                  <c:v>3.2170000000000001</c:v>
                </c:pt>
                <c:pt idx="3218">
                  <c:v>3.218</c:v>
                </c:pt>
                <c:pt idx="3219">
                  <c:v>3.2189999999999999</c:v>
                </c:pt>
                <c:pt idx="3220">
                  <c:v>3.22</c:v>
                </c:pt>
                <c:pt idx="3221">
                  <c:v>3.2210000000000001</c:v>
                </c:pt>
                <c:pt idx="3222">
                  <c:v>3.222</c:v>
                </c:pt>
                <c:pt idx="3223">
                  <c:v>3.2229999999999999</c:v>
                </c:pt>
                <c:pt idx="3224">
                  <c:v>3.2240000000000002</c:v>
                </c:pt>
                <c:pt idx="3225">
                  <c:v>3.2250000000000001</c:v>
                </c:pt>
                <c:pt idx="3226">
                  <c:v>3.226</c:v>
                </c:pt>
                <c:pt idx="3227">
                  <c:v>3.2269999999999999</c:v>
                </c:pt>
                <c:pt idx="3228">
                  <c:v>3.2280000000000002</c:v>
                </c:pt>
                <c:pt idx="3229">
                  <c:v>3.2290000000000001</c:v>
                </c:pt>
              </c:numCache>
            </c:numRef>
          </c:xVal>
          <c:yVal>
            <c:numRef>
              <c:f>Sheet2!$B$2:$B$3231</c:f>
              <c:numCache>
                <c:formatCode>General</c:formatCode>
                <c:ptCount val="3230"/>
                <c:pt idx="0">
                  <c:v>20</c:v>
                </c:pt>
                <c:pt idx="1">
                  <c:v>19.996733192062493</c:v>
                </c:pt>
                <c:pt idx="2">
                  <c:v>19.986933835453375</c:v>
                </c:pt>
                <c:pt idx="3">
                  <c:v>19.970605131434247</c:v>
                </c:pt>
                <c:pt idx="4">
                  <c:v>19.947752414279098</c:v>
                </c:pt>
                <c:pt idx="5">
                  <c:v>19.918383149531707</c:v>
                </c:pt>
                <c:pt idx="6">
                  <c:v>19.882506931566791</c:v>
                </c:pt>
                <c:pt idx="7">
                  <c:v>19.840135480455718</c:v>
                </c:pt>
                <c:pt idx="8">
                  <c:v>19.791282638137762</c:v>
                </c:pt>
                <c:pt idx="9">
                  <c:v>19.735964363898233</c:v>
                </c:pt>
                <c:pt idx="10">
                  <c:v>19.674198729154867</c:v>
                </c:pt>
                <c:pt idx="11">
                  <c:v>19.606005911554249</c:v>
                </c:pt>
                <c:pt idx="12">
                  <c:v>19.531408188380158</c:v>
                </c:pt>
                <c:pt idx="13">
                  <c:v>19.450429929276016</c:v>
                </c:pt>
                <c:pt idx="14">
                  <c:v>19.363097588283786</c:v>
                </c:pt>
                <c:pt idx="15">
                  <c:v>19.269439695201935</c:v>
                </c:pt>
                <c:pt idx="16">
                  <c:v>19.169486846265322</c:v>
                </c:pt>
                <c:pt idx="17">
                  <c:v>19.063271694149975</c:v>
                </c:pt>
                <c:pt idx="18">
                  <c:v>18.950828937306095</c:v>
                </c:pt>
                <c:pt idx="19">
                  <c:v>18.832195308622744</c:v>
                </c:pt>
                <c:pt idx="20">
                  <c:v>18.707409563427895</c:v>
                </c:pt>
                <c:pt idx="21">
                  <c:v>18.576512466827847</c:v>
                </c:pt>
                <c:pt idx="22">
                  <c:v>18.439546780390007</c:v>
                </c:pt>
                <c:pt idx="23">
                  <c:v>18.296557248173549</c:v>
                </c:pt>
                <c:pt idx="24">
                  <c:v>18.147590582112347</c:v>
                </c:pt>
                <c:pt idx="25">
                  <c:v>17.992695446755114</c:v>
                </c:pt>
                <c:pt idx="26">
                  <c:v>17.83192244336762</c:v>
                </c:pt>
                <c:pt idx="27">
                  <c:v>17.665324093402223</c:v>
                </c:pt>
                <c:pt idx="28">
                  <c:v>17.492954821340124</c:v>
                </c:pt>
                <c:pt idx="29">
                  <c:v>17.314870936911944</c:v>
                </c:pt>
                <c:pt idx="30">
                  <c:v>17.131130616702404</c:v>
                </c:pt>
                <c:pt idx="31">
                  <c:v>16.941793885145145</c:v>
                </c:pt>
                <c:pt idx="32">
                  <c:v>16.746922594913926</c:v>
                </c:pt>
                <c:pt idx="33">
                  <c:v>16.546580406716512</c:v>
                </c:pt>
                <c:pt idx="34">
                  <c:v>16.340832768497972</c:v>
                </c:pt>
                <c:pt idx="35">
                  <c:v>16.129746894060069</c:v>
                </c:pt>
                <c:pt idx="36">
                  <c:v>15.913391741103817</c:v>
                </c:pt>
                <c:pt idx="37">
                  <c:v>15.691837988702309</c:v>
                </c:pt>
                <c:pt idx="38">
                  <c:v>15.465158014211243</c:v>
                </c:pt>
                <c:pt idx="39">
                  <c:v>15.233425869624613</c:v>
                </c:pt>
                <c:pt idx="40">
                  <c:v>14.996717257383347</c:v>
                </c:pt>
                <c:pt idx="41">
                  <c:v>14.755109505644784</c:v>
                </c:pt>
                <c:pt idx="42">
                  <c:v>14.508681543021034</c:v>
                </c:pt>
                <c:pt idx="43">
                  <c:v>14.257513872794533</c:v>
                </c:pt>
                <c:pt idx="44">
                  <c:v>14.001688546619153</c:v>
                </c:pt>
                <c:pt idx="45">
                  <c:v>13.741289137715514</c:v>
                </c:pt>
                <c:pt idx="46">
                  <c:v>13.476400713569202</c:v>
                </c:pt>
                <c:pt idx="47">
                  <c:v>13.207109808140878</c:v>
                </c:pt>
                <c:pt idx="48">
                  <c:v>12.933504393597275</c:v>
                </c:pt>
                <c:pt idx="49">
                  <c:v>12.655673851572393</c:v>
                </c:pt>
                <c:pt idx="50">
                  <c:v>12.373708943968227</c:v>
                </c:pt>
                <c:pt idx="51">
                  <c:v>12.087701783304606</c:v>
                </c:pt>
                <c:pt idx="52">
                  <c:v>11.797745802627787</c:v>
                </c:pt>
                <c:pt idx="53">
                  <c:v>11.503935724987695</c:v>
                </c:pt>
                <c:pt idx="54">
                  <c:v>11.206367532493708</c:v>
                </c:pt>
                <c:pt idx="55">
                  <c:v>10.905138434959142</c:v>
                </c:pt>
                <c:pt idx="56">
                  <c:v>10.600346838144677</c:v>
                </c:pt>
                <c:pt idx="57">
                  <c:v>10.292092311611096</c:v>
                </c:pt>
                <c:pt idx="58">
                  <c:v>9.9804755561917951</c:v>
                </c:pt>
                <c:pt idx="59">
                  <c:v>9.6655983710957969</c:v>
                </c:pt>
                <c:pt idx="60">
                  <c:v>9.3475636206518473</c:v>
                </c:pt>
                <c:pt idx="61">
                  <c:v>9.0264752007046614</c:v>
                </c:pt>
                <c:pt idx="62">
                  <c:v>8.702438004674141</c:v>
                </c:pt>
                <c:pt idx="63">
                  <c:v>8.3755578892886859</c:v>
                </c:pt>
                <c:pt idx="64">
                  <c:v>8.0459416400038535</c:v>
                </c:pt>
                <c:pt idx="65">
                  <c:v>7.7136969361175858</c:v>
                </c:pt>
                <c:pt idx="66">
                  <c:v>7.3789323155934783</c:v>
                </c:pt>
                <c:pt idx="67">
                  <c:v>7.0417571396034786</c:v>
                </c:pt>
                <c:pt idx="68">
                  <c:v>6.7022815568017124</c:v>
                </c:pt>
                <c:pt idx="69">
                  <c:v>6.3606164673410248</c:v>
                </c:pt>
                <c:pt idx="70">
                  <c:v>6.0168734866440454</c:v>
                </c:pt>
                <c:pt idx="71">
                  <c:v>5.6711649089405549</c:v>
                </c:pt>
                <c:pt idx="72">
                  <c:v>5.3236036705831147</c:v>
                </c:pt>
                <c:pt idx="73">
                  <c:v>4.974303313152955</c:v>
                </c:pt>
                <c:pt idx="74">
                  <c:v>4.6233779463680911</c:v>
                </c:pt>
                <c:pt idx="75">
                  <c:v>4.2709422108059032</c:v>
                </c:pt>
                <c:pt idx="76">
                  <c:v>3.9171112404522241</c:v>
                </c:pt>
                <c:pt idx="77">
                  <c:v>3.5620006250893042</c:v>
                </c:pt>
                <c:pt idx="78">
                  <c:v>3.2057263725348388</c:v>
                </c:pt>
                <c:pt idx="79">
                  <c:v>2.8484048707444414</c:v>
                </c:pt>
                <c:pt idx="80">
                  <c:v>2.4901528497899501</c:v>
                </c:pt>
                <c:pt idx="81">
                  <c:v>2.1310873437259281</c:v>
                </c:pt>
                <c:pt idx="82">
                  <c:v>1.7713256523569054</c:v>
                </c:pt>
                <c:pt idx="83">
                  <c:v>1.4109853029177752</c:v>
                </c:pt>
                <c:pt idx="84">
                  <c:v>1.0501840116799213</c:v>
                </c:pt>
                <c:pt idx="85">
                  <c:v>0.6890396454955473</c:v>
                </c:pt>
                <c:pt idx="86">
                  <c:v>0.32767018329286157</c:v>
                </c:pt>
                <c:pt idx="87">
                  <c:v>-3.380632246539525E-2</c:v>
                </c:pt>
                <c:pt idx="88">
                  <c:v>-0.39527178434739968</c:v>
                </c:pt>
                <c:pt idx="89">
                  <c:v>-0.75660811852914178</c:v>
                </c:pt>
                <c:pt idx="90">
                  <c:v>-1.1176972833701646</c:v>
                </c:pt>
                <c:pt idx="91">
                  <c:v>-1.4784213179754826</c:v>
                </c:pt>
                <c:pt idx="92">
                  <c:v>-1.8386623807311508</c:v>
                </c:pt>
                <c:pt idx="93">
                  <c:v>-2.1983027878008374</c:v>
                </c:pt>
                <c:pt idx="94">
                  <c:v>-2.5572250515709003</c:v>
                </c:pt>
                <c:pt idx="95">
                  <c:v>-2.9153119190313168</c:v>
                </c:pt>
                <c:pt idx="96">
                  <c:v>-3.272446410079997</c:v>
                </c:pt>
                <c:pt idx="97">
                  <c:v>-3.628511855737921</c:v>
                </c:pt>
                <c:pt idx="98">
                  <c:v>-3.9833919362626782</c:v>
                </c:pt>
                <c:pt idx="99">
                  <c:v>-4.3369707191478755</c:v>
                </c:pt>
                <c:pt idx="100">
                  <c:v>-4.6891326969960687</c:v>
                </c:pt>
                <c:pt idx="101">
                  <c:v>-5.0397628252528071</c:v>
                </c:pt>
                <c:pt idx="102">
                  <c:v>-5.3887465597894675</c:v>
                </c:pt>
                <c:pt idx="103">
                  <c:v>-5.7359698943226594</c:v>
                </c:pt>
                <c:pt idx="104">
                  <c:v>-6.0813193976578406</c:v>
                </c:pt>
                <c:pt idx="105">
                  <c:v>-6.4246822507451444</c:v>
                </c:pt>
                <c:pt idx="106">
                  <c:v>-6.7659462835351816</c:v>
                </c:pt>
                <c:pt idx="107">
                  <c:v>-7.1050000116228329</c:v>
                </c:pt>
                <c:pt idx="108">
                  <c:v>-7.4417326726670874</c:v>
                </c:pt>
                <c:pt idx="109">
                  <c:v>-7.7760342625749548</c:v>
                </c:pt>
                <c:pt idx="110">
                  <c:v>-8.107795571437693</c:v>
                </c:pt>
                <c:pt idx="111">
                  <c:v>-8.4369082192075808</c:v>
                </c:pt>
                <c:pt idx="112">
                  <c:v>-8.7632646911036147</c:v>
                </c:pt>
                <c:pt idx="113">
                  <c:v>-9.0867583727345096</c:v>
                </c:pt>
                <c:pt idx="114">
                  <c:v>-9.4072835849275762</c:v>
                </c:pt>
                <c:pt idx="115">
                  <c:v>-9.7247356182520814</c:v>
                </c:pt>
                <c:pt idx="116">
                  <c:v>-10.039010767225808</c:v>
                </c:pt>
                <c:pt idx="117">
                  <c:v>-10.350006364193611</c:v>
                </c:pt>
                <c:pt idx="118">
                  <c:v>-10.657620812867028</c:v>
                </c:pt>
                <c:pt idx="119">
                  <c:v>-10.961753621513811</c:v>
                </c:pt>
                <c:pt idx="120">
                  <c:v>-11.262305435786615</c:v>
                </c:pt>
                <c:pt idx="121">
                  <c:v>-11.559178071180199</c:v>
                </c:pt>
                <c:pt idx="122">
                  <c:v>-11.852274545106376</c:v>
                </c:pt>
                <c:pt idx="123">
                  <c:v>-12.141499108576404</c:v>
                </c:pt>
                <c:pt idx="124">
                  <c:v>-12.426757277480316</c:v>
                </c:pt>
                <c:pt idx="125">
                  <c:v>-12.707955863453073</c:v>
                </c:pt>
                <c:pt idx="126">
                  <c:v>-12.985003004317404</c:v>
                </c:pt>
                <c:pt idx="127">
                  <c:v>-13.25780819409343</c:v>
                </c:pt>
                <c:pt idx="128">
                  <c:v>-13.526282312565211</c:v>
                </c:pt>
                <c:pt idx="129">
                  <c:v>-13.790337654394627</c:v>
                </c:pt>
                <c:pt idx="130">
                  <c:v>-14.049887957773016</c:v>
                </c:pt>
                <c:pt idx="131">
                  <c:v>-14.304848432601247</c:v>
                </c:pt>
                <c:pt idx="132">
                  <c:v>-14.555135788189029</c:v>
                </c:pt>
                <c:pt idx="133">
                  <c:v>-14.800668260464372</c:v>
                </c:pt>
                <c:pt idx="134">
                  <c:v>-15.041365638684344</c:v>
                </c:pt>
                <c:pt idx="135">
                  <c:v>-15.277149291638374</c:v>
                </c:pt>
                <c:pt idx="136">
                  <c:v>-15.507942193335563</c:v>
                </c:pt>
                <c:pt idx="137">
                  <c:v>-15.733668948167587</c:v>
                </c:pt>
                <c:pt idx="138">
                  <c:v>-15.954255815539018</c:v>
                </c:pt>
                <c:pt idx="139">
                  <c:v>-16.169630733956918</c:v>
                </c:pt>
                <c:pt idx="140">
                  <c:v>-16.379723344571993</c:v>
                </c:pt>
                <c:pt idx="141">
                  <c:v>-16.584465014163438</c:v>
                </c:pt>
                <c:pt idx="142">
                  <c:v>-16.783788857560126</c:v>
                </c:pt>
                <c:pt idx="143">
                  <c:v>-16.977629759490682</c:v>
                </c:pt>
                <c:pt idx="144">
                  <c:v>-17.165924395855399</c:v>
                </c:pt>
                <c:pt idx="145">
                  <c:v>-17.348611254413008</c:v>
                </c:pt>
                <c:pt idx="146">
                  <c:v>-17.525630654875556</c:v>
                </c:pt>
                <c:pt idx="147">
                  <c:v>-17.696924768404777</c:v>
                </c:pt>
                <c:pt idx="148">
                  <c:v>-17.862437636503717</c:v>
                </c:pt>
                <c:pt idx="149">
                  <c:v>-18.022115189297232</c:v>
                </c:pt>
                <c:pt idx="150">
                  <c:v>-18.175905263195638</c:v>
                </c:pt>
                <c:pt idx="151">
                  <c:v>-18.323757617935524</c:v>
                </c:pt>
                <c:pt idx="152">
                  <c:v>-18.465623952992281</c:v>
                </c:pt>
                <c:pt idx="153">
                  <c:v>-18.601457923358975</c:v>
                </c:pt>
                <c:pt idx="154">
                  <c:v>-18.731215154686339</c:v>
                </c:pt>
                <c:pt idx="155">
                  <c:v>-18.854853257779055</c:v>
                </c:pt>
                <c:pt idx="156">
                  <c:v>-18.972331842443463</c:v>
                </c:pt>
                <c:pt idx="157">
                  <c:v>-19.083612530682281</c:v>
                </c:pt>
                <c:pt idx="158">
                  <c:v>-19.188658969231934</c:v>
                </c:pt>
                <c:pt idx="159">
                  <c:v>-19.287436841438506</c:v>
                </c:pt>
                <c:pt idx="160">
                  <c:v>-19.379913878468301</c:v>
                </c:pt>
                <c:pt idx="161">
                  <c:v>-19.466059869849449</c:v>
                </c:pt>
                <c:pt idx="162">
                  <c:v>-19.545846673341117</c:v>
                </c:pt>
                <c:pt idx="163">
                  <c:v>-19.619248224127006</c:v>
                </c:pt>
                <c:pt idx="164">
                  <c:v>-19.686240543330239</c:v>
                </c:pt>
                <c:pt idx="165">
                  <c:v>-19.74680174584681</c:v>
                </c:pt>
                <c:pt idx="166">
                  <c:v>-19.800912047495004</c:v>
                </c:pt>
                <c:pt idx="167">
                  <c:v>-19.848553771478532</c:v>
                </c:pt>
                <c:pt idx="168">
                  <c:v>-19.889711354161186</c:v>
                </c:pt>
                <c:pt idx="169">
                  <c:v>-19.924371350151191</c:v>
                </c:pt>
                <c:pt idx="170">
                  <c:v>-19.952522436693535</c:v>
                </c:pt>
                <c:pt idx="171">
                  <c:v>-19.974155417368934</c:v>
                </c:pt>
                <c:pt idx="172">
                  <c:v>-19.989263225098082</c:v>
                </c:pt>
                <c:pt idx="173">
                  <c:v>-19.997840924450362</c:v>
                </c:pt>
                <c:pt idx="174">
                  <c:v>-19.999885713256134</c:v>
                </c:pt>
                <c:pt idx="175">
                  <c:v>-19.995396923522179</c:v>
                </c:pt>
                <c:pt idx="176">
                  <c:v>-19.984376021649883</c:v>
                </c:pt>
                <c:pt idx="177">
                  <c:v>-19.966826607956214</c:v>
                </c:pt>
                <c:pt idx="178">
                  <c:v>-19.942754415497578</c:v>
                </c:pt>
                <c:pt idx="179">
                  <c:v>-19.91216730819691</c:v>
                </c:pt>
                <c:pt idx="180">
                  <c:v>-19.875075278274696</c:v>
                </c:pt>
                <c:pt idx="181">
                  <c:v>-19.83149044298472</c:v>
                </c:pt>
                <c:pt idx="182">
                  <c:v>-19.781427040655565</c:v>
                </c:pt>
                <c:pt idx="183">
                  <c:v>-19.724901426039242</c:v>
                </c:pt>
                <c:pt idx="184">
                  <c:v>-19.661932064968404</c:v>
                </c:pt>
                <c:pt idx="185">
                  <c:v>-19.592539528323911</c:v>
                </c:pt>
                <c:pt idx="186">
                  <c:v>-19.516746485314705</c:v>
                </c:pt>
                <c:pt idx="187">
                  <c:v>-19.434577696072246</c:v>
                </c:pt>
                <c:pt idx="188">
                  <c:v>-19.346060003561821</c:v>
                </c:pt>
                <c:pt idx="189">
                  <c:v>-19.25122232481348</c:v>
                </c:pt>
                <c:pt idx="190">
                  <c:v>-19.150095641475392</c:v>
                </c:pt>
                <c:pt idx="191">
                  <c:v>-19.042712989692745</c:v>
                </c:pt>
                <c:pt idx="192">
                  <c:v>-18.929109449315455</c:v>
                </c:pt>
                <c:pt idx="193">
                  <c:v>-18.809322132438265</c:v>
                </c:pt>
                <c:pt idx="194">
                  <c:v>-18.683390171276933</c:v>
                </c:pt>
                <c:pt idx="195">
                  <c:v>-18.551354705384494</c:v>
                </c:pt>
                <c:pt idx="196">
                  <c:v>-18.413258868211749</c:v>
                </c:pt>
                <c:pt idx="197">
                  <c:v>-18.269147773016392</c:v>
                </c:pt>
                <c:pt idx="198">
                  <c:v>-18.119068498125397</c:v>
                </c:pt>
                <c:pt idx="199">
                  <c:v>-17.963070071555403</c:v>
                </c:pt>
                <c:pt idx="200">
                  <c:v>-17.801203454996237</c:v>
                </c:pt>
                <c:pt idx="201">
                  <c:v>-17.633521527162667</c:v>
                </c:pt>
                <c:pt idx="202">
                  <c:v>-17.460079066519985</c:v>
                </c:pt>
                <c:pt idx="203">
                  <c:v>-17.280932733388898</c:v>
                </c:pt>
                <c:pt idx="204">
                  <c:v>-17.096141051435719</c:v>
                </c:pt>
                <c:pt idx="205">
                  <c:v>-16.905764388553774</c:v>
                </c:pt>
                <c:pt idx="206">
                  <c:v>-16.709864937142413</c:v>
                </c:pt>
                <c:pt idx="207">
                  <c:v>-16.508506693789911</c:v>
                </c:pt>
                <c:pt idx="208">
                  <c:v>-16.301755438367046</c:v>
                </c:pt>
                <c:pt idx="209">
                  <c:v>-16.089678712538042</c:v>
                </c:pt>
                <c:pt idx="210">
                  <c:v>-15.872345797696031</c:v>
                </c:pt>
                <c:pt idx="211">
                  <c:v>-15.649827692330135</c:v>
                </c:pt>
                <c:pt idx="212">
                  <c:v>-15.422197088831647</c:v>
                </c:pt>
                <c:pt idx="213">
                  <c:v>-15.1895283497468</c:v>
                </c:pt>
                <c:pt idx="214">
                  <c:v>-14.951897483483954</c:v>
                </c:pt>
                <c:pt idx="215">
                  <c:v>-14.709382119483124</c:v>
                </c:pt>
                <c:pt idx="216">
                  <c:v>-14.462061482855917</c:v>
                </c:pt>
                <c:pt idx="217">
                  <c:v>-14.210016368504215</c:v>
                </c:pt>
                <c:pt idx="218">
                  <c:v>-13.953329114726039</c:v>
                </c:pt>
                <c:pt idx="219">
                  <c:v>-13.692083576317192</c:v>
                </c:pt>
                <c:pt idx="220">
                  <c:v>-13.426365097177532</c:v>
                </c:pt>
                <c:pt idx="221">
                  <c:v>-13.156260482430742</c:v>
                </c:pt>
                <c:pt idx="222">
                  <c:v>-12.881857970066758</c:v>
                </c:pt>
                <c:pt idx="223">
                  <c:v>-12.603247202116126</c:v>
                </c:pt>
                <c:pt idx="224">
                  <c:v>-12.320519195365669</c:v>
                </c:pt>
                <c:pt idx="225">
                  <c:v>-12.033766311625044</c:v>
                </c:pt>
                <c:pt idx="226">
                  <c:v>-11.743082227553929</c:v>
                </c:pt>
                <c:pt idx="227">
                  <c:v>-11.448561904059636</c:v>
                </c:pt>
                <c:pt idx="228">
                  <c:v>-11.150301555275215</c:v>
                </c:pt>
                <c:pt idx="229">
                  <c:v>-10.848398617128156</c:v>
                </c:pt>
                <c:pt idx="230">
                  <c:v>-10.542951715509929</c:v>
                </c:pt>
                <c:pt idx="231">
                  <c:v>-10.234060634056803</c:v>
                </c:pt>
                <c:pt idx="232">
                  <c:v>-9.9218262815524341</c:v>
                </c:pt>
                <c:pt idx="233">
                  <c:v>-9.6063506589629633</c:v>
                </c:pt>
                <c:pt idx="234">
                  <c:v>-9.2877368261151734</c:v>
                </c:pt>
                <c:pt idx="235">
                  <c:v>-8.9660888680288959</c:v>
                </c:pt>
                <c:pt idx="236">
                  <c:v>-8.6415118609143526</c:v>
                </c:pt>
                <c:pt idx="237">
                  <c:v>-8.3141118378458803</c:v>
                </c:pt>
                <c:pt idx="238">
                  <c:v>-7.9839957541228852</c:v>
                </c:pt>
                <c:pt idx="239">
                  <c:v>-7.651271452329631</c:v>
                </c:pt>
                <c:pt idx="240">
                  <c:v>-7.3160476271051262</c:v>
                </c:pt>
                <c:pt idx="241">
                  <c:v>-6.9784337896346802</c:v>
                </c:pt>
                <c:pt idx="242">
                  <c:v>-6.6385402318746811</c:v>
                </c:pt>
                <c:pt idx="243">
                  <c:v>-6.2964779905224031</c:v>
                </c:pt>
                <c:pt idx="244">
                  <c:v>-5.9523588107423464</c:v>
                </c:pt>
                <c:pt idx="245">
                  <c:v>-5.606295109661307</c:v>
                </c:pt>
                <c:pt idx="246">
                  <c:v>-5.2583999396438408</c:v>
                </c:pt>
                <c:pt idx="247">
                  <c:v>-4.9087869513602325</c:v>
                </c:pt>
                <c:pt idx="248">
                  <c:v>-4.5575703566590011</c:v>
                </c:pt>
                <c:pt idx="249">
                  <c:v>-4.2048648912560802</c:v>
                </c:pt>
                <c:pt idx="250">
                  <c:v>-3.8507857772528684</c:v>
                </c:pt>
                <c:pt idx="251">
                  <c:v>-3.4954486854953797</c:v>
                </c:pt>
                <c:pt idx="252">
                  <c:v>-3.1389696977867976</c:v>
                </c:pt>
                <c:pt idx="253">
                  <c:v>-2.7814652689657828</c:v>
                </c:pt>
                <c:pt idx="254">
                  <c:v>-2.4230521888629117</c:v>
                </c:pt>
                <c:pt idx="255">
                  <c:v>-2.0638475441476829</c:v>
                </c:pt>
                <c:pt idx="256">
                  <c:v>-1.7039686800785516</c:v>
                </c:pt>
                <c:pt idx="257">
                  <c:v>-1.3435331621684856</c:v>
                </c:pt>
                <c:pt idx="258">
                  <c:v>-0.98265873777857171</c:v>
                </c:pt>
                <c:pt idx="259">
                  <c:v>-0.62146329765219632</c:v>
                </c:pt>
                <c:pt idx="260">
                  <c:v>-0.26006483740247471</c:v>
                </c:pt>
                <c:pt idx="261">
                  <c:v>0.10141858103475629</c:v>
                </c:pt>
                <c:pt idx="262">
                  <c:v>0.46286886796943377</c:v>
                </c:pt>
                <c:pt idx="263">
                  <c:v>0.82416794453492037</c:v>
                </c:pt>
                <c:pt idx="264">
                  <c:v>1.1851977812621024</c:v>
                </c:pt>
                <c:pt idx="265">
                  <c:v>1.5458404366373499</c:v>
                </c:pt>
                <c:pt idx="266">
                  <c:v>1.9059780956317445</c:v>
                </c:pt>
                <c:pt idx="267">
                  <c:v>2.2654931081889864</c:v>
                </c:pt>
                <c:pt idx="268">
                  <c:v>2.6242680276594084</c:v>
                </c:pt>
                <c:pt idx="269">
                  <c:v>2.9821856491675391</c:v>
                </c:pt>
                <c:pt idx="270">
                  <c:v>3.3391290479006877</c:v>
                </c:pt>
                <c:pt idx="271">
                  <c:v>3.6949816173060315</c:v>
                </c:pt>
                <c:pt idx="272">
                  <c:v>4.0496271071837384</c:v>
                </c:pt>
                <c:pt idx="273">
                  <c:v>4.4029496616636763</c:v>
                </c:pt>
                <c:pt idx="274">
                  <c:v>4.7548338570532964</c:v>
                </c:pt>
                <c:pt idx="275">
                  <c:v>5.1051647395443407</c:v>
                </c:pt>
                <c:pt idx="276">
                  <c:v>5.4538278627660599</c:v>
                </c:pt>
                <c:pt idx="277">
                  <c:v>5.8007093251725719</c:v>
                </c:pt>
                <c:pt idx="278">
                  <c:v>6.1456958072524195</c:v>
                </c:pt>
                <c:pt idx="279">
                  <c:v>6.4886746085478011</c:v>
                </c:pt>
                <c:pt idx="280">
                  <c:v>6.8295336844716727</c:v>
                </c:pt>
                <c:pt idx="281">
                  <c:v>7.1681616829105526</c:v>
                </c:pt>
                <c:pt idx="282">
                  <c:v>7.5044479806011077</c:v>
                </c:pt>
                <c:pt idx="283">
                  <c:v>7.8382827192687143</c:v>
                </c:pt>
                <c:pt idx="284">
                  <c:v>8.1695568415159485</c:v>
                </c:pt>
                <c:pt idx="285">
                  <c:v>8.4981621264496017</c:v>
                </c:pt>
                <c:pt idx="286">
                  <c:v>8.8239912250343639</c:v>
                </c:pt>
                <c:pt idx="287">
                  <c:v>9.1469376951616805</c:v>
                </c:pt>
                <c:pt idx="288">
                  <c:v>9.4668960364223516</c:v>
                </c:pt>
                <c:pt idx="289">
                  <c:v>9.7837617245714892</c:v>
                </c:pt>
                <c:pt idx="290">
                  <c:v>10.097431245674573</c:v>
                </c:pt>
                <c:pt idx="291">
                  <c:v>10.407802129923475</c:v>
                </c:pt>
                <c:pt idx="292">
                  <c:v>10.714772985111374</c:v>
                </c:pt>
                <c:pt idx="293">
                  <c:v>11.018243529755633</c:v>
                </c:pt>
                <c:pt idx="294">
                  <c:v>11.318114625857856</c:v>
                </c:pt>
                <c:pt idx="295">
                  <c:v>11.614288311290338</c:v>
                </c:pt>
                <c:pt idx="296">
                  <c:v>11.906667831798449</c:v>
                </c:pt>
                <c:pt idx="297">
                  <c:v>12.195157672608328</c:v>
                </c:pt>
                <c:pt idx="298">
                  <c:v>12.479663589629801</c:v>
                </c:pt>
                <c:pt idx="299">
                  <c:v>12.760092640244071</c:v>
                </c:pt>
                <c:pt idx="300">
                  <c:v>13.036353213666292</c:v>
                </c:pt>
                <c:pt idx="301">
                  <c:v>13.308355060873057</c:v>
                </c:pt>
                <c:pt idx="302">
                  <c:v>13.576009324085014</c:v>
                </c:pt>
                <c:pt idx="303">
                  <c:v>13.839228565795011</c:v>
                </c:pt>
                <c:pt idx="304">
                  <c:v>14.097926797332237</c:v>
                </c:pt>
                <c:pt idx="305">
                  <c:v>14.352019506953068</c:v>
                </c:pt>
                <c:pt idx="306">
                  <c:v>14.60142368744944</c:v>
                </c:pt>
                <c:pt idx="307">
                  <c:v>14.846057863265703</c:v>
                </c:pt>
                <c:pt idx="308">
                  <c:v>15.085842117115122</c:v>
                </c:pt>
                <c:pt idx="309">
                  <c:v>15.320698116087323</c:v>
                </c:pt>
                <c:pt idx="310">
                  <c:v>15.550549137238143</c:v>
                </c:pt>
                <c:pt idx="311">
                  <c:v>15.775320092653551</c:v>
                </c:pt>
                <c:pt idx="312">
                  <c:v>15.994937553979414</c:v>
                </c:pt>
                <c:pt idx="313">
                  <c:v>16.20932977640916</c:v>
                </c:pt>
                <c:pt idx="314">
                  <c:v>16.418426722121367</c:v>
                </c:pt>
                <c:pt idx="315">
                  <c:v>16.622160083159851</c:v>
                </c:pt>
                <c:pt idx="316">
                  <c:v>16.820463303748515</c:v>
                </c:pt>
                <c:pt idx="317">
                  <c:v>17.013271602033853</c:v>
                </c:pt>
                <c:pt idx="318">
                  <c:v>17.200521991247943</c:v>
                </c:pt>
                <c:pt idx="319">
                  <c:v>17.382153300284997</c:v>
                </c:pt>
                <c:pt idx="320">
                  <c:v>17.558106193684818</c:v>
                </c:pt>
                <c:pt idx="321">
                  <c:v>17.728323191016525</c:v>
                </c:pt>
                <c:pt idx="322">
                  <c:v>17.892748685656318</c:v>
                </c:pt>
                <c:pt idx="323">
                  <c:v>18.051328962953097</c:v>
                </c:pt>
                <c:pt idx="324">
                  <c:v>18.204012217776</c:v>
                </c:pt>
                <c:pt idx="325">
                  <c:v>18.35074857143815</c:v>
                </c:pt>
                <c:pt idx="326">
                  <c:v>18.49149008799106</c:v>
                </c:pt>
                <c:pt idx="327">
                  <c:v>18.62619078988439</c:v>
                </c:pt>
                <c:pt idx="328">
                  <c:v>18.754806672985925</c:v>
                </c:pt>
                <c:pt idx="329">
                  <c:v>18.877295720956884</c:v>
                </c:pt>
                <c:pt idx="330">
                  <c:v>18.993617918977858</c:v>
                </c:pt>
                <c:pt idx="331">
                  <c:v>19.103735266820852</c:v>
                </c:pt>
                <c:pt idx="332">
                  <c:v>19.207611791263275</c:v>
                </c:pt>
                <c:pt idx="333">
                  <c:v>19.305213557839672</c:v>
                </c:pt>
                <c:pt idx="334">
                  <c:v>19.396508681927465</c:v>
                </c:pt>
                <c:pt idx="335">
                  <c:v>19.481467339163046</c:v>
                </c:pt>
                <c:pt idx="336">
                  <c:v>19.560061775184842</c:v>
                </c:pt>
                <c:pt idx="337">
                  <c:v>19.632266314700104</c:v>
                </c:pt>
                <c:pt idx="338">
                  <c:v>19.698057369872551</c:v>
                </c:pt>
                <c:pt idx="339">
                  <c:v>19.757413448028057</c:v>
                </c:pt>
                <c:pt idx="340">
                  <c:v>19.810315158675898</c:v>
                </c:pt>
                <c:pt idx="341">
                  <c:v>19.856745219843251</c:v>
                </c:pt>
                <c:pt idx="342">
                  <c:v>19.896688463720874</c:v>
                </c:pt>
                <c:pt idx="343">
                  <c:v>19.930131841618156</c:v>
                </c:pt>
                <c:pt idx="344">
                  <c:v>19.957064428225859</c:v>
                </c:pt>
                <c:pt idx="345">
                  <c:v>19.977477425185214</c:v>
                </c:pt>
                <c:pt idx="346">
                  <c:v>19.991364163962167</c:v>
                </c:pt>
                <c:pt idx="347">
                  <c:v>19.998720108025875</c:v>
                </c:pt>
                <c:pt idx="348">
                  <c:v>19.999542854330691</c:v>
                </c:pt>
                <c:pt idx="349">
                  <c:v>19.993832134101204</c:v>
                </c:pt>
                <c:pt idx="350">
                  <c:v>19.981589812920021</c:v>
                </c:pt>
                <c:pt idx="351">
                  <c:v>19.962819890118354</c:v>
                </c:pt>
                <c:pt idx="352">
                  <c:v>19.937528497469476</c:v>
                </c:pt>
                <c:pt idx="353">
                  <c:v>19.905723897185617</c:v>
                </c:pt>
                <c:pt idx="354">
                  <c:v>19.867416479218839</c:v>
                </c:pt>
                <c:pt idx="355">
                  <c:v>19.822618757866849</c:v>
                </c:pt>
                <c:pt idx="356">
                  <c:v>19.77134536768482</c:v>
                </c:pt>
                <c:pt idx="357">
                  <c:v>19.713613058704553</c:v>
                </c:pt>
                <c:pt idx="358">
                  <c:v>19.649440690962571</c:v>
                </c:pt>
                <c:pt idx="359">
                  <c:v>19.578849228338903</c:v>
                </c:pt>
                <c:pt idx="360">
                  <c:v>19.501861731708598</c:v>
                </c:pt>
                <c:pt idx="361">
                  <c:v>19.418503351408155</c:v>
                </c:pt>
                <c:pt idx="362">
                  <c:v>19.328801319019419</c:v>
                </c:pt>
                <c:pt idx="363">
                  <c:v>19.232784938473536</c:v>
                </c:pt>
                <c:pt idx="364">
                  <c:v>19.130485576477913</c:v>
                </c:pt>
                <c:pt idx="365">
                  <c:v>19.021936652269325</c:v>
                </c:pt>
                <c:pt idx="366">
                  <c:v>18.907173626696498</c:v>
                </c:pt>
                <c:pt idx="367">
                  <c:v>18.786233990635708</c:v>
                </c:pt>
                <c:pt idx="368">
                  <c:v>18.659157252743274</c:v>
                </c:pt>
                <c:pt idx="369">
                  <c:v>18.525984926548794</c:v>
                </c:pt>
                <c:pt idx="370">
                  <c:v>18.386760516893489</c:v>
                </c:pt>
                <c:pt idx="371">
                  <c:v>18.24152950571802</c:v>
                </c:pt>
                <c:pt idx="372">
                  <c:v>18.090339337204394</c:v>
                </c:pt>
                <c:pt idx="373">
                  <c:v>17.933239402276868</c:v>
                </c:pt>
                <c:pt idx="374">
                  <c:v>17.770281022466882</c:v>
                </c:pt>
                <c:pt idx="375">
                  <c:v>17.601517433147301</c:v>
                </c:pt>
                <c:pt idx="376">
                  <c:v>17.427003766141439</c:v>
                </c:pt>
                <c:pt idx="377">
                  <c:v>17.246797031712553</c:v>
                </c:pt>
                <c:pt idx="378">
                  <c:v>17.060956099939691</c:v>
                </c:pt>
                <c:pt idx="379">
                  <c:v>16.869541681485952</c:v>
                </c:pt>
                <c:pt idx="380">
                  <c:v>16.672616307765487</c:v>
                </c:pt>
                <c:pt idx="381">
                  <c:v>16.470244310515703</c:v>
                </c:pt>
                <c:pt idx="382">
                  <c:v>16.262491800781287</c:v>
                </c:pt>
                <c:pt idx="383">
                  <c:v>16.049426647317024</c:v>
                </c:pt>
                <c:pt idx="384">
                  <c:v>15.831118454416362</c:v>
                </c:pt>
                <c:pt idx="385">
                  <c:v>15.607638539173054</c:v>
                </c:pt>
                <c:pt idx="386">
                  <c:v>15.379059908183194</c:v>
                </c:pt>
                <c:pt idx="387">
                  <c:v>15.145457233695387</c:v>
                </c:pt>
                <c:pt idx="388">
                  <c:v>14.906906829216757</c:v>
                </c:pt>
                <c:pt idx="389">
                  <c:v>14.663486624582788</c:v>
                </c:pt>
                <c:pt idx="390">
                  <c:v>14.415276140499147</c:v>
                </c:pt>
                <c:pt idx="391">
                  <c:v>14.162356462563787</c:v>
                </c:pt>
                <c:pt idx="392">
                  <c:v>13.904810214777857</c:v>
                </c:pt>
                <c:pt idx="393">
                  <c:v>13.642721532554006</c:v>
                </c:pt>
                <c:pt idx="394">
                  <c:v>13.37617603523098</c:v>
                </c:pt>
                <c:pt idx="395">
                  <c:v>13.105260798103412</c:v>
                </c:pt>
                <c:pt idx="396">
                  <c:v>12.830064323976009</c:v>
                </c:pt>
                <c:pt idx="397">
                  <c:v>12.550676514251373</c:v>
                </c:pt>
                <c:pt idx="398">
                  <c:v>12.267188639560953</c:v>
                </c:pt>
                <c:pt idx="399">
                  <c:v>11.979693309948669</c:v>
                </c:pt>
                <c:pt idx="400">
                  <c:v>11.688284444617</c:v>
                </c:pt>
                <c:pt idx="401">
                  <c:v>11.393057241245364</c:v>
                </c:pt>
                <c:pt idx="402">
                  <c:v>11.094108144890921</c:v>
                </c:pt>
                <c:pt idx="403">
                  <c:v>10.791534816481747</c:v>
                </c:pt>
                <c:pt idx="404">
                  <c:v>10.485436100912937</c:v>
                </c:pt>
                <c:pt idx="405">
                  <c:v>10.175911994755856</c:v>
                </c:pt>
                <c:pt idx="406">
                  <c:v>9.8630636135911889</c:v>
                </c:pt>
                <c:pt idx="407">
                  <c:v>9.5469931589764343</c:v>
                </c:pt>
                <c:pt idx="408">
                  <c:v>9.227803885058556</c:v>
                </c:pt>
                <c:pt idx="409">
                  <c:v>8.9056000648429308</c:v>
                </c:pt>
                <c:pt idx="410">
                  <c:v>8.5804869561292936</c:v>
                </c:pt>
                <c:pt idx="411">
                  <c:v>8.2525707671260591</c:v>
                </c:pt>
                <c:pt idx="412">
                  <c:v>7.9219586217541345</c:v>
                </c:pt>
                <c:pt idx="413">
                  <c:v>7.5887585246515945</c:v>
                </c:pt>
                <c:pt idx="414">
                  <c:v>7.2530793258906376</c:v>
                </c:pt>
                <c:pt idx="415">
                  <c:v>6.915030685418361</c:v>
                </c:pt>
                <c:pt idx="416">
                  <c:v>6.5747230372329604</c:v>
                </c:pt>
                <c:pt idx="417">
                  <c:v>6.2322675533070635</c:v>
                </c:pt>
                <c:pt idx="418">
                  <c:v>5.8877761072699863</c:v>
                </c:pt>
                <c:pt idx="419">
                  <c:v>5.541361237860758</c:v>
                </c:pt>
                <c:pt idx="420">
                  <c:v>5.1931361121638844</c:v>
                </c:pt>
                <c:pt idx="421">
                  <c:v>4.8432144886398163</c:v>
                </c:pt>
                <c:pt idx="422">
                  <c:v>4.4917106799623108</c:v>
                </c:pt>
                <c:pt idx="423">
                  <c:v>4.1387395156745761</c:v>
                </c:pt>
                <c:pt idx="424">
                  <c:v>3.784416304676733</c:v>
                </c:pt>
                <c:pt idx="425">
                  <c:v>3.4288567975565942</c:v>
                </c:pt>
                <c:pt idx="426">
                  <c:v>3.0721771487761713</c:v>
                </c:pt>
                <c:pt idx="427">
                  <c:v>2.7144938787262434</c:v>
                </c:pt>
                <c:pt idx="428">
                  <c:v>2.3559238356613812</c:v>
                </c:pt>
                <c:pt idx="429">
                  <c:v>1.9965841575278687</c:v>
                </c:pt>
                <c:pt idx="430">
                  <c:v>1.6365922336969843</c:v>
                </c:pt>
                <c:pt idx="431">
                  <c:v>1.2760656666161496</c:v>
                </c:pt>
                <c:pt idx="432">
                  <c:v>0.91512223339046628</c:v>
                </c:pt>
                <c:pt idx="433">
                  <c:v>0.55387984730720008</c:v>
                </c:pt>
                <c:pt idx="434">
                  <c:v>0.1924565193157729</c:v>
                </c:pt>
                <c:pt idx="435">
                  <c:v>-0.16902968052414688</c:v>
                </c:pt>
                <c:pt idx="436">
                  <c:v>-0.53046066161386562</c:v>
                </c:pt>
                <c:pt idx="437">
                  <c:v>-0.89171835139359457</c:v>
                </c:pt>
                <c:pt idx="438">
                  <c:v>-1.252684733914506</c:v>
                </c:pt>
                <c:pt idx="439">
                  <c:v>-1.6132418883922048</c:v>
                </c:pt>
                <c:pt idx="440">
                  <c:v>-1.9732720277292914</c:v>
                </c:pt>
                <c:pt idx="441">
                  <c:v>-2.3326575369940734</c:v>
                </c:pt>
                <c:pt idx="442">
                  <c:v>-2.6912810118431207</c:v>
                </c:pt>
                <c:pt idx="443">
                  <c:v>-3.0490252968749951</c:v>
                </c:pt>
                <c:pt idx="444">
                  <c:v>-3.4057735239027553</c:v>
                </c:pt>
                <c:pt idx="445">
                  <c:v>-3.7614091501323568</c:v>
                </c:pt>
                <c:pt idx="446">
                  <c:v>-4.115815996235205</c:v>
                </c:pt>
                <c:pt idx="447">
                  <c:v>-4.4688782843014714</c:v>
                </c:pt>
                <c:pt idx="448">
                  <c:v>-4.8204806756626111</c:v>
                </c:pt>
                <c:pt idx="449">
                  <c:v>-5.1705083085703993</c:v>
                </c:pt>
                <c:pt idx="450">
                  <c:v>-5.5188468357198142</c:v>
                </c:pt>
                <c:pt idx="451">
                  <c:v>-5.8653824616043799</c:v>
                </c:pt>
                <c:pt idx="452">
                  <c:v>-6.2100019796907047</c:v>
                </c:pt>
                <c:pt idx="453">
                  <c:v>-6.5525928094011423</c:v>
                </c:pt>
                <c:pt idx="454">
                  <c:v>-6.8930430328914438</c:v>
                </c:pt>
                <c:pt idx="455">
                  <c:v>-7.2312414316124363</c:v>
                </c:pt>
                <c:pt idx="456">
                  <c:v>-7.5670775226427125</c:v>
                </c:pt>
                <c:pt idx="457">
                  <c:v>-7.9004415947815492</c:v>
                </c:pt>
                <c:pt idx="458">
                  <c:v>-8.2312247443891877</c:v>
                </c:pt>
                <c:pt idx="459">
                  <c:v>-8.559318910963821</c:v>
                </c:pt>
                <c:pt idx="460">
                  <c:v>-8.8846169124426222</c:v>
                </c:pt>
                <c:pt idx="461">
                  <c:v>-9.2070124802163242</c:v>
                </c:pt>
                <c:pt idx="462">
                  <c:v>-9.5264002938448851</c:v>
                </c:pt>
                <c:pt idx="463">
                  <c:v>-9.8426760154638959</c:v>
                </c:pt>
                <c:pt idx="464">
                  <c:v>-10.155736323869542</c:v>
                </c:pt>
                <c:pt idx="465">
                  <c:v>-10.465478948271748</c:v>
                </c:pt>
                <c:pt idx="466">
                  <c:v>-10.771802701704186</c:v>
                </c:pt>
                <c:pt idx="467">
                  <c:v>-11.074607514079871</c:v>
                </c:pt>
                <c:pt idx="468">
                  <c:v>-11.373794464882405</c:v>
                </c:pt>
                <c:pt idx="469">
                  <c:v>-11.669265815481165</c:v>
                </c:pt>
                <c:pt idx="470">
                  <c:v>-11.960925041060833</c:v>
                </c:pt>
                <c:pt idx="471">
                  <c:v>-12.248676862154122</c:v>
                </c:pt>
                <c:pt idx="472">
                  <c:v>-12.532427275767656</c:v>
                </c:pt>
                <c:pt idx="473">
                  <c:v>-12.812083586091145</c:v>
                </c:pt>
                <c:pt idx="474">
                  <c:v>-13.087554434779101</c:v>
                </c:pt>
                <c:pt idx="475">
                  <c:v>-13.358749830796073</c:v>
                </c:pt>
                <c:pt idx="476">
                  <c:v>-13.625581179814773</c:v>
                </c:pt>
                <c:pt idx="477">
                  <c:v>-13.88796131315836</c:v>
                </c:pt>
                <c:pt idx="478">
                  <c:v>-14.145804516276561</c:v>
                </c:pt>
                <c:pt idx="479">
                  <c:v>-14.399026556747165</c:v>
                </c:pt>
                <c:pt idx="480">
                  <c:v>-14.647544711792946</c:v>
                </c:pt>
                <c:pt idx="481">
                  <c:v>-14.8912777953058</c:v>
                </c:pt>
                <c:pt idx="482">
                  <c:v>-15.130146184368495</c:v>
                </c:pt>
                <c:pt idx="483">
                  <c:v>-15.364071845266139</c:v>
                </c:pt>
                <c:pt idx="484">
                  <c:v>-15.592978358978124</c:v>
                </c:pt>
                <c:pt idx="485">
                  <c:v>-15.816790946142838</c:v>
                </c:pt>
                <c:pt idx="486">
                  <c:v>-16.035436491486696</c:v>
                </c:pt>
                <c:pt idx="487">
                  <c:v>-16.248843567709351</c:v>
                </c:pt>
                <c:pt idx="488">
                  <c:v>-16.456942458817796</c:v>
                </c:pt>
                <c:pt idx="489">
                  <c:v>-16.659665182901058</c:v>
                </c:pt>
                <c:pt idx="490">
                  <c:v>-16.856945514338772</c:v>
                </c:pt>
                <c:pt idx="491">
                  <c:v>-17.048719005435625</c:v>
                </c:pt>
                <c:pt idx="492">
                  <c:v>-17.234923007475366</c:v>
                </c:pt>
                <c:pt idx="493">
                  <c:v>-17.415496691186771</c:v>
                </c:pt>
                <c:pt idx="494">
                  <c:v>-17.590381066615549</c:v>
                </c:pt>
                <c:pt idx="495">
                  <c:v>-17.759519002395091</c:v>
                </c:pt>
                <c:pt idx="496">
                  <c:v>-17.922855244410314</c:v>
                </c:pt>
                <c:pt idx="497">
                  <c:v>-18.080336433847997</c:v>
                </c:pt>
                <c:pt idx="498">
                  <c:v>-18.231911124628198</c:v>
                </c:pt>
                <c:pt idx="499">
                  <c:v>-18.377529800210599</c:v>
                </c:pt>
                <c:pt idx="500">
                  <c:v>-18.517144889770702</c:v>
                </c:pt>
                <c:pt idx="501">
                  <c:v>-18.650710783740216</c:v>
                </c:pt>
                <c:pt idx="502">
                  <c:v>-18.778183848706863</c:v>
                </c:pt>
                <c:pt idx="503">
                  <c:v>-18.89952244166863</c:v>
                </c:pt>
                <c:pt idx="504">
                  <c:v>-19.014686923637626</c:v>
                </c:pt>
                <c:pt idx="505">
                  <c:v>-19.123639672589498</c:v>
                </c:pt>
                <c:pt idx="506">
                  <c:v>-19.226345095753711</c:v>
                </c:pt>
                <c:pt idx="507">
                  <c:v>-19.322769641241123</c:v>
                </c:pt>
                <c:pt idx="508">
                  <c:v>-19.412881809004666</c:v>
                </c:pt>
                <c:pt idx="509">
                  <c:v>-19.496652161129859</c:v>
                </c:pt>
                <c:pt idx="510">
                  <c:v>-19.574053331451559</c:v>
                </c:pt>
                <c:pt idx="511">
                  <c:v>-19.645060034494026</c:v>
                </c:pt>
                <c:pt idx="512">
                  <c:v>-19.709649073731136</c:v>
                </c:pt>
                <c:pt idx="513">
                  <c:v>-19.767799349164296</c:v>
                </c:pt>
                <c:pt idx="514">
                  <c:v>-19.819491864215355</c:v>
                </c:pt>
                <c:pt idx="515">
                  <c:v>-19.864709731932479</c:v>
                </c:pt>
                <c:pt idx="516">
                  <c:v>-19.903438180506743</c:v>
                </c:pt>
                <c:pt idx="517">
                  <c:v>-19.93566455809783</c:v>
                </c:pt>
                <c:pt idx="518">
                  <c:v>-19.961378336967126</c:v>
                </c:pt>
                <c:pt idx="519">
                  <c:v>-19.980571116916938</c:v>
                </c:pt>
                <c:pt idx="520">
                  <c:v>-19.993236628034683</c:v>
                </c:pt>
                <c:pt idx="521">
                  <c:v>-19.999370732741131</c:v>
                </c:pt>
                <c:pt idx="522">
                  <c:v>-19.998971427142088</c:v>
                </c:pt>
                <c:pt idx="523">
                  <c:v>-19.99203884168303</c:v>
                </c:pt>
                <c:pt idx="524">
                  <c:v>-19.978575241106469</c:v>
                </c:pt>
                <c:pt idx="525">
                  <c:v>-19.958585023712136</c:v>
                </c:pt>
                <c:pt idx="526">
                  <c:v>-19.932074719920109</c:v>
                </c:pt>
                <c:pt idx="527">
                  <c:v>-19.899052990137481</c:v>
                </c:pt>
                <c:pt idx="528">
                  <c:v>-19.859530621929139</c:v>
                </c:pt>
                <c:pt idx="529">
                  <c:v>-19.813520526493711</c:v>
                </c:pt>
                <c:pt idx="530">
                  <c:v>-19.761037734445686</c:v>
                </c:pt>
                <c:pt idx="531">
                  <c:v>-19.702099390905236</c:v>
                </c:pt>
                <c:pt idx="532">
                  <c:v>-19.636724749897198</c:v>
                </c:pt>
                <c:pt idx="533">
                  <c:v>-19.564935168061204</c:v>
                </c:pt>
                <c:pt idx="534">
                  <c:v>-19.486754097674822</c:v>
                </c:pt>
                <c:pt idx="535">
                  <c:v>-19.402207078992177</c:v>
                </c:pt>
                <c:pt idx="536">
                  <c:v>-19.31132173190046</c:v>
                </c:pt>
                <c:pt idx="537">
                  <c:v>-19.214127746896978</c:v>
                </c:pt>
                <c:pt idx="538">
                  <c:v>-19.110656875389918</c:v>
                </c:pt>
                <c:pt idx="539">
                  <c:v>-19.000942919325695</c:v>
                </c:pt>
                <c:pt idx="540">
                  <c:v>-18.885021720146582</c:v>
                </c:pt>
                <c:pt idx="541">
                  <c:v>-18.762931147081922</c:v>
                </c:pt>
                <c:pt idx="542">
                  <c:v>-18.634711084777052</c:v>
                </c:pt>
                <c:pt idx="543">
                  <c:v>-18.500403420263673</c:v>
                </c:pt>
                <c:pt idx="544">
                  <c:v>-18.360052029276265</c:v>
                </c:pt>
                <c:pt idx="545">
                  <c:v>-18.213702761918615</c:v>
                </c:pt>
                <c:pt idx="546">
                  <c:v>-18.061403427685573</c:v>
                </c:pt>
                <c:pt idx="547">
                  <c:v>-17.903203779844503</c:v>
                </c:pt>
                <c:pt idx="548">
                  <c:v>-17.739155499181965</c:v>
                </c:pt>
                <c:pt idx="549">
                  <c:v>-17.569312177120473</c:v>
                </c:pt>
                <c:pt idx="550">
                  <c:v>-17.393729298211316</c:v>
                </c:pt>
                <c:pt idx="551">
                  <c:v>-17.212464222008713</c:v>
                </c:pt>
                <c:pt idx="552">
                  <c:v>-17.02557616433166</c:v>
                </c:pt>
                <c:pt idx="553">
                  <c:v>-16.833126177919194</c:v>
                </c:pt>
                <c:pt idx="554">
                  <c:v>-16.635177132485598</c:v>
                </c:pt>
                <c:pt idx="555">
                  <c:v>-16.431793694182193</c:v>
                </c:pt>
                <c:pt idx="556">
                  <c:v>-16.223042304472003</c:v>
                </c:pt>
                <c:pt idx="557">
                  <c:v>-16.008991158424756</c:v>
                </c:pt>
                <c:pt idx="558">
                  <c:v>-15.789710182438704</c:v>
                </c:pt>
                <c:pt idx="559">
                  <c:v>-15.565271011397178</c:v>
                </c:pt>
                <c:pt idx="560">
                  <c:v>-15.335746965266679</c:v>
                </c:pt>
                <c:pt idx="561">
                  <c:v>-15.101213025144826</c:v>
                </c:pt>
                <c:pt idx="562">
                  <c:v>-14.861745808765296</c:v>
                </c:pt>
                <c:pt idx="563">
                  <c:v>-14.617423545468483</c:v>
                </c:pt>
                <c:pt idx="564">
                  <c:v>-14.368326050645198</c:v>
                </c:pt>
                <c:pt idx="565">
                  <c:v>-14.114534699662837</c:v>
                </c:pt>
                <c:pt idx="566">
                  <c:v>-13.856132401281345</c:v>
                </c:pt>
                <c:pt idx="567">
                  <c:v>-13.593203570568708</c:v>
                </c:pt>
                <c:pt idx="568">
                  <c:v>-13.325834101323997</c:v>
                </c:pt>
                <c:pt idx="569">
                  <c:v>-13.0541113380177</c:v>
                </c:pt>
                <c:pt idx="570">
                  <c:v>-12.778124047257759</c:v>
                </c:pt>
                <c:pt idx="571">
                  <c:v>-12.497962388791441</c:v>
                </c:pt>
                <c:pt idx="572">
                  <c:v>-12.213717886051656</c:v>
                </c:pt>
                <c:pt idx="573">
                  <c:v>-11.925483396258233</c:v>
                </c:pt>
                <c:pt idx="574">
                  <c:v>-11.633353080083033</c:v>
                </c:pt>
                <c:pt idx="575">
                  <c:v>-11.337422370889644</c:v>
                </c:pt>
                <c:pt idx="576">
                  <c:v>-11.037787943557076</c:v>
                </c:pt>
                <c:pt idx="577">
                  <c:v>-10.734547682897821</c:v>
                </c:pt>
                <c:pt idx="578">
                  <c:v>-10.427800651680991</c:v>
                </c:pt>
                <c:pt idx="579">
                  <c:v>-10.117647058270167</c:v>
                </c:pt>
                <c:pt idx="580">
                  <c:v>-9.8041882238874827</c:v>
                </c:pt>
                <c:pt idx="581">
                  <c:v>-9.4875265495137064</c:v>
                </c:pt>
                <c:pt idx="582">
                  <c:v>-9.1677654824360353</c:v>
                </c:pt>
                <c:pt idx="583">
                  <c:v>-8.8450094824536087</c:v>
                </c:pt>
                <c:pt idx="584">
                  <c:v>-8.5193639877527509</c:v>
                </c:pt>
                <c:pt idx="585">
                  <c:v>-8.1909353804620899</c:v>
                </c:pt>
                <c:pt idx="586">
                  <c:v>-7.8598309518998102</c:v>
                </c:pt>
                <c:pt idx="587">
                  <c:v>-7.5261588675233826</c:v>
                </c:pt>
                <c:pt idx="588">
                  <c:v>-7.1900281315942518</c:v>
                </c:pt>
                <c:pt idx="589">
                  <c:v>-6.8515485515679666</c:v>
                </c:pt>
                <c:pt idx="590">
                  <c:v>-6.5108307022224663</c:v>
                </c:pt>
                <c:pt idx="591">
                  <c:v>-6.1679858895351529</c:v>
                </c:pt>
                <c:pt idx="592">
                  <c:v>-5.8231261143216013</c:v>
                </c:pt>
                <c:pt idx="593">
                  <c:v>-5.476364035646947</c:v>
                </c:pt>
                <c:pt idx="594">
                  <c:v>-5.1278129340222245</c:v>
                </c:pt>
                <c:pt idx="595">
                  <c:v>-4.7775866743980435</c:v>
                </c:pt>
                <c:pt idx="596">
                  <c:v>-4.425799668966822</c:v>
                </c:pt>
                <c:pt idx="597">
                  <c:v>-4.0725668397867949</c:v>
                </c:pt>
                <c:pt idx="598">
                  <c:v>-3.718003581238909</c:v>
                </c:pt>
                <c:pt idx="599">
                  <c:v>-3.3622257223299696</c:v>
                </c:pt>
                <c:pt idx="600">
                  <c:v>-3.005349488853255</c:v>
                </c:pt>
                <c:pt idx="601">
                  <c:v>-2.6474914654200581</c:v>
                </c:pt>
                <c:pt idx="602">
                  <c:v>-2.2887685573734542</c:v>
                </c:pt>
                <c:pt idx="603">
                  <c:v>-1.9292979525978504</c:v>
                </c:pt>
                <c:pt idx="604">
                  <c:v>-1.569197083235675</c:v>
                </c:pt>
                <c:pt idx="605">
                  <c:v>-1.2085835873248318</c:v>
                </c:pt>
                <c:pt idx="606">
                  <c:v>-0.84757527036833191</c:v>
                </c:pt>
                <c:pt idx="607">
                  <c:v>-0.48629006684977982</c:v>
                </c:pt>
                <c:pt idx="608">
                  <c:v>-0.12484600170616056</c:v>
                </c:pt>
                <c:pt idx="609">
                  <c:v>0.23663884822839265</c:v>
                </c:pt>
                <c:pt idx="610">
                  <c:v>0.5980463927961388</c:v>
                </c:pt>
                <c:pt idx="611">
                  <c:v>0.95925856709362201</c:v>
                </c:pt>
                <c:pt idx="612">
                  <c:v>1.3201573700409592</c:v>
                </c:pt>
                <c:pt idx="613">
                  <c:v>1.6806249029308109</c:v>
                </c:pt>
                <c:pt idx="614">
                  <c:v>2.04054340794334</c:v>
                </c:pt>
                <c:pt idx="615">
                  <c:v>2.3997953066157147</c:v>
                </c:pt>
                <c:pt idx="616">
                  <c:v>2.7582632382524497</c:v>
                </c:pt>
                <c:pt idx="617">
                  <c:v>3.1158300982651732</c:v>
                </c:pt>
                <c:pt idx="618">
                  <c:v>3.4723790764281675</c:v>
                </c:pt>
                <c:pt idx="619">
                  <c:v>3.8277936950383058</c:v>
                </c:pt>
                <c:pt idx="620">
                  <c:v>4.1819578469657994</c:v>
                </c:pt>
                <c:pt idx="621">
                  <c:v>4.5347558335844482</c:v>
                </c:pt>
                <c:pt idx="622">
                  <c:v>4.8860724025678808</c:v>
                </c:pt>
                <c:pt idx="623">
                  <c:v>5.2357927855405526</c:v>
                </c:pt>
                <c:pt idx="624">
                  <c:v>5.5838027355700959</c:v>
                </c:pt>
                <c:pt idx="625">
                  <c:v>5.929988564489868</c:v>
                </c:pt>
                <c:pt idx="626">
                  <c:v>6.2742371800384591</c:v>
                </c:pt>
                <c:pt idx="627">
                  <c:v>6.6164361228048598</c:v>
                </c:pt>
                <c:pt idx="628">
                  <c:v>6.956473602966895</c:v>
                </c:pt>
                <c:pt idx="629">
                  <c:v>7.294238536810572</c:v>
                </c:pt>
                <c:pt idx="630">
                  <c:v>7.6296205830192694</c:v>
                </c:pt>
                <c:pt idx="631">
                  <c:v>7.9625101787198558</c:v>
                </c:pt>
                <c:pt idx="632">
                  <c:v>8.2927985752750413</c:v>
                </c:pt>
                <c:pt idx="633">
                  <c:v>8.6203778738092058</c:v>
                </c:pt>
                <c:pt idx="634">
                  <c:v>8.9451410604571553</c:v>
                </c:pt>
                <c:pt idx="635">
                  <c:v>9.2669820413232316</c:v>
                </c:pt>
                <c:pt idx="636">
                  <c:v>9.5857956771404016</c:v>
                </c:pt>
                <c:pt idx="637">
                  <c:v>9.9014778176169997</c:v>
                </c:pt>
                <c:pt idx="638">
                  <c:v>10.213925335460864</c:v>
                </c:pt>
                <c:pt idx="639">
                  <c:v>10.523036160068797</c:v>
                </c:pt>
                <c:pt idx="640">
                  <c:v>10.828709310871321</c:v>
                </c:pt>
                <c:pt idx="641">
                  <c:v>11.130844930320841</c:v>
                </c:pt>
                <c:pt idx="642">
                  <c:v>11.429344316513435</c:v>
                </c:pt>
                <c:pt idx="643">
                  <c:v>11.724109955432658</c:v>
                </c:pt>
                <c:pt idx="644">
                  <c:v>12.01504555280559</c:v>
                </c:pt>
                <c:pt idx="645">
                  <c:v>12.302056065560407</c:v>
                </c:pt>
                <c:pt idx="646">
                  <c:v>12.585047732874932</c:v>
                </c:pt>
                <c:pt idx="647">
                  <c:v>12.863928106806718</c:v>
                </c:pt>
                <c:pt idx="648">
                  <c:v>13.138606082493789</c:v>
                </c:pt>
                <c:pt idx="649">
                  <c:v>13.408991927917079</c:v>
                </c:pt>
                <c:pt idx="650">
                  <c:v>13.674997313213931</c:v>
                </c:pt>
                <c:pt idx="651">
                  <c:v>13.936535339533986</c:v>
                </c:pt>
                <c:pt idx="652">
                  <c:v>14.193520567427163</c:v>
                </c:pt>
                <c:pt idx="653">
                  <c:v>14.445869044755275</c:v>
                </c:pt>
                <c:pt idx="654">
                  <c:v>14.693498334117404</c:v>
                </c:pt>
                <c:pt idx="655">
                  <c:v>14.936327539780789</c:v>
                </c:pt>
                <c:pt idx="656">
                  <c:v>15.174277334107733</c:v>
                </c:pt>
                <c:pt idx="657">
                  <c:v>15.407269983470597</c:v>
                </c:pt>
                <c:pt idx="658">
                  <c:v>15.635229373645707</c:v>
                </c:pt>
                <c:pt idx="659">
                  <c:v>15.858081034678577</c:v>
                </c:pt>
                <c:pt idx="660">
                  <c:v>16.075752165211675</c:v>
                </c:pt>
                <c:pt idx="661">
                  <c:v>16.288171656267277</c:v>
                </c:pt>
                <c:pt idx="662">
                  <c:v>16.495270114477478</c:v>
                </c:pt>
                <c:pt idx="663">
                  <c:v>16.696979884753528</c:v>
                </c:pt>
                <c:pt idx="664">
                  <c:v>16.893235072387608</c:v>
                </c:pt>
                <c:pt idx="665">
                  <c:v>17.083971564579198</c:v>
                </c:pt>
                <c:pt idx="666">
                  <c:v>17.26912705137967</c:v>
                </c:pt>
                <c:pt idx="667">
                  <c:v>17.448641046047602</c:v>
                </c:pt>
                <c:pt idx="668">
                  <c:v>17.622454904808748</c:v>
                </c:pt>
                <c:pt idx="669">
                  <c:v>17.790511846013739</c:v>
                </c:pt>
                <c:pt idx="670">
                  <c:v>17.952756968687659</c:v>
                </c:pt>
                <c:pt idx="671">
                  <c:v>18.109137270465013</c:v>
                </c:pt>
                <c:pt idx="672">
                  <c:v>18.259601664904721</c:v>
                </c:pt>
                <c:pt idx="673">
                  <c:v>18.404100998178951</c:v>
                </c:pt>
                <c:pt idx="674">
                  <c:v>18.54258806513084</c:v>
                </c:pt>
                <c:pt idx="675">
                  <c:v>18.675017624695403</c:v>
                </c:pt>
                <c:pt idx="676">
                  <c:v>18.801346414679035</c:v>
                </c:pt>
                <c:pt idx="677">
                  <c:v>18.921533165892331</c:v>
                </c:pt>
                <c:pt idx="678">
                  <c:v>19.035538615631996</c:v>
                </c:pt>
                <c:pt idx="679">
                  <c:v>19.143325520507247</c:v>
                </c:pt>
                <c:pt idx="680">
                  <c:v>19.244858668606415</c:v>
                </c:pt>
                <c:pt idx="681">
                  <c:v>19.340104891000109</c:v>
                </c:pt>
                <c:pt idx="682">
                  <c:v>19.429033072576779</c:v>
                </c:pt>
                <c:pt idx="683">
                  <c:v>19.511614162207497</c:v>
                </c:pt>
                <c:pt idx="684">
                  <c:v>19.587821182236333</c:v>
                </c:pt>
                <c:pt idx="685">
                  <c:v>19.657629237293516</c:v>
                </c:pt>
                <c:pt idx="686">
                  <c:v>19.721015522428193</c:v>
                </c:pt>
                <c:pt idx="687">
                  <c:v>19.777959330558438</c:v>
                </c:pt>
                <c:pt idx="688">
                  <c:v>19.82844205923579</c:v>
                </c:pt>
                <c:pt idx="689">
                  <c:v>19.872447216722403</c:v>
                </c:pt>
                <c:pt idx="690">
                  <c:v>19.909960427378476</c:v>
                </c:pt>
                <c:pt idx="691">
                  <c:v>19.940969436358593</c:v>
                </c:pt>
                <c:pt idx="692">
                  <c:v>19.965464113615074</c:v>
                </c:pt>
                <c:pt idx="693">
                  <c:v>19.983436457207315</c:v>
                </c:pt>
                <c:pt idx="694">
                  <c:v>19.994880595915845</c:v>
                </c:pt>
                <c:pt idx="695">
                  <c:v>19.999792791160349</c:v>
                </c:pt>
                <c:pt idx="696">
                  <c:v>19.998171438220986</c:v>
                </c:pt>
                <c:pt idx="697">
                  <c:v>19.990017066762618</c:v>
                </c:pt>
                <c:pt idx="698">
                  <c:v>19.975332340661787</c:v>
                </c:pt>
                <c:pt idx="699">
                  <c:v>19.954122057136466</c:v>
                </c:pt>
                <c:pt idx="700">
                  <c:v>19.926393145178924</c:v>
                </c:pt>
                <c:pt idx="701">
                  <c:v>19.892154663292125</c:v>
                </c:pt>
                <c:pt idx="702">
                  <c:v>19.851417796530502</c:v>
                </c:pt>
                <c:pt idx="703">
                  <c:v>19.804195852846032</c:v>
                </c:pt>
                <c:pt idx="704">
                  <c:v>19.750504258740754</c:v>
                </c:pt>
                <c:pt idx="705">
                  <c:v>19.690360554227254</c:v>
                </c:pt>
                <c:pt idx="706">
                  <c:v>19.623784387098652</c:v>
                </c:pt>
                <c:pt idx="707">
                  <c:v>19.550797506510087</c:v>
                </c:pt>
                <c:pt idx="708">
                  <c:v>19.471423755873623</c:v>
                </c:pt>
                <c:pt idx="709">
                  <c:v>19.38568906506914</c:v>
                </c:pt>
                <c:pt idx="710">
                  <c:v>19.293621441973464</c:v>
                </c:pt>
                <c:pt idx="711">
                  <c:v>19.195250963310805</c:v>
                </c:pt>
                <c:pt idx="712">
                  <c:v>19.090609764827196</c:v>
                </c:pt>
                <c:pt idx="713">
                  <c:v>18.979732030792434</c:v>
                </c:pt>
                <c:pt idx="714">
                  <c:v>18.862653982832665</c:v>
                </c:pt>
                <c:pt idx="715">
                  <c:v>18.739413868097547</c:v>
                </c:pt>
                <c:pt idx="716">
                  <c:v>18.610051946765559</c:v>
                </c:pt>
                <c:pt idx="717">
                  <c:v>18.474610478891861</c:v>
                </c:pt>
                <c:pt idx="718">
                  <c:v>18.333133710602691</c:v>
                </c:pt>
                <c:pt idx="719">
                  <c:v>18.185667859640986</c:v>
                </c:pt>
                <c:pt idx="720">
                  <c:v>18.03226110026802</c:v>
                </c:pt>
                <c:pt idx="721">
                  <c:v>17.872963547525679</c:v>
                </c:pt>
                <c:pt idx="722">
                  <c:v>17.707827240864972</c:v>
                </c:pt>
                <c:pt idx="723">
                  <c:v>17.536906127145599</c:v>
                </c:pt>
                <c:pt idx="724">
                  <c:v>17.36025604301269</c:v>
                </c:pt>
                <c:pt idx="725">
                  <c:v>17.177934696655914</c:v>
                </c:pt>
                <c:pt idx="726">
                  <c:v>16.990001648957453</c:v>
                </c:pt>
                <c:pt idx="727">
                  <c:v>16.796518294034463</c:v>
                </c:pt>
                <c:pt idx="728">
                  <c:v>16.597547839182948</c:v>
                </c:pt>
                <c:pt idx="729">
                  <c:v>16.393155284228989</c:v>
                </c:pt>
                <c:pt idx="730">
                  <c:v>16.183407400294719</c:v>
                </c:pt>
                <c:pt idx="731">
                  <c:v>15.968372707985306</c:v>
                </c:pt>
                <c:pt idx="732">
                  <c:v>15.74812145500476</c:v>
                </c:pt>
                <c:pt idx="733">
                  <c:v>15.522725593207188</c:v>
                </c:pt>
                <c:pt idx="734">
                  <c:v>15.292258755091648</c:v>
                </c:pt>
                <c:pt idx="735">
                  <c:v>15.056796229747773</c:v>
                </c:pt>
                <c:pt idx="736">
                  <c:v>14.816414938260198</c:v>
                </c:pt>
                <c:pt idx="737">
                  <c:v>14.571193408580072</c:v>
                </c:pt>
                <c:pt idx="738">
                  <c:v>14.321211749871312</c:v>
                </c:pt>
                <c:pt idx="739">
                  <c:v>14.066551626340653</c:v>
                </c:pt>
                <c:pt idx="740">
                  <c:v>13.807296230559338</c:v>
                </c:pt>
                <c:pt idx="741">
                  <c:v>13.543530256285898</c:v>
                </c:pt>
                <c:pt idx="742">
                  <c:v>13.275339870798117</c:v>
                </c:pt>
                <c:pt idx="743">
                  <c:v>13.002812686744061</c:v>
                </c:pt>
                <c:pt idx="744">
                  <c:v>12.726037733520476</c:v>
                </c:pt>
                <c:pt idx="745">
                  <c:v>12.445105428188832</c:v>
                </c:pt>
                <c:pt idx="746">
                  <c:v>12.160107545937564</c:v>
                </c:pt>
                <c:pt idx="747">
                  <c:v>11.871137190101122</c:v>
                </c:pt>
                <c:pt idx="748">
                  <c:v>11.578288761744664</c:v>
                </c:pt>
                <c:pt idx="749">
                  <c:v>11.28165792882527</c:v>
                </c:pt>
                <c:pt idx="750">
                  <c:v>10.981341594938833</c:v>
                </c:pt>
                <c:pt idx="751">
                  <c:v>10.677437867663713</c:v>
                </c:pt>
                <c:pt idx="752">
                  <c:v>10.370046026510789</c:v>
                </c:pt>
                <c:pt idx="753">
                  <c:v>10.059266490490661</c:v>
                </c:pt>
                <c:pt idx="754">
                  <c:v>9.7452007853088993</c:v>
                </c:pt>
                <c:pt idx="755">
                  <c:v>9.4279515101992999</c:v>
                </c:pt>
                <c:pt idx="756">
                  <c:v>9.1076223044069344</c:v>
                </c:pt>
                <c:pt idx="757">
                  <c:v>8.7843178133309525</c:v>
                </c:pt>
                <c:pt idx="758">
                  <c:v>8.4581436543391817</c:v>
                </c:pt>
                <c:pt idx="759">
                  <c:v>8.1292063822647229</c:v>
                </c:pt>
                <c:pt idx="760">
                  <c:v>7.797613454596771</c:v>
                </c:pt>
                <c:pt idx="761">
                  <c:v>7.4634731963760785</c:v>
                </c:pt>
                <c:pt idx="762">
                  <c:v>7.1268947648074876</c:v>
                </c:pt>
                <c:pt idx="763">
                  <c:v>6.7879881136001172</c:v>
                </c:pt>
                <c:pt idx="764">
                  <c:v>6.4468639570478583</c:v>
                </c:pt>
                <c:pt idx="765">
                  <c:v>6.1036337338608737</c:v>
                </c:pt>
                <c:pt idx="766">
                  <c:v>5.7584095707609801</c:v>
                </c:pt>
                <c:pt idx="767">
                  <c:v>5.4113042458517349</c:v>
                </c:pt>
                <c:pt idx="768">
                  <c:v>5.0624311517762264</c:v>
                </c:pt>
                <c:pt idx="769">
                  <c:v>4.7119042586737816</c:v>
                </c:pt>
                <c:pt idx="770">
                  <c:v>4.3598380769480007</c:v>
                </c:pt>
                <c:pt idx="771">
                  <c:v>4.0063476198586514</c:v>
                </c:pt>
                <c:pt idx="772">
                  <c:v>3.65154836594877</c:v>
                </c:pt>
                <c:pt idx="773">
                  <c:v>3.2955562213203162</c:v>
                </c:pt>
                <c:pt idx="774">
                  <c:v>2.9384874817695956</c:v>
                </c:pt>
                <c:pt idx="775">
                  <c:v>2.5804587947959385</c:v>
                </c:pt>
                <c:pt idx="776">
                  <c:v>2.2215871214949208</c:v>
                </c:pt>
                <c:pt idx="777">
                  <c:v>1.8619896983497022</c:v>
                </c:pt>
                <c:pt idx="778">
                  <c:v>1.5017839989318356</c:v>
                </c:pt>
                <c:pt idx="779">
                  <c:v>1.1410876955251905</c:v>
                </c:pt>
                <c:pt idx="780">
                  <c:v>0.78001862068439665</c:v>
                </c:pt>
                <c:pt idx="781">
                  <c:v>0.41869472874149261</c:v>
                </c:pt>
                <c:pt idx="782">
                  <c:v>5.7234057272228508E-2</c:v>
                </c:pt>
                <c:pt idx="783">
                  <c:v>-0.30424531146425932</c:v>
                </c:pt>
                <c:pt idx="784">
                  <c:v>-0.66562528910093854</c:v>
                </c:pt>
                <c:pt idx="785">
                  <c:v>-1.0267878197398337</c:v>
                </c:pt>
                <c:pt idx="786">
                  <c:v>-1.387614918518727</c:v>
                </c:pt>
                <c:pt idx="787">
                  <c:v>-1.7479887101546534</c:v>
                </c:pt>
                <c:pt idx="788">
                  <c:v>-2.1077914674512437</c:v>
                </c:pt>
                <c:pt idx="789">
                  <c:v>-2.4669056497582211</c:v>
                </c:pt>
                <c:pt idx="790">
                  <c:v>-2.8252139413693915</c:v>
                </c:pt>
                <c:pt idx="791">
                  <c:v>-3.1825992898477145</c:v>
                </c:pt>
                <c:pt idx="792">
                  <c:v>-3.5389449442638043</c:v>
                </c:pt>
                <c:pt idx="793">
                  <c:v>-3.8941344933364967</c:v>
                </c:pt>
                <c:pt idx="794">
                  <c:v>-4.2480519034618975</c:v>
                </c:pt>
                <c:pt idx="795">
                  <c:v>-4.6005815566196162</c:v>
                </c:pt>
                <c:pt idx="796">
                  <c:v>-4.9516082881426682</c:v>
                </c:pt>
                <c:pt idx="797">
                  <c:v>-5.3010174243398414</c:v>
                </c:pt>
                <c:pt idx="798">
                  <c:v>-5.6486948199571083</c:v>
                </c:pt>
                <c:pt idx="799">
                  <c:v>-5.9945268954669704</c:v>
                </c:pt>
                <c:pt idx="800">
                  <c:v>-6.3384006741724264</c:v>
                </c:pt>
                <c:pt idx="801">
                  <c:v>-6.6802038191145661</c:v>
                </c:pt>
                <c:pt idx="802">
                  <c:v>-7.0198246697706601</c:v>
                </c:pt>
                <c:pt idx="803">
                  <c:v>-7.3571522785316095</c:v>
                </c:pt>
                <c:pt idx="804">
                  <c:v>-7.6920764469464933</c:v>
                </c:pt>
                <c:pt idx="805">
                  <c:v>-8.0244877617220638</c:v>
                </c:pt>
                <c:pt idx="806">
                  <c:v>-8.3542776304662247</c:v>
                </c:pt>
                <c:pt idx="807">
                  <c:v>-8.6813383171628171</c:v>
                </c:pt>
                <c:pt idx="808">
                  <c:v>-9.0055629773671715</c:v>
                </c:pt>
                <c:pt idx="809">
                  <c:v>-9.326845693109874</c:v>
                </c:pt>
                <c:pt idx="810">
                  <c:v>-9.6450815074983893</c:v>
                </c:pt>
                <c:pt idx="811">
                  <c:v>-9.9601664590042152</c:v>
                </c:pt>
                <c:pt idx="812">
                  <c:v>-10.271997615425352</c:v>
                </c:pt>
                <c:pt idx="813">
                  <c:v>-10.580473107512013</c:v>
                </c:pt>
                <c:pt idx="814">
                  <c:v>-10.885492162245715</c:v>
                </c:pt>
                <c:pt idx="815">
                  <c:v>-11.186955135759458</c:v>
                </c:pt>
                <c:pt idx="816">
                  <c:v>-11.484763545889823</c:v>
                </c:pt>
                <c:pt idx="817">
                  <c:v>-11.778820104348945</c:v>
                </c:pt>
                <c:pt idx="818">
                  <c:v>-12.069028748506961</c:v>
                </c:pt>
                <c:pt idx="819">
                  <c:v>-12.355294672773582</c:v>
                </c:pt>
                <c:pt idx="820">
                  <c:v>-12.637524359569507</c:v>
                </c:pt>
                <c:pt idx="821">
                  <c:v>-12.915625609876573</c:v>
                </c:pt>
                <c:pt idx="822">
                  <c:v>-13.189507573357641</c:v>
                </c:pt>
                <c:pt idx="823">
                  <c:v>-13.459080778035437</c:v>
                </c:pt>
                <c:pt idx="824">
                  <c:v>-13.724257159521533</c:v>
                </c:pt>
                <c:pt idx="825">
                  <c:v>-13.984950089785116</c:v>
                </c:pt>
                <c:pt idx="826">
                  <c:v>-14.241074405452776</c:v>
                </c:pt>
                <c:pt idx="827">
                  <c:v>-14.492546435629823</c:v>
                </c:pt>
                <c:pt idx="828">
                  <c:v>-14.739284029233781</c:v>
                </c:pt>
                <c:pt idx="829">
                  <c:v>-14.981206581831776</c:v>
                </c:pt>
                <c:pt idx="830">
                  <c:v>-15.218235061972248</c:v>
                </c:pt>
                <c:pt idx="831">
                  <c:v>-15.45029203700321</c:v>
                </c:pt>
                <c:pt idx="832">
                  <c:v>-15.67730169836782</c:v>
                </c:pt>
                <c:pt idx="833">
                  <c:v>-15.899189886369758</c:v>
                </c:pt>
                <c:pt idx="834">
                  <c:v>-16.115884114399599</c:v>
                </c:pt>
                <c:pt idx="835">
                  <c:v>-16.327313592614971</c:v>
                </c:pt>
                <c:pt idx="836">
                  <c:v>-16.533409251066068</c:v>
                </c:pt>
                <c:pt idx="837">
                  <c:v>-16.73410376225964</c:v>
                </c:pt>
                <c:pt idx="838">
                  <c:v>-16.929331563153429</c:v>
                </c:pt>
                <c:pt idx="839">
                  <c:v>-17.119028876574514</c:v>
                </c:pt>
                <c:pt idx="840">
                  <c:v>-17.303133732053936</c:v>
                </c:pt>
                <c:pt idx="841">
                  <c:v>-17.481585986071412</c:v>
                </c:pt>
                <c:pt idx="842">
                  <c:v>-17.654327341702935</c:v>
                </c:pt>
                <c:pt idx="843">
                  <c:v>-17.821301367665317</c:v>
                </c:pt>
                <c:pt idx="844">
                  <c:v>-17.982453516751249</c:v>
                </c:pt>
                <c:pt idx="845">
                  <c:v>-18.137731143648729</c:v>
                </c:pt>
                <c:pt idx="846">
                  <c:v>-18.287083522139376</c:v>
                </c:pt>
                <c:pt idx="847">
                  <c:v>-18.43046186166961</c:v>
                </c:pt>
                <c:pt idx="848">
                  <c:v>-18.56781932328969</c:v>
                </c:pt>
                <c:pt idx="849">
                  <c:v>-18.699111034955003</c:v>
                </c:pt>
                <c:pt idx="850">
                  <c:v>-18.824294106184993</c:v>
                </c:pt>
                <c:pt idx="851">
                  <c:v>-18.943327642074564</c:v>
                </c:pt>
                <c:pt idx="852">
                  <c:v>-19.056172756653751</c:v>
                </c:pt>
                <c:pt idx="853">
                  <c:v>-19.162792585590932</c:v>
                </c:pt>
                <c:pt idx="854">
                  <c:v>-19.263152298235774</c:v>
                </c:pt>
                <c:pt idx="855">
                  <c:v>-19.357219108997683</c:v>
                </c:pt>
                <c:pt idx="856">
                  <c:v>-19.444962288056256</c:v>
                </c:pt>
                <c:pt idx="857">
                  <c:v>-19.526353171400107</c:v>
                </c:pt>
                <c:pt idx="858">
                  <c:v>-19.601365170190874</c:v>
                </c:pt>
                <c:pt idx="859">
                  <c:v>-19.66997377944924</c:v>
                </c:pt>
                <c:pt idx="860">
                  <c:v>-19.73215658606027</c:v>
                </c:pt>
                <c:pt idx="861">
                  <c:v>-19.78789327609536</c:v>
                </c:pt>
                <c:pt idx="862">
                  <c:v>-19.837165641448347</c:v>
                </c:pt>
                <c:pt idx="863">
                  <c:v>-19.879957585783828</c:v>
                </c:pt>
                <c:pt idx="864">
                  <c:v>-19.916255129795445</c:v>
                </c:pt>
                <c:pt idx="865">
                  <c:v>-19.94604641577272</c:v>
                </c:pt>
                <c:pt idx="866">
                  <c:v>-19.969321711474695</c:v>
                </c:pt>
                <c:pt idx="867">
                  <c:v>-19.986073413309303</c:v>
                </c:pt>
                <c:pt idx="868">
                  <c:v>-19.996296048817285</c:v>
                </c:pt>
                <c:pt idx="869">
                  <c:v>-19.999986278459964</c:v>
                </c:pt>
                <c:pt idx="870">
                  <c:v>-19.997142896710191</c:v>
                </c:pt>
                <c:pt idx="871">
                  <c:v>-19.987766832446169</c:v>
                </c:pt>
                <c:pt idx="872">
                  <c:v>-19.971861148648017</c:v>
                </c:pt>
                <c:pt idx="873">
                  <c:v>-19.949431041397144</c:v>
                </c:pt>
                <c:pt idx="874">
                  <c:v>-19.920483838178789</c:v>
                </c:pt>
                <c:pt idx="875">
                  <c:v>-19.885028995488273</c:v>
                </c:pt>
                <c:pt idx="876">
                  <c:v>-19.843078095741756</c:v>
                </c:pt>
                <c:pt idx="877">
                  <c:v>-19.794644843492463</c:v>
                </c:pt>
                <c:pt idx="878">
                  <c:v>-19.739745060953673</c:v>
                </c:pt>
                <c:pt idx="879">
                  <c:v>-19.678396682829945</c:v>
                </c:pt>
                <c:pt idx="880">
                  <c:v>-19.610619750458113</c:v>
                </c:pt>
                <c:pt idx="881">
                  <c:v>-19.536436405260265</c:v>
                </c:pt>
                <c:pt idx="882">
                  <c:v>-19.455870881510474</c:v>
                </c:pt>
                <c:pt idx="883">
                  <c:v>-19.368949498418008</c:v>
                </c:pt>
                <c:pt idx="884">
                  <c:v>-19.275700651529267</c:v>
                </c:pt>
                <c:pt idx="885">
                  <c:v>-19.176154803451592</c:v>
                </c:pt>
                <c:pt idx="886">
                  <c:v>-19.070344473901635</c:v>
                </c:pt>
                <c:pt idx="887">
                  <c:v>-18.958304229081818</c:v>
                </c:pt>
                <c:pt idx="888">
                  <c:v>-18.8400706703883</c:v>
                </c:pt>
                <c:pt idx="889">
                  <c:v>-18.715682422453856</c:v>
                </c:pt>
                <c:pt idx="890">
                  <c:v>-18.585180120530058</c:v>
                </c:pt>
                <c:pt idx="891">
                  <c:v>-18.448606397212455</c:v>
                </c:pt>
                <c:pt idx="892">
                  <c:v>-18.306005868513438</c:v>
                </c:pt>
                <c:pt idx="893">
                  <c:v>-18.157425119286891</c:v>
                </c:pt>
                <c:pt idx="894">
                  <c:v>-18.002912688009872</c:v>
                </c:pt>
                <c:pt idx="895">
                  <c:v>-17.842519050926139</c:v>
                </c:pt>
                <c:pt idx="896">
                  <c:v>-17.676296605556335</c:v>
                </c:pt>
                <c:pt idx="897">
                  <c:v>-17.504299653580851</c:v>
                </c:pt>
                <c:pt idx="898">
                  <c:v>-17.326584383100446</c:v>
                </c:pt>
                <c:pt idx="899">
                  <c:v>-17.143208850280814</c:v>
                </c:pt>
                <c:pt idx="900">
                  <c:v>-16.954232960386541</c:v>
                </c:pt>
                <c:pt idx="901">
                  <c:v>-16.759718448211327</c:v>
                </c:pt>
                <c:pt idx="902">
                  <c:v>-16.559728857910375</c:v>
                </c:pt>
                <c:pt idx="903">
                  <c:v>-16.354329522241859</c:v>
                </c:pt>
                <c:pt idx="904">
                  <c:v>-16.143587541223752</c:v>
                </c:pt>
                <c:pt idx="905">
                  <c:v>-15.927571760213697</c:v>
                </c:pt>
                <c:pt idx="906">
                  <c:v>-15.706352747418446</c:v>
                </c:pt>
                <c:pt idx="907">
                  <c:v>-15.48000277084078</c:v>
                </c:pt>
                <c:pt idx="908">
                  <c:v>-15.248595774670672</c:v>
                </c:pt>
                <c:pt idx="909">
                  <c:v>-15.012207355129309</c:v>
                </c:pt>
                <c:pt idx="910">
                  <c:v>-14.770914735773173</c:v>
                </c:pt>
                <c:pt idx="911">
                  <c:v>-14.524796742266775</c:v>
                </c:pt>
                <c:pt idx="912">
                  <c:v>-14.273933776631544</c:v>
                </c:pt>
                <c:pt idx="913">
                  <c:v>-14.018407790980165</c:v>
                </c:pt>
                <c:pt idx="914">
                  <c:v>-13.758302260744557</c:v>
                </c:pt>
                <c:pt idx="915">
                  <c:v>-13.493702157405744</c:v>
                </c:pt>
                <c:pt idx="916">
                  <c:v>-13.224693920735513</c:v>
                </c:pt>
                <c:pt idx="917">
                  <c:v>-12.951365430558091</c:v>
                </c:pt>
                <c:pt idx="918">
                  <c:v>-12.67380597804171</c:v>
                </c:pt>
                <c:pt idx="919">
                  <c:v>-12.39210623652858</c:v>
                </c:pt>
                <c:pt idx="920">
                  <c:v>-12.106358231913854</c:v>
                </c:pt>
                <c:pt idx="921">
                  <c:v>-11.816655312582437</c:v>
                </c:pt>
                <c:pt idx="922">
                  <c:v>-11.523092118914084</c:v>
                </c:pt>
                <c:pt idx="923">
                  <c:v>-11.22576455236586</c:v>
                </c:pt>
                <c:pt idx="924">
                  <c:v>-10.924769744143209</c:v>
                </c:pt>
                <c:pt idx="925">
                  <c:v>-10.620206023468935</c:v>
                </c:pt>
                <c:pt idx="926">
                  <c:v>-10.312172885461177</c:v>
                </c:pt>
                <c:pt idx="927">
                  <c:v>-10.0007709586299</c:v>
                </c:pt>
                <c:pt idx="928">
                  <c:v>-9.6861019720036783</c:v>
                </c:pt>
                <c:pt idx="929">
                  <c:v>-9.3682687218969498</c:v>
                </c:pt>
                <c:pt idx="930">
                  <c:v>-9.0473750383280827</c:v>
                </c:pt>
                <c:pt idx="931">
                  <c:v>-8.7235257511003326</c:v>
                </c:pt>
                <c:pt idx="932">
                  <c:v>-8.3968266555558415</c:v>
                </c:pt>
                <c:pt idx="933">
                  <c:v>-8.0673844780145902</c:v>
                </c:pt>
                <c:pt idx="934">
                  <c:v>-7.735306840908569</c:v>
                </c:pt>
                <c:pt idx="935">
                  <c:v>-7.400702227623853</c:v>
                </c:pt>
                <c:pt idx="936">
                  <c:v>-7.0636799470610363</c:v>
                </c:pt>
                <c:pt idx="937">
                  <c:v>-6.7243500979263793</c:v>
                </c:pt>
                <c:pt idx="938">
                  <c:v>-6.3828235327642719</c:v>
                </c:pt>
                <c:pt idx="939">
                  <c:v>-6.0392118217441109</c:v>
                </c:pt>
                <c:pt idx="940">
                  <c:v>-5.6936272162123913</c:v>
                </c:pt>
                <c:pt idx="941">
                  <c:v>-5.3461826120223597</c:v>
                </c:pt>
                <c:pt idx="942">
                  <c:v>-4.9969915126530271</c:v>
                </c:pt>
                <c:pt idx="943">
                  <c:v>-4.6461679921300423</c:v>
                </c:pt>
                <c:pt idx="944">
                  <c:v>-4.2938266577594888</c:v>
                </c:pt>
                <c:pt idx="945">
                  <c:v>-3.9400826126881512</c:v>
                </c:pt>
                <c:pt idx="946">
                  <c:v>-3.585051418301386</c:v>
                </c:pt>
                <c:pt idx="947">
                  <c:v>-3.2288490564717218</c:v>
                </c:pt>
                <c:pt idx="948">
                  <c:v>-2.871591891669389</c:v>
                </c:pt>
                <c:pt idx="949">
                  <c:v>-2.5133966329484858</c:v>
                </c:pt>
                <c:pt idx="950">
                  <c:v>-2.1543802958205909</c:v>
                </c:pt>
                <c:pt idx="951">
                  <c:v>-1.7946601640276163</c:v>
                </c:pt>
                <c:pt idx="952">
                  <c:v>-1.4343537512277442</c:v>
                </c:pt>
                <c:pt idx="953">
                  <c:v>-1.0735787626058306</c:v>
                </c:pt>
                <c:pt idx="954">
                  <c:v>-0.71245305642166579</c:v>
                </c:pt>
                <c:pt idx="955">
                  <c:v>-0.35109460550751881</c:v>
                </c:pt>
                <c:pt idx="956">
                  <c:v>1.0378541271036863E-2</c:v>
                </c:pt>
                <c:pt idx="957">
                  <c:v>0.37184829757956328</c:v>
                </c:pt>
                <c:pt idx="958">
                  <c:v>0.73319657819101036</c:v>
                </c:pt>
                <c:pt idx="959">
                  <c:v>1.0943053375623186</c:v>
                </c:pt>
                <c:pt idx="960">
                  <c:v>1.4550566083973462</c:v>
                </c:pt>
                <c:pt idx="961">
                  <c:v>1.8153325401846612</c:v>
                </c:pt>
                <c:pt idx="962">
                  <c:v>2.1750154376967559</c:v>
                </c:pt>
                <c:pt idx="963">
                  <c:v>2.5339877994392435</c:v>
                </c:pt>
                <c:pt idx="964">
                  <c:v>2.8921323560360559</c:v>
                </c:pt>
                <c:pt idx="965">
                  <c:v>3.2493321085392353</c:v>
                </c:pt>
                <c:pt idx="966">
                  <c:v>3.6054703666499672</c:v>
                </c:pt>
                <c:pt idx="967">
                  <c:v>3.9604307868394768</c:v>
                </c:pt>
                <c:pt idx="968">
                  <c:v>4.3140974103560161</c:v>
                </c:pt>
                <c:pt idx="969">
                  <c:v>4.666354701106151</c:v>
                </c:pt>
                <c:pt idx="970">
                  <c:v>5.0170875833986077</c:v>
                </c:pt>
                <c:pt idx="971">
                  <c:v>5.3661814795370013</c:v>
                </c:pt>
                <c:pt idx="972">
                  <c:v>5.7135223472503158</c:v>
                </c:pt>
                <c:pt idx="973">
                  <c:v>6.0589967169480508</c:v>
                </c:pt>
                <c:pt idx="974">
                  <c:v>6.4024917287889584</c:v>
                </c:pt>
                <c:pt idx="975">
                  <c:v>6.7438951695499227</c:v>
                </c:pt>
                <c:pt idx="976">
                  <c:v>7.083095509283992</c:v>
                </c:pt>
                <c:pt idx="977">
                  <c:v>7.4199819377548089</c:v>
                </c:pt>
                <c:pt idx="978">
                  <c:v>7.7544444006365847</c:v>
                </c:pt>
                <c:pt idx="979">
                  <c:v>8.0863736354664617</c:v>
                </c:pt>
                <c:pt idx="980">
                  <c:v>8.415661207338605</c:v>
                </c:pt>
                <c:pt idx="981">
                  <c:v>8.74219954432753</c:v>
                </c:pt>
                <c:pt idx="982">
                  <c:v>9.0658819726301871</c:v>
                </c:pt>
                <c:pt idx="983">
                  <c:v>9.3866027514140367</c:v>
                </c:pt>
                <c:pt idx="984">
                  <c:v>9.7042571073603678</c:v>
                </c:pt>
                <c:pt idx="985">
                  <c:v>10.018741268892104</c:v>
                </c:pt>
                <c:pt idx="986">
                  <c:v>10.329952500073736</c:v>
                </c:pt>
                <c:pt idx="987">
                  <c:v>10.637789134173293</c:v>
                </c:pt>
                <c:pt idx="988">
                  <c:v>10.942150606874685</c:v>
                </c:pt>
                <c:pt idx="989">
                  <c:v>11.242937489130483</c:v>
                </c:pt>
                <c:pt idx="990">
                  <c:v>11.540051519643239</c:v>
                </c:pt>
                <c:pt idx="991">
                  <c:v>11.83339563696569</c:v>
                </c:pt>
                <c:pt idx="992">
                  <c:v>12.122874011208634</c:v>
                </c:pt>
                <c:pt idx="993">
                  <c:v>12.408392075347052</c:v>
                </c:pt>
                <c:pt idx="994">
                  <c:v>12.689856556113126</c:v>
                </c:pt>
                <c:pt idx="995">
                  <c:v>12.967175504466917</c:v>
                </c:pt>
                <c:pt idx="996">
                  <c:v>13.240258325634148</c:v>
                </c:pt>
                <c:pt idx="997">
                  <c:v>13.509015808702099</c:v>
                </c:pt>
                <c:pt idx="998">
                  <c:v>13.773360155762866</c:v>
                </c:pt>
                <c:pt idx="999">
                  <c:v>14.033205010595385</c:v>
                </c:pt>
                <c:pt idx="1000">
                  <c:v>14.288465486876124</c:v>
                </c:pt>
                <c:pt idx="1001">
                  <c:v>14.539058195910126</c:v>
                </c:pt>
                <c:pt idx="1002">
                  <c:v>14.784901273872348</c:v>
                </c:pt>
                <c:pt idx="1003">
                  <c:v>15.025914408550801</c:v>
                </c:pt>
                <c:pt idx="1004">
                  <c:v>15.262018865583526</c:v>
                </c:pt>
                <c:pt idx="1005">
                  <c:v>15.493137514178958</c:v>
                </c:pt>
                <c:pt idx="1006">
                  <c:v>15.719194852313612</c:v>
                </c:pt>
                <c:pt idx="1007">
                  <c:v>15.940117031396696</c:v>
                </c:pt>
                <c:pt idx="1008">
                  <c:v>16.155831880395574</c:v>
                </c:pt>
                <c:pt idx="1009">
                  <c:v>16.366268929412012</c:v>
                </c:pt>
                <c:pt idx="1010">
                  <c:v>16.571359432703893</c:v>
                </c:pt>
                <c:pt idx="1011">
                  <c:v>16.771036391142687</c:v>
                </c:pt>
                <c:pt idx="1012">
                  <c:v>16.965234574101274</c:v>
                </c:pt>
                <c:pt idx="1013">
                  <c:v>17.15389054076299</c:v>
                </c:pt>
                <c:pt idx="1014">
                  <c:v>17.336942660846969</c:v>
                </c:pt>
                <c:pt idx="1015">
                  <c:v>17.514331134741219</c:v>
                </c:pt>
                <c:pt idx="1016">
                  <c:v>17.685998013038425</c:v>
                </c:pt>
                <c:pt idx="1017">
                  <c:v>17.851887215466423</c:v>
                </c:pt>
                <c:pt idx="1018">
                  <c:v>18.011944549208952</c:v>
                </c:pt>
                <c:pt idx="1019">
                  <c:v>18.166117726609087</c:v>
                </c:pt>
                <c:pt idx="1020">
                  <c:v>18.314356382250981</c:v>
                </c:pt>
                <c:pt idx="1021">
                  <c:v>18.456612089412861</c:v>
                </c:pt>
                <c:pt idx="1022">
                  <c:v>18.592838375887442</c:v>
                </c:pt>
                <c:pt idx="1023">
                  <c:v>18.722990739163279</c:v>
                </c:pt>
                <c:pt idx="1024">
                  <c:v>18.847026660963063</c:v>
                </c:pt>
                <c:pt idx="1025">
                  <c:v>18.964905621133397</c:v>
                </c:pt>
                <c:pt idx="1026">
                  <c:v>19.076589110882029</c:v>
                </c:pt>
                <c:pt idx="1027">
                  <c:v>19.182040645357841</c:v>
                </c:pt>
                <c:pt idx="1028">
                  <c:v>19.281225775569865</c:v>
                </c:pt>
                <c:pt idx="1029">
                  <c:v>19.374112099641035</c:v>
                </c:pt>
                <c:pt idx="1030">
                  <c:v>19.460669273393297</c:v>
                </c:pt>
                <c:pt idx="1031">
                  <c:v>19.540869020260384</c:v>
                </c:pt>
                <c:pt idx="1032">
                  <c:v>19.614685140525353</c:v>
                </c:pt>
                <c:pt idx="1033">
                  <c:v>19.682093519879444</c:v>
                </c:pt>
                <c:pt idx="1034">
                  <c:v>19.743072137299794</c:v>
                </c:pt>
                <c:pt idx="1035">
                  <c:v>19.797601072243236</c:v>
                </c:pt>
                <c:pt idx="1036">
                  <c:v>19.845662511154046</c:v>
                </c:pt>
                <c:pt idx="1037">
                  <c:v>19.88724075328318</c:v>
                </c:pt>
                <c:pt idx="1038">
                  <c:v>19.922322215817537</c:v>
                </c:pt>
                <c:pt idx="1039">
                  <c:v>19.950895438317065</c:v>
                </c:pt>
                <c:pt idx="1040">
                  <c:v>19.972951086458764</c:v>
                </c:pt>
                <c:pt idx="1041">
                  <c:v>19.988481955085987</c:v>
                </c:pt>
                <c:pt idx="1042">
                  <c:v>19.997482970562249</c:v>
                </c:pt>
                <c:pt idx="1043">
                  <c:v>19.999951192428671</c:v>
                </c:pt>
                <c:pt idx="1044">
                  <c:v>19.99588581436457</c:v>
                </c:pt>
                <c:pt idx="1045">
                  <c:v>19.985288164450886</c:v>
                </c:pt>
                <c:pt idx="1046">
                  <c:v>19.968161704736293</c:v>
                </c:pt>
                <c:pt idx="1047">
                  <c:v>19.944512030106253</c:v>
                </c:pt>
                <c:pt idx="1048">
                  <c:v>19.914346866455244</c:v>
                </c:pt>
                <c:pt idx="1049">
                  <c:v>19.877676068162881</c:v>
                </c:pt>
                <c:pt idx="1050">
                  <c:v>19.834511614874632</c:v>
                </c:pt>
                <c:pt idx="1051">
                  <c:v>19.784867607588389</c:v>
                </c:pt>
                <c:pt idx="1052">
                  <c:v>19.728760264047828</c:v>
                </c:pt>
                <c:pt idx="1053">
                  <c:v>19.666207913444509</c:v>
                </c:pt>
                <c:pt idx="1054">
                  <c:v>19.597230990429935</c:v>
                </c:pt>
                <c:pt idx="1055">
                  <c:v>19.521852028440104</c:v>
                </c:pt>
                <c:pt idx="1056">
                  <c:v>19.440095652334119</c:v>
                </c:pt>
                <c:pt idx="1057">
                  <c:v>19.35198857034985</c:v>
                </c:pt>
                <c:pt idx="1058">
                  <c:v>19.257559565378763</c:v>
                </c:pt>
                <c:pt idx="1059">
                  <c:v>19.156839485563154</c:v>
                </c:pt>
                <c:pt idx="1060">
                  <c:v>19.049861234218625</c:v>
                </c:pt>
                <c:pt idx="1061">
                  <c:v>18.936659759085277</c:v>
                </c:pt>
                <c:pt idx="1062">
                  <c:v>18.817272040910844</c:v>
                </c:pt>
                <c:pt idx="1063">
                  <c:v>18.691737081369855</c:v>
                </c:pt>
                <c:pt idx="1064">
                  <c:v>18.560095890322522</c:v>
                </c:pt>
                <c:pt idx="1065">
                  <c:v>18.422391472417669</c:v>
                </c:pt>
                <c:pt idx="1066">
                  <c:v>18.278668813043819</c:v>
                </c:pt>
                <c:pt idx="1067">
                  <c:v>18.128974863633417</c:v>
                </c:pt>
                <c:pt idx="1068">
                  <c:v>17.973358526324642</c:v>
                </c:pt>
                <c:pt idx="1069">
                  <c:v>17.811870637986146</c:v>
                </c:pt>
                <c:pt idx="1070">
                  <c:v>17.644563953609417</c:v>
                </c:pt>
                <c:pt idx="1071">
                  <c:v>17.471493129075</c:v>
                </c:pt>
                <c:pt idx="1072">
                  <c:v>17.292714703297097</c:v>
                </c:pt>
                <c:pt idx="1073">
                  <c:v>17.10828707975385</c:v>
                </c:pt>
                <c:pt idx="1074">
                  <c:v>16.91827050740763</c:v>
                </c:pt>
                <c:pt idx="1075">
                  <c:v>16.722727061023239</c:v>
                </c:pt>
                <c:pt idx="1076">
                  <c:v>16.521720620888797</c:v>
                </c:pt>
                <c:pt idx="1077">
                  <c:v>16.315316851947831</c:v>
                </c:pt>
                <c:pt idx="1078">
                  <c:v>16.103583182347329</c:v>
                </c:pt>
                <c:pt idx="1079">
                  <c:v>15.886588781410673</c:v>
                </c:pt>
                <c:pt idx="1080">
                  <c:v>15.664404537040827</c:v>
                </c:pt>
                <c:pt idx="1081">
                  <c:v>15.437103032563229</c:v>
                </c:pt>
                <c:pt idx="1082">
                  <c:v>15.204758523013693</c:v>
                </c:pt>
                <c:pt idx="1083">
                  <c:v>14.967446910881163</c:v>
                </c:pt>
                <c:pt idx="1084">
                  <c:v>14.725245721311268</c:v>
                </c:pt>
                <c:pt idx="1085">
                  <c:v>14.478234076781007</c:v>
                </c:pt>
                <c:pt idx="1086">
                  <c:v>14.226492671250382</c:v>
                </c:pt>
                <c:pt idx="1087">
                  <c:v>13.970103743801722</c:v>
                </c:pt>
                <c:pt idx="1088">
                  <c:v>13.709151051773155</c:v>
                </c:pt>
                <c:pt idx="1089">
                  <c:v>13.443719843397394</c:v>
                </c:pt>
                <c:pt idx="1090">
                  <c:v>13.173896829952177</c:v>
                </c:pt>
                <c:pt idx="1091">
                  <c:v>12.899770157433812</c:v>
                </c:pt>
                <c:pt idx="1092">
                  <c:v>12.621429377761213</c:v>
                </c:pt>
                <c:pt idx="1093">
                  <c:v>12.338965419521218</c:v>
                </c:pt>
                <c:pt idx="1094">
                  <c:v>12.052470558263851</c:v>
                </c:pt>
                <c:pt idx="1095">
                  <c:v>11.76203838635791</c:v>
                </c:pt>
                <c:pt idx="1096">
                  <c:v>11.467763782415783</c:v>
                </c:pt>
                <c:pt idx="1097">
                  <c:v>11.169742880298672</c:v>
                </c:pt>
                <c:pt idx="1098">
                  <c:v>10.868073037711373</c:v>
                </c:pt>
                <c:pt idx="1099">
                  <c:v>10.562852804397629</c:v>
                </c:pt>
                <c:pt idx="1100">
                  <c:v>10.254181889945473</c:v>
                </c:pt>
                <c:pt idx="1101">
                  <c:v>9.9421611312142435</c:v>
                </c:pt>
                <c:pt idx="1102">
                  <c:v>9.6268924593930087</c:v>
                </c:pt>
                <c:pt idx="1103">
                  <c:v>9.3084788667018472</c:v>
                </c:pt>
                <c:pt idx="1104">
                  <c:v>8.9870243727458341</c:v>
                </c:pt>
                <c:pt idx="1105">
                  <c:v>8.6626339905344025</c:v>
                </c:pt>
                <c:pt idx="1106">
                  <c:v>8.3354136921748427</c:v>
                </c:pt>
                <c:pt idx="1107">
                  <c:v>8.0054703742541449</c:v>
                </c:pt>
                <c:pt idx="1108">
                  <c:v>7.6729118229171709</c:v>
                </c:pt>
                <c:pt idx="1109">
                  <c:v>7.3378466786556382</c:v>
                </c:pt>
                <c:pt idx="1110">
                  <c:v>7.0003844008165697</c:v>
                </c:pt>
                <c:pt idx="1111">
                  <c:v>6.660635231844946</c:v>
                </c:pt>
                <c:pt idx="1112">
                  <c:v>6.3187101612688314</c:v>
                </c:pt>
                <c:pt idx="1113">
                  <c:v>5.9747208894418868</c:v>
                </c:pt>
                <c:pt idx="1114">
                  <c:v>5.6287797910522039</c:v>
                </c:pt>
                <c:pt idx="1115">
                  <c:v>5.2809998784125991</c:v>
                </c:pt>
                <c:pt idx="1116">
                  <c:v>4.9314947645408482</c:v>
                </c:pt>
                <c:pt idx="1117">
                  <c:v>4.5803786260451771</c:v>
                </c:pt>
                <c:pt idx="1118">
                  <c:v>4.2277661658241312</c:v>
                </c:pt>
                <c:pt idx="1119">
                  <c:v>3.8737725755963104</c:v>
                </c:pt>
                <c:pt idx="1120">
                  <c:v>3.5185134982686135</c:v>
                </c:pt>
                <c:pt idx="1121">
                  <c:v>3.1621049901586189</c:v>
                </c:pt>
                <c:pt idx="1122">
                  <c:v>2.8046634830803763</c:v>
                </c:pt>
                <c:pt idx="1123">
                  <c:v>2.4463057463093469</c:v>
                </c:pt>
                <c:pt idx="1124">
                  <c:v>2.0871488484352851</c:v>
                </c:pt>
                <c:pt idx="1125">
                  <c:v>1.7273101191188109</c:v>
                </c:pt>
                <c:pt idx="1126">
                  <c:v>1.3669071107616402</c:v>
                </c:pt>
                <c:pt idx="1127">
                  <c:v>1.0060575601044004</c:v>
                </c:pt>
                <c:pt idx="1128">
                  <c:v>0.64487934976493755</c:v>
                </c:pt>
                <c:pt idx="1129">
                  <c:v>0.28349046972754899</c:v>
                </c:pt>
                <c:pt idx="1130">
                  <c:v>-7.7991021201368971E-2</c:v>
                </c:pt>
                <c:pt idx="1131">
                  <c:v>-0.43944703396171747</c:v>
                </c:pt>
                <c:pt idx="1132">
                  <c:v>-0.80075948781612893</c:v>
                </c:pt>
                <c:pt idx="1133">
                  <c:v>-1.161810348925528</c:v>
                </c:pt>
                <c:pt idx="1134">
                  <c:v>-1.5224816689078102</c:v>
                </c:pt>
                <c:pt idx="1135">
                  <c:v>-1.8826556233701643</c:v>
                </c:pt>
                <c:pt idx="1136">
                  <c:v>-2.2422145503990452</c:v>
                </c:pt>
                <c:pt idx="1137">
                  <c:v>-2.6010409889989132</c:v>
                </c:pt>
                <c:pt idx="1138">
                  <c:v>-2.9590177174637757</c:v>
                </c:pt>
                <c:pt idx="1139">
                  <c:v>-3.3160277916721141</c:v>
                </c:pt>
                <c:pt idx="1140">
                  <c:v>-3.6719545832892999</c:v>
                </c:pt>
                <c:pt idx="1141">
                  <c:v>-4.0266818178686687</c:v>
                </c:pt>
                <c:pt idx="1142">
                  <c:v>-4.3800936128354548</c:v>
                </c:pt>
                <c:pt idx="1143">
                  <c:v>-4.7320745153442365</c:v>
                </c:pt>
                <c:pt idx="1144">
                  <c:v>-5.082509539994188</c:v>
                </c:pt>
                <c:pt idx="1145">
                  <c:v>-5.4312842063934355</c:v>
                </c:pt>
                <c:pt idx="1146">
                  <c:v>-5.7782845765569153</c:v>
                </c:pt>
                <c:pt idx="1147">
                  <c:v>-6.1233972921285451</c:v>
                </c:pt>
                <c:pt idx="1148">
                  <c:v>-6.4665096114122615</c:v>
                </c:pt>
                <c:pt idx="1149">
                  <c:v>-6.8075094462033912</c:v>
                </c:pt>
                <c:pt idx="1150">
                  <c:v>-7.1462853984051025</c:v>
                </c:pt>
                <c:pt idx="1151">
                  <c:v>-7.4827267964204918</c:v>
                </c:pt>
                <c:pt idx="1152">
                  <c:v>-7.816723731306606</c:v>
                </c:pt>
                <c:pt idx="1153">
                  <c:v>-8.1481670926797118</c:v>
                </c:pt>
                <c:pt idx="1154">
                  <c:v>-8.4769486043593005</c:v>
                </c:pt>
                <c:pt idx="1155">
                  <c:v>-8.8029608597402316</c:v>
                </c:pt>
                <c:pt idx="1156">
                  <c:v>-9.1260973568801464</c:v>
                </c:pt>
                <c:pt idx="1157">
                  <c:v>-9.4462525332917302</c:v>
                </c:pt>
                <c:pt idx="1158">
                  <c:v>-9.7633218004277058</c:v>
                </c:pt>
                <c:pt idx="1159">
                  <c:v>-10.077201577848271</c:v>
                </c:pt>
                <c:pt idx="1160">
                  <c:v>-10.387789327058599</c:v>
                </c:pt>
                <c:pt idx="1161">
                  <c:v>-10.694983585006305</c:v>
                </c:pt>
                <c:pt idx="1162">
                  <c:v>-10.998683997227252</c:v>
                </c:pt>
                <c:pt idx="1163">
                  <c:v>-11.298791350629827</c:v>
                </c:pt>
                <c:pt idx="1164">
                  <c:v>-11.595207605905436</c:v>
                </c:pt>
                <c:pt idx="1165">
                  <c:v>-11.887835929556758</c:v>
                </c:pt>
                <c:pt idx="1166">
                  <c:v>-12.176580725530574</c:v>
                </c:pt>
                <c:pt idx="1167">
                  <c:v>-12.461347666447862</c:v>
                </c:pt>
                <c:pt idx="1168">
                  <c:v>-12.742043724418155</c:v>
                </c:pt>
                <c:pt idx="1169">
                  <c:v>-13.018577201430659</c:v>
                </c:pt>
                <c:pt idx="1170">
                  <c:v>-13.290857759309436</c:v>
                </c:pt>
                <c:pt idx="1171">
                  <c:v>-13.558796449225827</c:v>
                </c:pt>
                <c:pt idx="1172">
                  <c:v>-13.822305740755773</c:v>
                </c:pt>
                <c:pt idx="1173">
                  <c:v>-14.081299550474967</c:v>
                </c:pt>
                <c:pt idx="1174">
                  <c:v>-14.335693270079915</c:v>
                </c:pt>
                <c:pt idx="1175">
                  <c:v>-14.585403794028476</c:v>
                </c:pt>
                <c:pt idx="1176">
                  <c:v>-14.830349546688328</c:v>
                </c:pt>
                <c:pt idx="1177">
                  <c:v>-15.070450508986761</c:v>
                </c:pt>
                <c:pt idx="1178">
                  <c:v>-15.305628244550691</c:v>
                </c:pt>
                <c:pt idx="1179">
                  <c:v>-15.535805925330878</c:v>
                </c:pt>
                <c:pt idx="1180">
                  <c:v>-15.76090835669973</c:v>
                </c:pt>
                <c:pt idx="1181">
                  <c:v>-15.980862002016469</c:v>
                </c:pt>
                <c:pt idx="1182">
                  <c:v>-16.195595006649526</c:v>
                </c:pt>
                <c:pt idx="1183">
                  <c:v>-16.405037221450581</c:v>
                </c:pt>
                <c:pt idx="1184">
                  <c:v>-16.60912022567058</c:v>
                </c:pt>
                <c:pt idx="1185">
                  <c:v>-16.807777349311756</c:v>
                </c:pt>
                <c:pt idx="1186">
                  <c:v>-17.000943694907271</c:v>
                </c:pt>
                <c:pt idx="1187">
                  <c:v>-17.188556158722051</c:v>
                </c:pt>
                <c:pt idx="1188">
                  <c:v>-17.370553451367439</c:v>
                </c:pt>
                <c:pt idx="1189">
                  <c:v>-17.546876117823441</c:v>
                </c:pt>
                <c:pt idx="1190">
                  <c:v>-17.717466556861424</c:v>
                </c:pt>
                <c:pt idx="1191">
                  <c:v>-17.882269039861391</c:v>
                </c:pt>
                <c:pt idx="1192">
                  <c:v>-18.041229729017317</c:v>
                </c:pt>
                <c:pt idx="1193">
                  <c:v>-18.194296694925125</c:v>
                </c:pt>
                <c:pt idx="1194">
                  <c:v>-18.341419933546899</c:v>
                </c:pt>
                <c:pt idx="1195">
                  <c:v>-18.482551382546291</c:v>
                </c:pt>
                <c:pt idx="1196">
                  <c:v>-18.617644936989464</c:v>
                </c:pt>
                <c:pt idx="1197">
                  <c:v>-18.746656464406875</c:v>
                </c:pt>
                <c:pt idx="1198">
                  <c:v>-18.869543819210271</c:v>
                </c:pt>
                <c:pt idx="1199">
                  <c:v>-18.986266856461139</c:v>
                </c:pt>
                <c:pt idx="1200">
                  <c:v>-19.096787444984948</c:v>
                </c:pt>
                <c:pt idx="1201">
                  <c:v>-19.20106947982816</c:v>
                </c:pt>
                <c:pt idx="1202">
                  <c:v>-19.299078894052794</c:v>
                </c:pt>
                <c:pt idx="1203">
                  <c:v>-19.390783669865701</c:v>
                </c:pt>
                <c:pt idx="1204">
                  <c:v>-19.476153849077864</c:v>
                </c:pt>
                <c:pt idx="1205">
                  <c:v>-19.555161542891412</c:v>
                </c:pt>
                <c:pt idx="1206">
                  <c:v>-19.627780941010172</c:v>
                </c:pt>
                <c:pt idx="1207">
                  <c:v>-19.693988320071586</c:v>
                </c:pt>
                <c:pt idx="1208">
                  <c:v>-19.753762051396464</c:v>
                </c:pt>
                <c:pt idx="1209">
                  <c:v>-19.807082608054838</c:v>
                </c:pt>
                <c:pt idx="1210">
                  <c:v>-19.853932571244904</c:v>
                </c:pt>
                <c:pt idx="1211">
                  <c:v>-19.894296635983537</c:v>
                </c:pt>
                <c:pt idx="1212">
                  <c:v>-19.928161616106006</c:v>
                </c:pt>
                <c:pt idx="1213">
                  <c:v>-19.955516448573732</c:v>
                </c:pt>
                <c:pt idx="1214">
                  <c:v>-19.976352197088325</c:v>
                </c:pt>
                <c:pt idx="1215">
                  <c:v>-19.99066205501093</c:v>
                </c:pt>
                <c:pt idx="1216">
                  <c:v>-19.998441347585796</c:v>
                </c:pt>
                <c:pt idx="1217">
                  <c:v>-19.999687533467458</c:v>
                </c:pt>
                <c:pt idx="1218">
                  <c:v>-19.994400205550914</c:v>
                </c:pt>
                <c:pt idx="1219">
                  <c:v>-19.982581091104649</c:v>
                </c:pt>
                <c:pt idx="1220">
                  <c:v>-19.964234051206354</c:v>
                </c:pt>
                <c:pt idx="1221">
                  <c:v>-19.939365079481576</c:v>
                </c:pt>
                <c:pt idx="1222">
                  <c:v>-19.907982300145751</c:v>
                </c:pt>
                <c:pt idx="1223">
                  <c:v>-19.870095965350135</c:v>
                </c:pt>
                <c:pt idx="1224">
                  <c:v>-19.825718451832653</c:v>
                </c:pt>
                <c:pt idx="1225">
                  <c:v>-19.774864256874636</c:v>
                </c:pt>
                <c:pt idx="1226">
                  <c:v>-19.71754999356488</c:v>
                </c:pt>
                <c:pt idx="1227">
                  <c:v>-19.653794385372404</c:v>
                </c:pt>
                <c:pt idx="1228">
                  <c:v>-19.583618260029898</c:v>
                </c:pt>
                <c:pt idx="1229">
                  <c:v>-19.507044542729677</c:v>
                </c:pt>
                <c:pt idx="1230">
                  <c:v>-19.424098248634518</c:v>
                </c:pt>
                <c:pt idx="1231">
                  <c:v>-19.334806474705584</c:v>
                </c:pt>
                <c:pt idx="1232">
                  <c:v>-19.239198390850511</c:v>
                </c:pt>
                <c:pt idx="1233">
                  <c:v>-19.137305230393945</c:v>
                </c:pt>
                <c:pt idx="1234">
                  <c:v>-19.029160279874485</c:v>
                </c:pt>
                <c:pt idx="1235">
                  <c:v>-18.914798868170358</c:v>
                </c:pt>
                <c:pt idx="1236">
                  <c:v>-18.794258354958387</c:v>
                </c:pt>
                <c:pt idx="1237">
                  <c:v>-18.667578118509013</c:v>
                </c:pt>
                <c:pt idx="1238">
                  <c:v>-18.534799542822501</c:v>
                </c:pt>
                <c:pt idx="1239">
                  <c:v>-18.395966004109297</c:v>
                </c:pt>
                <c:pt idx="1240">
                  <c:v>-18.251122856620118</c:v>
                </c:pt>
                <c:pt idx="1241">
                  <c:v>-18.100317417829235</c:v>
                </c:pt>
                <c:pt idx="1242">
                  <c:v>-17.943598952977183</c:v>
                </c:pt>
                <c:pt idx="1243">
                  <c:v>-17.781018658976389</c:v>
                </c:pt>
                <c:pt idx="1244">
                  <c:v>-17.612629647686454</c:v>
                </c:pt>
                <c:pt idx="1245">
                  <c:v>-17.438486928563105</c:v>
                </c:pt>
                <c:pt idx="1246">
                  <c:v>-17.25864739068815</c:v>
                </c:pt>
                <c:pt idx="1247">
                  <c:v>-17.073169784184504</c:v>
                </c:pt>
                <c:pt idx="1248">
                  <c:v>-16.88211470102399</c:v>
                </c:pt>
                <c:pt idx="1249">
                  <c:v>-16.685544555232681</c:v>
                </c:pt>
                <c:pt idx="1250">
                  <c:v>-16.48352356250194</c:v>
                </c:pt>
                <c:pt idx="1251">
                  <c:v>-16.276117719209992</c:v>
                </c:pt>
                <c:pt idx="1252">
                  <c:v>-16.063394780862307</c:v>
                </c:pt>
                <c:pt idx="1253">
                  <c:v>-15.84542423995736</c:v>
                </c:pt>
                <c:pt idx="1254">
                  <c:v>-15.622277303284299</c:v>
                </c:pt>
                <c:pt idx="1255">
                  <c:v>-15.394026868661649</c:v>
                </c:pt>
                <c:pt idx="1256">
                  <c:v>-15.160747501122477</c:v>
                </c:pt>
                <c:pt idx="1257">
                  <c:v>-14.922515408555876</c:v>
                </c:pt>
                <c:pt idx="1258">
                  <c:v>-14.679408416810755</c:v>
                </c:pt>
                <c:pt idx="1259">
                  <c:v>-14.431505944272285</c:v>
                </c:pt>
                <c:pt idx="1260">
                  <c:v>-14.17888897591687</c:v>
                </c:pt>
                <c:pt idx="1261">
                  <c:v>-13.921640036856397</c:v>
                </c:pt>
                <c:pt idx="1262">
                  <c:v>-13.65984316537827</c:v>
                </c:pt>
                <c:pt idx="1263">
                  <c:v>-13.393583885492415</c:v>
                </c:pt>
                <c:pt idx="1264">
                  <c:v>-13.122949178991625</c:v>
                </c:pt>
                <c:pt idx="1265">
                  <c:v>-12.8480274570368</c:v>
                </c:pt>
                <c:pt idx="1266">
                  <c:v>-12.568908531274065</c:v>
                </c:pt>
                <c:pt idx="1267">
                  <c:v>-12.285683584495811</c:v>
                </c:pt>
                <c:pt idx="1268">
                  <c:v>-11.998445140852343</c:v>
                </c:pt>
                <c:pt idx="1269">
                  <c:v>-11.707287035626599</c:v>
                </c:pt>
                <c:pt idx="1270">
                  <c:v>-11.412304384579272</c:v>
                </c:pt>
                <c:pt idx="1271">
                  <c:v>-11.113593552877125</c:v>
                </c:pt>
                <c:pt idx="1272">
                  <c:v>-10.811252123611638</c:v>
                </c:pt>
                <c:pt idx="1273">
                  <c:v>-10.505378865921029</c:v>
                </c:pt>
                <c:pt idx="1274">
                  <c:v>-10.196073702723849</c:v>
                </c:pt>
                <c:pt idx="1275">
                  <c:v>-9.8834376780763193</c:v>
                </c:pt>
                <c:pt idx="1276">
                  <c:v>-9.567572924163068</c:v>
                </c:pt>
                <c:pt idx="1277">
                  <c:v>-9.248582627932743</c:v>
                </c:pt>
                <c:pt idx="1278">
                  <c:v>-8.9265709973884562</c:v>
                </c:pt>
                <c:pt idx="1279">
                  <c:v>-8.6016432275452672</c:v>
                </c:pt>
                <c:pt idx="1280">
                  <c:v>-8.2739054660648783</c:v>
                </c:pt>
                <c:pt idx="1281">
                  <c:v>-7.9434647785794805</c:v>
                </c:pt>
                <c:pt idx="1282">
                  <c:v>-7.6104291137150861</c:v>
                </c:pt>
                <c:pt idx="1283">
                  <c:v>-7.2749072678270377</c:v>
                </c:pt>
                <c:pt idx="1284">
                  <c:v>-6.9370088494582047</c:v>
                </c:pt>
                <c:pt idx="1285">
                  <c:v>-6.5968442435322414</c:v>
                </c:pt>
                <c:pt idx="1286">
                  <c:v>-6.2545245752924821</c:v>
                </c:pt>
                <c:pt idx="1287">
                  <c:v>-5.9101616740000669</c:v>
                </c:pt>
                <c:pt idx="1288">
                  <c:v>-5.5638680364006587</c:v>
                </c:pt>
                <c:pt idx="1289">
                  <c:v>-5.2157567899748623</c:v>
                </c:pt>
                <c:pt idx="1290">
                  <c:v>-4.8659416559808371</c:v>
                </c:pt>
                <c:pt idx="1291">
                  <c:v>-4.5145369123044272</c:v>
                </c:pt>
                <c:pt idx="1292">
                  <c:v>-4.1616573561259509</c:v>
                </c:pt>
                <c:pt idx="1293">
                  <c:v>-3.8074182664191261</c:v>
                </c:pt>
                <c:pt idx="1294">
                  <c:v>-3.4519353662908152</c:v>
                </c:pt>
                <c:pt idx="1295">
                  <c:v>-3.0953247851772083</c:v>
                </c:pt>
                <c:pt idx="1296">
                  <c:v>-2.7377030209057232</c:v>
                </c:pt>
                <c:pt idx="1297">
                  <c:v>-2.3791869016383838</c:v>
                </c:pt>
                <c:pt idx="1298">
                  <c:v>-2.0198935477054651</c:v>
                </c:pt>
                <c:pt idx="1299">
                  <c:v>-1.6599403333452314</c:v>
                </c:pt>
                <c:pt idx="1300">
                  <c:v>-1.2994448483591801</c:v>
                </c:pt>
                <c:pt idx="1301">
                  <c:v>-0.93852485969870181</c:v>
                </c:pt>
                <c:pt idx="1302">
                  <c:v>-0.5772982729920314</c:v>
                </c:pt>
                <c:pt idx="1303">
                  <c:v>-0.21588309402745098</c:v>
                </c:pt>
                <c:pt idx="1304">
                  <c:v>0.14560260979778578</c:v>
                </c:pt>
                <c:pt idx="1305">
                  <c:v>0.50704074804681054</c:v>
                </c:pt>
                <c:pt idx="1306">
                  <c:v>0.86831324582187031</c:v>
                </c:pt>
                <c:pt idx="1307">
                  <c:v>1.2293020823364895</c:v>
                </c:pt>
                <c:pt idx="1308">
                  <c:v>1.5898893294710916</c:v>
                </c:pt>
                <c:pt idx="1309">
                  <c:v>1.9499571902975663</c:v>
                </c:pt>
                <c:pt idx="1310">
                  <c:v>2.3093880375614049</c:v>
                </c:pt>
                <c:pt idx="1311">
                  <c:v>2.6680644521079833</c:v>
                </c:pt>
                <c:pt idx="1312">
                  <c:v>3.0258692612415694</c:v>
                </c:pt>
                <c:pt idx="1313">
                  <c:v>3.3826855770031061</c:v>
                </c:pt>
                <c:pt idx="1314">
                  <c:v>3.7383968343554081</c:v>
                </c:pt>
                <c:pt idx="1315">
                  <c:v>4.0928868292624374</c:v>
                </c:pt>
                <c:pt idx="1316">
                  <c:v>4.4460397566513512</c:v>
                </c:pt>
                <c:pt idx="1317">
                  <c:v>4.7977402482435139</c:v>
                </c:pt>
                <c:pt idx="1318">
                  <c:v>5.1478734102432391</c:v>
                </c:pt>
                <c:pt idx="1319">
                  <c:v>5.4963248608711082</c:v>
                </c:pt>
                <c:pt idx="1320">
                  <c:v>5.8429807677307828</c:v>
                </c:pt>
                <c:pt idx="1321">
                  <c:v>6.1877278849952493</c:v>
                </c:pt>
                <c:pt idx="1322">
                  <c:v>6.5304535904028658</c:v>
                </c:pt>
                <c:pt idx="1323">
                  <c:v>6.8710459220479505</c:v>
                </c:pt>
                <c:pt idx="1324">
                  <c:v>7.2093936149573867</c:v>
                </c:pt>
                <c:pt idx="1325">
                  <c:v>7.5453861374380953</c:v>
                </c:pt>
                <c:pt idx="1326">
                  <c:v>7.8789137271863998</c:v>
                </c:pt>
                <c:pt idx="1327">
                  <c:v>8.2098674271443475</c:v>
                </c:pt>
                <c:pt idx="1328">
                  <c:v>8.5381391210946713</c:v>
                </c:pt>
                <c:pt idx="1329">
                  <c:v>8.8636215689796316</c:v>
                </c:pt>
                <c:pt idx="1330">
                  <c:v>9.186208441935058</c:v>
                </c:pt>
                <c:pt idx="1331">
                  <c:v>9.5057943570250494</c:v>
                </c:pt>
                <c:pt idx="1332">
                  <c:v>9.822274911669318</c:v>
                </c:pt>
                <c:pt idx="1333">
                  <c:v>10.13554671774888</c:v>
                </c:pt>
                <c:pt idx="1334">
                  <c:v>10.44550743538171</c:v>
                </c:pt>
                <c:pt idx="1335">
                  <c:v>10.75205580635436</c:v>
                </c:pt>
                <c:pt idx="1336">
                  <c:v>11.055091687201795</c:v>
                </c:pt>
                <c:pt idx="1337">
                  <c:v>11.354516081921748</c:v>
                </c:pt>
                <c:pt idx="1338">
                  <c:v>11.650231174315522</c:v>
                </c:pt>
                <c:pt idx="1339">
                  <c:v>11.942140359941828</c:v>
                </c:pt>
                <c:pt idx="1340">
                  <c:v>12.230148277676323</c:v>
                </c:pt>
                <c:pt idx="1341">
                  <c:v>12.51416084086372</c:v>
                </c:pt>
                <c:pt idx="1342">
                  <c:v>12.794085268054495</c:v>
                </c:pt>
                <c:pt idx="1343">
                  <c:v>13.069830113314589</c:v>
                </c:pt>
                <c:pt idx="1344">
                  <c:v>13.341305296099129</c:v>
                </c:pt>
                <c:pt idx="1345">
                  <c:v>13.608422130679813</c:v>
                </c:pt>
                <c:pt idx="1346">
                  <c:v>13.871093355117152</c:v>
                </c:pt>
                <c:pt idx="1347">
                  <c:v>14.129233159767047</c:v>
                </c:pt>
                <c:pt idx="1348">
                  <c:v>14.382757215313271</c:v>
                </c:pt>
                <c:pt idx="1349">
                  <c:v>14.63158270031602</c:v>
                </c:pt>
                <c:pt idx="1350">
                  <c:v>14.875628328268398</c:v>
                </c:pt>
                <c:pt idx="1351">
                  <c:v>15.114814374150956</c:v>
                </c:pt>
                <c:pt idx="1352">
                  <c:v>15.349062700476415</c:v>
                </c:pt>
                <c:pt idx="1353">
                  <c:v>15.578296782815503</c:v>
                </c:pt>
                <c:pt idx="1354">
                  <c:v>15.802441734796339</c:v>
                </c:pt>
                <c:pt idx="1355">
                  <c:v>16.021424332567967</c:v>
                </c:pt>
                <c:pt idx="1356">
                  <c:v>16.235173038721694</c:v>
                </c:pt>
                <c:pt idx="1357">
                  <c:v>16.44361802566041</c:v>
                </c:pt>
                <c:pt idx="1358">
                  <c:v>16.646691198410405</c:v>
                </c:pt>
                <c:pt idx="1359">
                  <c:v>16.8443262168663</c:v>
                </c:pt>
                <c:pt idx="1360">
                  <c:v>17.036458517463547</c:v>
                </c:pt>
                <c:pt idx="1361">
                  <c:v>17.223025334269572</c:v>
                </c:pt>
                <c:pt idx="1362">
                  <c:v>17.403965719488639</c:v>
                </c:pt>
                <c:pt idx="1363">
                  <c:v>17.57922056337198</c:v>
                </c:pt>
                <c:pt idx="1364">
                  <c:v>17.74873261352823</c:v>
                </c:pt>
                <c:pt idx="1365">
                  <c:v>17.912446493626181</c:v>
                </c:pt>
                <c:pt idx="1366">
                  <c:v>18.07030872148561</c:v>
                </c:pt>
                <c:pt idx="1367">
                  <c:v>18.22226772654852</c:v>
                </c:pt>
                <c:pt idx="1368">
                  <c:v>18.368273866726639</c:v>
                </c:pt>
                <c:pt idx="1369">
                  <c:v>18.508279444618118</c:v>
                </c:pt>
                <c:pt idx="1370">
                  <c:v>18.642238723089687</c:v>
                </c:pt>
                <c:pt idx="1371">
                  <c:v>18.770107940217859</c:v>
                </c:pt>
                <c:pt idx="1372">
                  <c:v>18.891845323585375</c:v>
                </c:pt>
                <c:pt idx="1373">
                  <c:v>19.007411103927144</c:v>
                </c:pt>
                <c:pt idx="1374">
                  <c:v>19.116767528122352</c:v>
                </c:pt>
                <c:pt idx="1375">
                  <c:v>19.219878871527484</c:v>
                </c:pt>
                <c:pt idx="1376">
                  <c:v>19.316711449647091</c:v>
                </c:pt>
                <c:pt idx="1377">
                  <c:v>19.407233629137686</c:v>
                </c:pt>
                <c:pt idx="1378">
                  <c:v>19.491415838141791</c:v>
                </c:pt>
                <c:pt idx="1379">
                  <c:v>19.569230575948577</c:v>
                </c:pt>
                <c:pt idx="1380">
                  <c:v>19.640652421977695</c:v>
                </c:pt>
                <c:pt idx="1381">
                  <c:v>19.705658044083837</c:v>
                </c:pt>
                <c:pt idx="1382">
                  <c:v>19.764226206178748</c:v>
                </c:pt>
                <c:pt idx="1383">
                  <c:v>19.816337775168758</c:v>
                </c:pt>
                <c:pt idx="1384">
                  <c:v>19.861975727205127</c:v>
                </c:pt>
                <c:pt idx="1385">
                  <c:v>19.901125153245488</c:v>
                </c:pt>
                <c:pt idx="1386">
                  <c:v>19.933773263924241</c:v>
                </c:pt>
                <c:pt idx="1387">
                  <c:v>19.959909393730694</c:v>
                </c:pt>
                <c:pt idx="1388">
                  <c:v>19.979525004493198</c:v>
                </c:pt>
                <c:pt idx="1389">
                  <c:v>19.992613688168479</c:v>
                </c:pt>
                <c:pt idx="1390">
                  <c:v>19.99917116893495</c:v>
                </c:pt>
                <c:pt idx="1391">
                  <c:v>19.999195304589595</c:v>
                </c:pt>
                <c:pt idx="1392">
                  <c:v>19.992686087247758</c:v>
                </c:pt>
                <c:pt idx="1393">
                  <c:v>19.979645643345727</c:v>
                </c:pt>
                <c:pt idx="1394">
                  <c:v>19.960078232946067</c:v>
                </c:pt>
                <c:pt idx="1395">
                  <c:v>19.933990248345935</c:v>
                </c:pt>
                <c:pt idx="1396">
                  <c:v>19.901390211988865</c:v>
                </c:pt>
                <c:pt idx="1397">
                  <c:v>19.862288773680582</c:v>
                </c:pt>
                <c:pt idx="1398">
                  <c:v>19.816698707110014</c:v>
                </c:pt>
                <c:pt idx="1399">
                  <c:v>19.764634905676274</c:v>
                </c:pt>
                <c:pt idx="1400">
                  <c:v>19.706114377623361</c:v>
                </c:pt>
                <c:pt idx="1401">
                  <c:v>19.64115624048382</c:v>
                </c:pt>
                <c:pt idx="1402">
                  <c:v>19.569781714833457</c:v>
                </c:pt>
                <c:pt idx="1403">
                  <c:v>19.492014117358949</c:v>
                </c:pt>
                <c:pt idx="1404">
                  <c:v>19.407878853240788</c:v>
                </c:pt>
                <c:pt idx="1405">
                  <c:v>19.317403407853831</c:v>
                </c:pt>
                <c:pt idx="1406">
                  <c:v>19.220617337788394</c:v>
                </c:pt>
                <c:pt idx="1407">
                  <c:v>19.117552261194646</c:v>
                </c:pt>
                <c:pt idx="1408">
                  <c:v>19.008241847453661</c:v>
                </c:pt>
                <c:pt idx="1409">
                  <c:v>18.892721806178137</c:v>
                </c:pt>
                <c:pt idx="1410">
                  <c:v>18.771029875546862</c:v>
                </c:pt>
                <c:pt idx="1411">
                  <c:v>18.643205809976294</c:v>
                </c:pt>
                <c:pt idx="1412">
                  <c:v>18.509291367133688</c:v>
                </c:pt>
                <c:pt idx="1413">
                  <c:v>18.369330294295473</c:v>
                </c:pt>
                <c:pt idx="1414">
                  <c:v>18.223368314056103</c:v>
                </c:pt>
                <c:pt idx="1415">
                  <c:v>18.071453109391026</c:v>
                </c:pt>
                <c:pt idx="1416">
                  <c:v>17.91363430807997</c:v>
                </c:pt>
                <c:pt idx="1417">
                  <c:v>17.749963466494158</c:v>
                </c:pt>
                <c:pt idx="1418">
                  <c:v>17.580494052754126</c:v>
                </c:pt>
                <c:pt idx="1419">
                  <c:v>17.405281429262342</c:v>
                </c:pt>
                <c:pt idx="1420">
                  <c:v>17.224382834617824</c:v>
                </c:pt>
                <c:pt idx="1421">
                  <c:v>17.037857364916988</c:v>
                </c:pt>
                <c:pt idx="1422">
                  <c:v>16.845765954448442</c:v>
                </c:pt>
                <c:pt idx="1423">
                  <c:v>16.648171355786481</c:v>
                </c:pt>
                <c:pt idx="1424">
                  <c:v>16.445138119291549</c:v>
                </c:pt>
                <c:pt idx="1425">
                  <c:v>16.236732572022422</c:v>
                </c:pt>
                <c:pt idx="1426">
                  <c:v>16.023022796068833</c:v>
                </c:pt>
                <c:pt idx="1427">
                  <c:v>15.804078606309847</c:v>
                </c:pt>
                <c:pt idx="1428">
                  <c:v>15.579971527607299</c:v>
                </c:pt>
                <c:pt idx="1429">
                  <c:v>15.350774771439449</c:v>
                </c:pt>
                <c:pt idx="1430">
                  <c:v>15.116563211984666</c:v>
                </c:pt>
                <c:pt idx="1431">
                  <c:v>14.877413361660913</c:v>
                </c:pt>
                <c:pt idx="1432">
                  <c:v>14.633403346131264</c:v>
                </c:pt>
                <c:pt idx="1433">
                  <c:v>14.384612878781173</c:v>
                </c:pt>
                <c:pt idx="1434">
                  <c:v>14.131123234678091</c:v>
                </c:pt>
                <c:pt idx="1435">
                  <c:v>13.873017224020114</c:v>
                </c:pt>
                <c:pt idx="1436">
                  <c:v>13.610379165083677</c:v>
                </c:pt>
                <c:pt idx="1437">
                  <c:v>13.343294856678288</c:v>
                </c:pt>
                <c:pt idx="1438">
                  <c:v>13.07185155011792</c:v>
                </c:pt>
                <c:pt idx="1439">
                  <c:v>12.796137920717364</c:v>
                </c:pt>
                <c:pt idx="1440">
                  <c:v>12.516244038823924</c:v>
                </c:pt>
                <c:pt idx="1441">
                  <c:v>12.232261340393046</c:v>
                </c:pt>
                <c:pt idx="1442">
                  <c:v>11.944282597118177</c:v>
                </c:pt>
                <c:pt idx="1443">
                  <c:v>11.652401886123698</c:v>
                </c:pt>
                <c:pt idx="1444">
                  <c:v>11.356714559231955</c:v>
                </c:pt>
                <c:pt idx="1445">
                  <c:v>11.057317211813542</c:v>
                </c:pt>
                <c:pt idx="1446">
                  <c:v>10.754307651231676</c:v>
                </c:pt>
                <c:pt idx="1447">
                  <c:v>10.447784864890007</c:v>
                </c:pt>
                <c:pt idx="1448">
                  <c:v>10.137848987895858</c:v>
                </c:pt>
                <c:pt idx="1449">
                  <c:v>9.8246012703472942</c:v>
                </c:pt>
                <c:pt idx="1450">
                  <c:v>9.5081440442575094</c:v>
                </c:pt>
                <c:pt idx="1451">
                  <c:v>9.1885806901241871</c:v>
                </c:pt>
                <c:pt idx="1452">
                  <c:v>8.8660156031576971</c:v>
                </c:pt>
                <c:pt idx="1453">
                  <c:v>8.5405541591764322</c:v>
                </c:pt>
                <c:pt idx="1454">
                  <c:v>8.2123026801834413</c:v>
                </c:pt>
                <c:pt idx="1455">
                  <c:v>7.881368399632299</c:v>
                </c:pt>
                <c:pt idx="1456">
                  <c:v>7.5478594273966539</c:v>
                </c:pt>
                <c:pt idx="1457">
                  <c:v>7.2118847144520153</c:v>
                </c:pt>
                <c:pt idx="1458">
                  <c:v>6.8735540172844853</c:v>
                </c:pt>
                <c:pt idx="1459">
                  <c:v>6.5329778620346328</c:v>
                </c:pt>
                <c:pt idx="1460">
                  <c:v>6.1902675083913881</c:v>
                </c:pt>
                <c:pt idx="1461">
                  <c:v>5.8455349132448386</c:v>
                </c:pt>
                <c:pt idx="1462">
                  <c:v>5.4988926941129979</c:v>
                </c:pt>
                <c:pt idx="1463">
                  <c:v>5.1504540923510262</c:v>
                </c:pt>
                <c:pt idx="1464">
                  <c:v>4.8003329361581253</c:v>
                </c:pt>
                <c:pt idx="1465">
                  <c:v>4.4486436033912344</c:v>
                </c:pt>
                <c:pt idx="1466">
                  <c:v>4.0955009842009407</c:v>
                </c:pt>
                <c:pt idx="1467">
                  <c:v>3.7410204434982526</c:v>
                </c:pt>
                <c:pt idx="1468">
                  <c:v>3.3853177832677135</c:v>
                </c:pt>
                <c:pt idx="1469">
                  <c:v>3.0285092047366375</c:v>
                </c:pt>
                <c:pt idx="1470">
                  <c:v>2.6707112704146767</c:v>
                </c:pt>
                <c:pt idx="1471">
                  <c:v>2.312040866014947</c:v>
                </c:pt>
                <c:pt idx="1472">
                  <c:v>1.9526151622699937</c:v>
                </c:pt>
                <c:pt idx="1473">
                  <c:v>1.5925515766539398</c:v>
                </c:pt>
                <c:pt idx="1474">
                  <c:v>1.2319677350247356</c:v>
                </c:pt>
                <c:pt idx="1475">
                  <c:v>0.87098143319790722</c:v>
                </c:pt>
                <c:pt idx="1476">
                  <c:v>0.50971059846521038</c:v>
                </c:pt>
                <c:pt idx="1477">
                  <c:v>0.14827325106962377</c:v>
                </c:pt>
                <c:pt idx="1478">
                  <c:v>-0.21321253434931431</c:v>
                </c:pt>
                <c:pt idx="1479">
                  <c:v>-0.57462866732836448</c:v>
                </c:pt>
                <c:pt idx="1480">
                  <c:v>-0.93585708015818891</c:v>
                </c:pt>
                <c:pt idx="1481">
                  <c:v>-1.2967797664543008</c:v>
                </c:pt>
                <c:pt idx="1482">
                  <c:v>-1.6572788197068455</c:v>
                </c:pt>
                <c:pt idx="1483">
                  <c:v>-2.0172364717992437</c:v>
                </c:pt>
                <c:pt idx="1484">
                  <c:v>-2.3765351314797805</c:v>
                </c:pt>
                <c:pt idx="1485">
                  <c:v>-2.7350574227772597</c:v>
                </c:pt>
                <c:pt idx="1486">
                  <c:v>-3.0926862233447707</c:v>
                </c:pt>
                <c:pt idx="1487">
                  <c:v>-3.4493047027221575</c:v>
                </c:pt>
                <c:pt idx="1488">
                  <c:v>-3.8047963605013004</c:v>
                </c:pt>
                <c:pt idx="1489">
                  <c:v>-4.1590450643854036</c:v>
                </c:pt>
                <c:pt idx="1490">
                  <c:v>-4.5119350881264895</c:v>
                </c:pt>
                <c:pt idx="1491">
                  <c:v>-4.8633511493317725</c:v>
                </c:pt>
                <c:pt idx="1492">
                  <c:v>-5.2131784471232336</c:v>
                </c:pt>
                <c:pt idx="1493">
                  <c:v>-5.5613026996416917</c:v>
                </c:pt>
                <c:pt idx="1494">
                  <c:v>-5.9076101813798054</c:v>
                </c:pt>
                <c:pt idx="1495">
                  <c:v>-6.2519877603348313</c:v>
                </c:pt>
                <c:pt idx="1496">
                  <c:v>-6.5943229349657244</c:v>
                </c:pt>
                <c:pt idx="1497">
                  <c:v>-6.9345038709460383</c:v>
                </c:pt>
                <c:pt idx="1498">
                  <c:v>-7.2724194376973914</c:v>
                </c:pt>
                <c:pt idx="1499">
                  <c:v>-7.6079592446944799</c:v>
                </c:pt>
                <c:pt idx="1500">
                  <c:v>-7.9410136775266231</c:v>
                </c:pt>
                <c:pt idx="1501">
                  <c:v>-8.2714739337074032</c:v>
                </c:pt>
                <c:pt idx="1502">
                  <c:v>-8.5992320582180977</c:v>
                </c:pt>
                <c:pt idx="1503">
                  <c:v>-8.9241809787742348</c:v>
                </c:pt>
                <c:pt idx="1504">
                  <c:v>-9.2462145408047789</c:v>
                </c:pt>
                <c:pt idx="1505">
                  <c:v>-9.5652275421298789</c:v>
                </c:pt>
                <c:pt idx="1506">
                  <c:v>-9.8811157673291703</c:v>
                </c:pt>
                <c:pt idx="1507">
                  <c:v>-10.193776021786324</c:v>
                </c:pt>
                <c:pt idx="1508">
                  <c:v>-10.503106165401482</c:v>
                </c:pt>
                <c:pt idx="1509">
                  <c:v>-10.809005145957617</c:v>
                </c:pt>
                <c:pt idx="1510">
                  <c:v>-11.111373032133077</c:v>
                </c:pt>
                <c:pt idx="1511">
                  <c:v>-11.410111046146616</c:v>
                </c:pt>
                <c:pt idx="1512">
                  <c:v>-11.705121596026933</c:v>
                </c:pt>
                <c:pt idx="1513">
                  <c:v>-11.996308307493251</c:v>
                </c:pt>
                <c:pt idx="1514">
                  <c:v>-12.283576055439653</c:v>
                </c:pt>
                <c:pt idx="1515">
                  <c:v>-12.566830995010054</c:v>
                </c:pt>
                <c:pt idx="1516">
                  <c:v>-12.845980592256183</c:v>
                </c:pt>
                <c:pt idx="1517">
                  <c:v>-13.120933654365871</c:v>
                </c:pt>
                <c:pt idx="1518">
                  <c:v>-13.391600359454651</c:v>
                </c:pt>
                <c:pt idx="1519">
                  <c:v>-13.657892285908307</c:v>
                </c:pt>
                <c:pt idx="1520">
                  <c:v>-13.91972244126914</c:v>
                </c:pt>
                <c:pt idx="1521">
                  <c:v>-14.177005290654019</c:v>
                </c:pt>
                <c:pt idx="1522">
                  <c:v>-14.429656784697585</c:v>
                </c:pt>
                <c:pt idx="1523">
                  <c:v>-14.677594387009126</c:v>
                </c:pt>
                <c:pt idx="1524">
                  <c:v>-14.920737101135963</c:v>
                </c:pt>
                <c:pt idx="1525">
                  <c:v>-15.159005497023255</c:v>
                </c:pt>
                <c:pt idx="1526">
                  <c:v>-15.392321736962353</c:v>
                </c:pt>
                <c:pt idx="1527">
                  <c:v>-15.620609601018705</c:v>
                </c:pt>
                <c:pt idx="1528">
                  <c:v>-15.843794511931723</c:v>
                </c:pt>
                <c:pt idx="1529">
                  <c:v>-16.061803559477561</c:v>
                </c:pt>
                <c:pt idx="1530">
                  <c:v>-16.274565524287556</c:v>
                </c:pt>
                <c:pt idx="1531">
                  <c:v>-16.482010901114087</c:v>
                </c:pt>
                <c:pt idx="1532">
                  <c:v>-16.684071921536834</c:v>
                </c:pt>
                <c:pt idx="1533">
                  <c:v>-16.880682576101258</c:v>
                </c:pt>
                <c:pt idx="1534">
                  <c:v>-17.071778635882701</c:v>
                </c:pt>
                <c:pt idx="1535">
                  <c:v>-17.257297673468596</c:v>
                </c:pt>
                <c:pt idx="1536">
                  <c:v>-17.437179083352564</c:v>
                </c:pt>
                <c:pt idx="1537">
                  <c:v>-17.611364101732736</c:v>
                </c:pt>
                <c:pt idx="1538">
                  <c:v>-17.779795825709186</c:v>
                </c:pt>
                <c:pt idx="1539">
                  <c:v>-17.942419231872535</c:v>
                </c:pt>
                <c:pt idx="1540">
                  <c:v>-18.099181194279439</c:v>
                </c:pt>
                <c:pt idx="1541">
                  <c:v>-18.250030501807487</c:v>
                </c:pt>
                <c:pt idx="1542">
                  <c:v>-18.394917874885294</c:v>
                </c:pt>
                <c:pt idx="1543">
                  <c:v>-18.533795981590718</c:v>
                </c:pt>
                <c:pt idx="1544">
                  <c:v>-18.666619453113686</c:v>
                </c:pt>
                <c:pt idx="1545">
                  <c:v>-18.793344898577018</c:v>
                </c:pt>
                <c:pt idx="1546">
                  <c:v>-18.913930919211698</c:v>
                </c:pt>
                <c:pt idx="1547">
                  <c:v>-19.028338121880715</c:v>
                </c:pt>
                <c:pt idx="1548">
                  <c:v>-19.13652913194834</c:v>
                </c:pt>
                <c:pt idx="1549">
                  <c:v>-19.238468605489459</c:v>
                </c:pt>
                <c:pt idx="1550">
                  <c:v>-19.334123240836028</c:v>
                </c:pt>
                <c:pt idx="1551">
                  <c:v>-19.423461789455786</c:v>
                </c:pt>
                <c:pt idx="1552">
                  <c:v>-19.50645506616079</c:v>
                </c:pt>
                <c:pt idx="1553">
                  <c:v>-19.583075958641487</c:v>
                </c:pt>
                <c:pt idx="1554">
                  <c:v>-19.653299436323959</c:v>
                </c:pt>
                <c:pt idx="1555">
                  <c:v>-19.717102558546735</c:v>
                </c:pt>
                <c:pt idx="1556">
                  <c:v>-19.77446448205523</c:v>
                </c:pt>
                <c:pt idx="1557">
                  <c:v>-19.825366467810717</c:v>
                </c:pt>
                <c:pt idx="1558">
                  <c:v>-19.8697918871121</c:v>
                </c:pt>
                <c:pt idx="1559">
                  <c:v>-19.907726227028139</c:v>
                </c:pt>
                <c:pt idx="1560">
                  <c:v>-19.939157095138562</c:v>
                </c:pt>
                <c:pt idx="1561">
                  <c:v>-19.964074223582415</c:v>
                </c:pt>
                <c:pt idx="1562">
                  <c:v>-19.982469472412411</c:v>
                </c:pt>
                <c:pt idx="1563">
                  <c:v>-19.994336832254053</c:v>
                </c:pt>
                <c:pt idx="1564">
                  <c:v>-19.999672426268816</c:v>
                </c:pt>
                <c:pt idx="1565">
                  <c:v>-19.998474511420607</c:v>
                </c:pt>
                <c:pt idx="1566">
                  <c:v>-19.9907434790452</c:v>
                </c:pt>
                <c:pt idx="1567">
                  <c:v>-19.976481854722394</c:v>
                </c:pt>
                <c:pt idx="1568">
                  <c:v>-19.955694297450929</c:v>
                </c:pt>
                <c:pt idx="1569">
                  <c:v>-19.92838759812653</c:v>
                </c:pt>
                <c:pt idx="1570">
                  <c:v>-19.89457067732339</c:v>
                </c:pt>
                <c:pt idx="1571">
                  <c:v>-19.854254582380069</c:v>
                </c:pt>
                <c:pt idx="1572">
                  <c:v>-19.807452483790428</c:v>
                </c:pt>
                <c:pt idx="1573">
                  <c:v>-19.754179670901205</c:v>
                </c:pt>
                <c:pt idx="1574">
                  <c:v>-19.694453546917188</c:v>
                </c:pt>
                <c:pt idx="1575">
                  <c:v>-19.628293623215999</c:v>
                </c:pt>
                <c:pt idx="1576">
                  <c:v>-19.555721512973975</c:v>
                </c:pt>
                <c:pt idx="1577">
                  <c:v>-19.476760924105733</c:v>
                </c:pt>
                <c:pt idx="1578">
                  <c:v>-19.391437651519098</c:v>
                </c:pt>
                <c:pt idx="1579">
                  <c:v>-19.299779568688528</c:v>
                </c:pt>
                <c:pt idx="1580">
                  <c:v>-19.201816618549202</c:v>
                </c:pt>
                <c:pt idx="1581">
                  <c:v>-19.097580803715491</c:v>
                </c:pt>
                <c:pt idx="1582">
                  <c:v>-18.987106176026082</c:v>
                </c:pt>
                <c:pt idx="1583">
                  <c:v>-18.870428825420099</c:v>
                </c:pt>
                <c:pt idx="1584">
                  <c:v>-18.747586868146968</c:v>
                </c:pt>
                <c:pt idx="1585">
                  <c:v>-18.618620434314856</c:v>
                </c:pt>
                <c:pt idx="1586">
                  <c:v>-18.48357165478069</c:v>
                </c:pt>
                <c:pt idx="1587">
                  <c:v>-18.342484647387046</c:v>
                </c:pt>
                <c:pt idx="1588">
                  <c:v>-18.195405502549377</c:v>
                </c:pt>
                <c:pt idx="1589">
                  <c:v>-18.042382268199539</c:v>
                </c:pt>
                <c:pt idx="1590">
                  <c:v>-17.88346493408914</c:v>
                </c:pt>
                <c:pt idx="1591">
                  <c:v>-17.718705415459091</c:v>
                </c:pt>
                <c:pt idx="1592">
                  <c:v>-17.548157536079682</c:v>
                </c:pt>
                <c:pt idx="1593">
                  <c:v>-17.371877010667522</c:v>
                </c:pt>
                <c:pt idx="1594">
                  <c:v>-17.189921426684542</c:v>
                </c:pt>
                <c:pt idx="1595">
                  <c:v>-17.002350225525408</c:v>
                </c:pt>
                <c:pt idx="1596">
                  <c:v>-16.809224683098975</c:v>
                </c:pt>
                <c:pt idx="1597">
                  <c:v>-16.610607889810726</c:v>
                </c:pt>
                <c:pt idx="1598">
                  <c:v>-16.406564729952315</c:v>
                </c:pt>
                <c:pt idx="1599">
                  <c:v>-16.197161860505233</c:v>
                </c:pt>
                <c:pt idx="1600">
                  <c:v>-15.982467689365054</c:v>
                </c:pt>
                <c:pt idx="1601">
                  <c:v>-15.762552352994014</c:v>
                </c:pt>
                <c:pt idx="1602">
                  <c:v>-15.537487693508716</c:v>
                </c:pt>
                <c:pt idx="1603">
                  <c:v>-15.307347235210853</c:v>
                </c:pt>
                <c:pt idx="1604">
                  <c:v>-15.072206160567925</c:v>
                </c:pt>
                <c:pt idx="1605">
                  <c:v>-14.832141285652977</c:v>
                </c:pt>
                <c:pt idx="1606">
                  <c:v>-14.587231035049717</c:v>
                </c:pt>
                <c:pt idx="1607">
                  <c:v>-14.337555416233345</c:v>
                </c:pt>
                <c:pt idx="1608">
                  <c:v>-14.083195993433101</c:v>
                </c:pt>
                <c:pt idx="1609">
                  <c:v>-13.824235860987276</c:v>
                </c:pt>
                <c:pt idx="1610">
                  <c:v>-13.560759616197283</c:v>
                </c:pt>
                <c:pt idx="1611">
                  <c:v>-13.292853331692054</c:v>
                </c:pt>
                <c:pt idx="1612">
                  <c:v>-13.020604527309166</c:v>
                </c:pt>
                <c:pt idx="1613">
                  <c:v>-12.744102141504285</c:v>
                </c:pt>
                <c:pt idx="1614">
                  <c:v>-12.463436502296068</c:v>
                </c:pt>
                <c:pt idx="1615">
                  <c:v>-12.17869929775847</c:v>
                </c:pt>
                <c:pt idx="1616">
                  <c:v>-11.889983546067374</c:v>
                </c:pt>
                <c:pt idx="1617">
                  <c:v>-11.597383565113876</c:v>
                </c:pt>
                <c:pt idx="1618">
                  <c:v>-11.30099494169178</c:v>
                </c:pt>
                <c:pt idx="1619">
                  <c:v>-11.000914500272017</c:v>
                </c:pt>
                <c:pt idx="1620">
                  <c:v>-10.697240271371257</c:v>
                </c:pt>
                <c:pt idx="1621">
                  <c:v>-10.390071459527825</c:v>
                </c:pt>
                <c:pt idx="1622">
                  <c:v>-10.079508410892743</c:v>
                </c:pt>
                <c:pt idx="1623">
                  <c:v>-9.7656525804494354</c:v>
                </c:pt>
                <c:pt idx="1624">
                  <c:v>-9.448606498869589</c:v>
                </c:pt>
                <c:pt idx="1625">
                  <c:v>-9.1284737390189132</c:v>
                </c:pt>
                <c:pt idx="1626">
                  <c:v>-8.8053588821215065</c:v>
                </c:pt>
                <c:pt idx="1627">
                  <c:v>-8.4793674835950981</c:v>
                </c:pt>
                <c:pt idx="1628">
                  <c:v>-8.1506060385687089</c:v>
                </c:pt>
                <c:pt idx="1629">
                  <c:v>-7.819181947092023</c:v>
                </c:pt>
                <c:pt idx="1630">
                  <c:v>-7.4852034790505115</c:v>
                </c:pt>
                <c:pt idx="1631">
                  <c:v>-7.1487797387949445</c:v>
                </c:pt>
                <c:pt idx="1632">
                  <c:v>-6.8100206295000252</c:v>
                </c:pt>
                <c:pt idx="1633">
                  <c:v>-6.4690368172603332</c:v>
                </c:pt>
                <c:pt idx="1634">
                  <c:v>-6.1259396949385101</c:v>
                </c:pt>
                <c:pt idx="1635">
                  <c:v>-5.7808413457745385</c:v>
                </c:pt>
                <c:pt idx="1636">
                  <c:v>-5.4338545067712509</c:v>
                </c:pt>
                <c:pt idx="1637">
                  <c:v>-5.0850925318644959</c:v>
                </c:pt>
                <c:pt idx="1638">
                  <c:v>-4.7346693548932715</c:v>
                </c:pt>
                <c:pt idx="1639">
                  <c:v>-4.3826994523789056</c:v>
                </c:pt>
                <c:pt idx="1640">
                  <c:v>-4.0292978061287332</c:v>
                </c:pt>
                <c:pt idx="1641">
                  <c:v>-3.6745798656729272</c:v>
                </c:pt>
                <c:pt idx="1642">
                  <c:v>-3.3186615105500423</c:v>
                </c:pt>
                <c:pt idx="1643">
                  <c:v>-2.9616590124505597</c:v>
                </c:pt>
                <c:pt idx="1644">
                  <c:v>-2.603688997234141</c:v>
                </c:pt>
                <c:pt idx="1645">
                  <c:v>-2.244868406829355</c:v>
                </c:pt>
                <c:pt idx="1646">
                  <c:v>-1.885314461031701</c:v>
                </c:pt>
                <c:pt idx="1647">
                  <c:v>-1.5251446192093057</c:v>
                </c:pt>
                <c:pt idx="1648">
                  <c:v>-1.1644765419321932</c:v>
                </c:pt>
                <c:pt idx="1649">
                  <c:v>-0.80342805253398708</c:v>
                </c:pt>
                <c:pt idx="1650">
                  <c:v>-0.44211709862192833</c:v>
                </c:pt>
                <c:pt idx="1651">
                  <c:v>-8.0661713545160926E-2</c:v>
                </c:pt>
                <c:pt idx="1652">
                  <c:v>0.2808200221642127</c:v>
                </c:pt>
                <c:pt idx="1653">
                  <c:v>0.64221001936591549</c:v>
                </c:pt>
                <c:pt idx="1654">
                  <c:v>1.0033902188886663</c:v>
                </c:pt>
                <c:pt idx="1655">
                  <c:v>1.3642426300982686</c:v>
                </c:pt>
                <c:pt idx="1656">
                  <c:v>1.7246493694426015</c:v>
                </c:pt>
                <c:pt idx="1657">
                  <c:v>2.084492698962054</c:v>
                </c:pt>
                <c:pt idx="1658">
                  <c:v>2.443655064751971</c:v>
                </c:pt>
                <c:pt idx="1659">
                  <c:v>2.8020191353656814</c:v>
                </c:pt>
                <c:pt idx="1660">
                  <c:v>3.1594678401441456</c:v>
                </c:pt>
                <c:pt idx="1661">
                  <c:v>3.5158844074608315</c:v>
                </c:pt>
                <c:pt idx="1662">
                  <c:v>3.8711524028684812</c:v>
                </c:pt>
                <c:pt idx="1663">
                  <c:v>4.225155767136501</c:v>
                </c:pt>
                <c:pt idx="1664">
                  <c:v>4.577778854164654</c:v>
                </c:pt>
                <c:pt idx="1665">
                  <c:v>4.92890646876325</c:v>
                </c:pt>
                <c:pt idx="1666">
                  <c:v>5.2784239042842369</c:v>
                </c:pt>
                <c:pt idx="1667">
                  <c:v>5.6262169800944895</c:v>
                </c:pt>
                <c:pt idx="1668">
                  <c:v>5.9721720788757331</c:v>
                </c:pt>
                <c:pt idx="1669">
                  <c:v>6.316176183741967</c:v>
                </c:pt>
                <c:pt idx="1670">
                  <c:v>6.6581169151589599</c:v>
                </c:pt>
                <c:pt idx="1671">
                  <c:v>6.9978825676572889</c:v>
                </c:pt>
                <c:pt idx="1672">
                  <c:v>7.3353621463237069</c:v>
                </c:pt>
                <c:pt idx="1673">
                  <c:v>7.6704454030618479</c:v>
                </c:pt>
                <c:pt idx="1674">
                  <c:v>8.003022872607227</c:v>
                </c:pt>
                <c:pt idx="1675">
                  <c:v>8.3329859082882418</c:v>
                </c:pt>
                <c:pt idx="1676">
                  <c:v>8.6602267175182934</c:v>
                </c:pt>
                <c:pt idx="1677">
                  <c:v>8.9846383970103325</c:v>
                </c:pt>
                <c:pt idx="1678">
                  <c:v>9.306114967699207</c:v>
                </c:pt>
                <c:pt idx="1679">
                  <c:v>9.6245514093637592</c:v>
                </c:pt>
                <c:pt idx="1680">
                  <c:v>9.9398436949342823</c:v>
                </c:pt>
                <c:pt idx="1681">
                  <c:v>10.251888824476907</c:v>
                </c:pt>
                <c:pt idx="1682">
                  <c:v>10.560584858840844</c:v>
                </c:pt>
                <c:pt idx="1683">
                  <c:v>10.865830952960682</c:v>
                </c:pt>
                <c:pt idx="1684">
                  <c:v>11.167527388799986</c:v>
                </c:pt>
                <c:pt idx="1685">
                  <c:v>11.465575607927681</c:v>
                </c:pt>
                <c:pt idx="1686">
                  <c:v>11.759878243714969</c:v>
                </c:pt>
                <c:pt idx="1687">
                  <c:v>12.050339153143243</c:v>
                </c:pt>
                <c:pt idx="1688">
                  <c:v>12.336863448211945</c:v>
                </c:pt>
                <c:pt idx="1689">
                  <c:v>12.619357526936989</c:v>
                </c:pt>
                <c:pt idx="1690">
                  <c:v>12.897729103928508</c:v>
                </c:pt>
                <c:pt idx="1691">
                  <c:v>13.171887240538826</c:v>
                </c:pt>
                <c:pt idx="1692">
                  <c:v>13.441742374570154</c:v>
                </c:pt>
                <c:pt idx="1693">
                  <c:v>13.707206349533163</c:v>
                </c:pt>
                <c:pt idx="1694">
                  <c:v>13.968192443445799</c:v>
                </c:pt>
                <c:pt idx="1695">
                  <c:v>14.224615397163799</c:v>
                </c:pt>
                <c:pt idx="1696">
                  <c:v>14.476391442233002</c:v>
                </c:pt>
                <c:pt idx="1697">
                  <c:v>14.723438328255254</c:v>
                </c:pt>
                <c:pt idx="1698">
                  <c:v>14.965675349757596</c:v>
                </c:pt>
                <c:pt idx="1699">
                  <c:v>15.203023372557755</c:v>
                </c:pt>
                <c:pt idx="1700">
                  <c:v>15.43540485961511</c:v>
                </c:pt>
                <c:pt idx="1701">
                  <c:v>15.662743896361102</c:v>
                </c:pt>
                <c:pt idx="1702">
                  <c:v>15.884966215498629</c:v>
                </c:pt>
                <c:pt idx="1703">
                  <c:v>16.101999221264258</c:v>
                </c:pt>
                <c:pt idx="1704">
                  <c:v>16.313772013143264</c:v>
                </c:pt>
                <c:pt idx="1705">
                  <c:v>16.520215409031987</c:v>
                </c:pt>
                <c:pt idx="1706">
                  <c:v>16.721261967837872</c:v>
                </c:pt>
                <c:pt idx="1707">
                  <c:v>16.916846011511669</c:v>
                </c:pt>
                <c:pt idx="1708">
                  <c:v>17.106903646502623</c:v>
                </c:pt>
                <c:pt idx="1709">
                  <c:v>17.291372784631754</c:v>
                </c:pt>
                <c:pt idx="1710">
                  <c:v>17.470193163374493</c:v>
                </c:pt>
                <c:pt idx="1711">
                  <c:v>17.643306365547705</c:v>
                </c:pt>
                <c:pt idx="1712">
                  <c:v>17.810655838393</c:v>
                </c:pt>
                <c:pt idx="1713">
                  <c:v>17.972186912051818</c:v>
                </c:pt>
                <c:pt idx="1714">
                  <c:v>18.127846817424704</c:v>
                </c:pt>
                <c:pt idx="1715">
                  <c:v>18.277584703410341</c:v>
                </c:pt>
                <c:pt idx="1716">
                  <c:v>18.421351653517188</c:v>
                </c:pt>
                <c:pt idx="1717">
                  <c:v>18.559100701843928</c:v>
                </c:pt>
                <c:pt idx="1718">
                  <c:v>18.690786848422064</c:v>
                </c:pt>
                <c:pt idx="1719">
                  <c:v>18.816367073916727</c:v>
                </c:pt>
                <c:pt idx="1720">
                  <c:v>18.935800353680175</c:v>
                </c:pt>
                <c:pt idx="1721">
                  <c:v>19.049047671153797</c:v>
                </c:pt>
                <c:pt idx="1722">
                  <c:v>19.156072030613991</c:v>
                </c:pt>
                <c:pt idx="1723">
                  <c:v>19.256838469258074</c:v>
                </c:pt>
                <c:pt idx="1724">
                  <c:v>19.351314068625886</c:v>
                </c:pt>
                <c:pt idx="1725">
                  <c:v>19.439467965353657</c:v>
                </c:pt>
                <c:pt idx="1726">
                  <c:v>19.521271361256392</c:v>
                </c:pt>
                <c:pt idx="1727">
                  <c:v>19.59669753273581</c:v>
                </c:pt>
                <c:pt idx="1728">
                  <c:v>19.665721839510336</c:v>
                </c:pt>
                <c:pt idx="1729">
                  <c:v>19.728321732664661</c:v>
                </c:pt>
                <c:pt idx="1730">
                  <c:v>19.784476762015974</c:v>
                </c:pt>
                <c:pt idx="1731">
                  <c:v>19.834168582794735</c:v>
                </c:pt>
                <c:pt idx="1732">
                  <c:v>19.877380961637463</c:v>
                </c:pt>
                <c:pt idx="1733">
                  <c:v>19.914099781889977</c:v>
                </c:pt>
                <c:pt idx="1734">
                  <c:v>19.944313048218895</c:v>
                </c:pt>
                <c:pt idx="1735">
                  <c:v>19.968010890530415</c:v>
                </c:pt>
                <c:pt idx="1736">
                  <c:v>19.985185567194577</c:v>
                </c:pt>
                <c:pt idx="1737">
                  <c:v>19.995831467574405</c:v>
                </c:pt>
                <c:pt idx="1738">
                  <c:v>19.999945113858686</c:v>
                </c:pt>
                <c:pt idx="1739">
                  <c:v>19.997525162198205</c:v>
                </c:pt>
                <c:pt idx="1740">
                  <c:v>19.988572403144683</c:v>
                </c:pt>
                <c:pt idx="1741">
                  <c:v>19.973089761392554</c:v>
                </c:pt>
                <c:pt idx="1742">
                  <c:v>19.951082294823514</c:v>
                </c:pt>
                <c:pt idx="1743">
                  <c:v>19.92255719285421</c:v>
                </c:pt>
                <c:pt idx="1744">
                  <c:v>19.887523774087612</c:v>
                </c:pt>
                <c:pt idx="1745">
                  <c:v>19.845993483268742</c:v>
                </c:pt>
                <c:pt idx="1746">
                  <c:v>19.797979887545988</c:v>
                </c:pt>
                <c:pt idx="1747">
                  <c:v>19.7434986720389</c:v>
                </c:pt>
                <c:pt idx="1748">
                  <c:v>19.682567634714236</c:v>
                </c:pt>
                <c:pt idx="1749">
                  <c:v>19.615206680571578</c:v>
                </c:pt>
                <c:pt idx="1750">
                  <c:v>19.541437815140942</c:v>
                </c:pt>
                <c:pt idx="1751">
                  <c:v>19.461285137293821</c:v>
                </c:pt>
                <c:pt idx="1752">
                  <c:v>19.374774831370619</c:v>
                </c:pt>
                <c:pt idx="1753">
                  <c:v>19.281935158626801</c:v>
                </c:pt>
                <c:pt idx="1754">
                  <c:v>19.182796448000271</c:v>
                </c:pt>
                <c:pt idx="1755">
                  <c:v>19.077391086203765</c:v>
                </c:pt>
                <c:pt idx="1756">
                  <c:v>18.965753507144502</c:v>
                </c:pt>
                <c:pt idx="1757">
                  <c:v>18.847920180675487</c:v>
                </c:pt>
                <c:pt idx="1758">
                  <c:v>18.723929600681252</c:v>
                </c:pt>
                <c:pt idx="1759">
                  <c:v>18.593822272502951</c:v>
                </c:pt>
                <c:pt idx="1760">
                  <c:v>18.457640699705781</c:v>
                </c:pt>
                <c:pt idx="1761">
                  <c:v>18.315429370194121</c:v>
                </c:pt>
                <c:pt idx="1762">
                  <c:v>18.167234741677859</c:v>
                </c:pt>
                <c:pt idx="1763">
                  <c:v>18.013105226495959</c:v>
                </c:pt>
                <c:pt idx="1764">
                  <c:v>17.853091175800717</c:v>
                </c:pt>
                <c:pt idx="1765">
                  <c:v>17.687244863109321</c:v>
                </c:pt>
                <c:pt idx="1766">
                  <c:v>17.515620467226714</c:v>
                </c:pt>
                <c:pt idx="1767">
                  <c:v>17.338274054546869</c:v>
                </c:pt>
                <c:pt idx="1768">
                  <c:v>17.155263560736579</c:v>
                </c:pt>
                <c:pt idx="1769">
                  <c:v>16.966648771809336</c:v>
                </c:pt>
                <c:pt idx="1770">
                  <c:v>16.772491304593952</c:v>
                </c:pt>
                <c:pt idx="1771">
                  <c:v>16.572854586606081</c:v>
                </c:pt>
                <c:pt idx="1772">
                  <c:v>16.367803835327063</c:v>
                </c:pt>
                <c:pt idx="1773">
                  <c:v>16.157406036899157</c:v>
                </c:pt>
                <c:pt idx="1774">
                  <c:v>15.941729924242162</c:v>
                </c:pt>
                <c:pt idx="1775">
                  <c:v>15.72084595459984</c:v>
                </c:pt>
                <c:pt idx="1776">
                  <c:v>15.494826286522548</c:v>
                </c:pt>
                <c:pt idx="1777">
                  <c:v>15.263744756295033</c:v>
                </c:pt>
                <c:pt idx="1778">
                  <c:v>15.027676853814828</c:v>
                </c:pt>
                <c:pt idx="1779">
                  <c:v>14.786699697931789</c:v>
                </c:pt>
                <c:pt idx="1780">
                  <c:v>14.540892011254567</c:v>
                </c:pt>
                <c:pt idx="1781">
                  <c:v>14.290334094433168</c:v>
                </c:pt>
                <c:pt idx="1782">
                  <c:v>14.035107799926834</c:v>
                </c:pt>
                <c:pt idx="1783">
                  <c:v>13.775296505264141</c:v>
                </c:pt>
                <c:pt idx="1784">
                  <c:v>13.510985085804851</c:v>
                </c:pt>
                <c:pt idx="1785">
                  <c:v>13.242259887013484</c:v>
                </c:pt>
                <c:pt idx="1786">
                  <c:v>12.969208696251062</c:v>
                </c:pt>
                <c:pt idx="1787">
                  <c:v>12.691920714097428</c:v>
                </c:pt>
                <c:pt idx="1788">
                  <c:v>12.41048652521069</c:v>
                </c:pt>
                <c:pt idx="1789">
                  <c:v>12.124998068735174</c:v>
                </c:pt>
                <c:pt idx="1790">
                  <c:v>11.835548608266219</c:v>
                </c:pt>
                <c:pt idx="1791">
                  <c:v>11.54223270138356</c:v>
                </c:pt>
                <c:pt idx="1792">
                  <c:v>11.245146168760236</c:v>
                </c:pt>
                <c:pt idx="1793">
                  <c:v>10.944386062860776</c:v>
                </c:pt>
                <c:pt idx="1794">
                  <c:v>10.640050636235065</c:v>
                </c:pt>
                <c:pt idx="1795">
                  <c:v>10.33223930942196</c:v>
                </c:pt>
                <c:pt idx="1796">
                  <c:v>10.02105263847003</c:v>
                </c:pt>
                <c:pt idx="1797">
                  <c:v>9.7065922820880637</c:v>
                </c:pt>
                <c:pt idx="1798">
                  <c:v>9.3889609684346489</c:v>
                </c:pt>
                <c:pt idx="1799">
                  <c:v>9.0682624615596943</c:v>
                </c:pt>
                <c:pt idx="1800">
                  <c:v>8.7446015275057327</c:v>
                </c:pt>
                <c:pt idx="1801">
                  <c:v>8.4180839000838557</c:v>
                </c:pt>
                <c:pt idx="1802">
                  <c:v>8.0888162463315112</c:v>
                </c:pt>
                <c:pt idx="1803">
                  <c:v>7.7569061316673071</c:v>
                </c:pt>
                <c:pt idx="1804">
                  <c:v>7.4224619847509601</c:v>
                </c:pt>
                <c:pt idx="1805">
                  <c:v>7.0855930620619816</c:v>
                </c:pt>
                <c:pt idx="1806">
                  <c:v>6.746409412207159</c:v>
                </c:pt>
                <c:pt idx="1807">
                  <c:v>6.4050218399707228</c:v>
                </c:pt>
                <c:pt idx="1808">
                  <c:v>6.0615418701154802</c:v>
                </c:pt>
                <c:pt idx="1809">
                  <c:v>5.7160817109507525</c:v>
                </c:pt>
                <c:pt idx="1810">
                  <c:v>5.3687542176756828</c:v>
                </c:pt>
                <c:pt idx="1811">
                  <c:v>5.0196728555111934</c:v>
                </c:pt>
                <c:pt idx="1812">
                  <c:v>4.6689516626338952</c:v>
                </c:pt>
                <c:pt idx="1813">
                  <c:v>4.3167052129216019</c:v>
                </c:pt>
                <c:pt idx="1814">
                  <c:v>3.9630485785238245</c:v>
                </c:pt>
                <c:pt idx="1815">
                  <c:v>3.6080972922708812</c:v>
                </c:pt>
                <c:pt idx="1816">
                  <c:v>3.251967309930428</c:v>
                </c:pt>
                <c:pt idx="1817">
                  <c:v>2.8947749723279155</c:v>
                </c:pt>
                <c:pt idx="1818">
                  <c:v>2.5366369673398532</c:v>
                </c:pt>
                <c:pt idx="1819">
                  <c:v>2.1776702917737016</c:v>
                </c:pt>
                <c:pt idx="1820">
                  <c:v>1.8179922131481054</c:v>
                </c:pt>
                <c:pt idx="1821">
                  <c:v>1.457720231383427</c:v>
                </c:pt>
                <c:pt idx="1822">
                  <c:v>1.0969720404163517</c:v>
                </c:pt>
                <c:pt idx="1823">
                  <c:v>0.73586548975253274</c:v>
                </c:pt>
                <c:pt idx="1824">
                  <c:v>0.37451854596628537</c:v>
                </c:pt>
                <c:pt idx="1825">
                  <c:v>1.3049254164167457E-2</c:v>
                </c:pt>
                <c:pt idx="1826">
                  <c:v>-0.3484243005786587</c:v>
                </c:pt>
                <c:pt idx="1827">
                  <c:v>-0.70978403179426774</c:v>
                </c:pt>
                <c:pt idx="1828">
                  <c:v>-1.0709118901991204</c:v>
                </c:pt>
                <c:pt idx="1829">
                  <c:v>-1.4316899022575038</c:v>
                </c:pt>
                <c:pt idx="1830">
                  <c:v>-1.7920002087223548</c:v>
                </c:pt>
                <c:pt idx="1831">
                  <c:v>-2.1517251031364766</c:v>
                </c:pt>
                <c:pt idx="1832">
                  <c:v>-2.5107470702861141</c:v>
                </c:pt>
                <c:pt idx="1833">
                  <c:v>-2.8689488245899222</c:v>
                </c:pt>
                <c:pt idx="1834">
                  <c:v>-3.2262133484144822</c:v>
                </c:pt>
                <c:pt idx="1835">
                  <c:v>-3.5824239303014327</c:v>
                </c:pt>
                <c:pt idx="1836">
                  <c:v>-3.9374642030954203</c:v>
                </c:pt>
                <c:pt idx="1837">
                  <c:v>-4.2912181819580359</c:v>
                </c:pt>
                <c:pt idx="1838">
                  <c:v>-4.6435703022589498</c:v>
                </c:pt>
                <c:pt idx="1839">
                  <c:v>-4.9944054573275469</c:v>
                </c:pt>
                <c:pt idx="1840">
                  <c:v>-5.3436090360571677</c:v>
                </c:pt>
                <c:pt idx="1841">
                  <c:v>-5.6910669603453936</c:v>
                </c:pt>
                <c:pt idx="1842">
                  <c:v>-6.0366657223617253</c:v>
                </c:pt>
                <c:pt idx="1843">
                  <c:v>-6.3802924216281323</c:v>
                </c:pt>
                <c:pt idx="1844">
                  <c:v>-6.7218348019020127</c:v>
                </c:pt>
                <c:pt idx="1845">
                  <c:v>-7.061181287847214</c:v>
                </c:pt>
                <c:pt idx="1846">
                  <c:v>-7.3982210214846136</c:v>
                </c:pt>
                <c:pt idx="1847">
                  <c:v>-7.7328438984063705</c:v>
                </c:pt>
                <c:pt idx="1848">
                  <c:v>-8.0649406037453133</c:v>
                </c:pt>
                <c:pt idx="1849">
                  <c:v>-8.3944026478864036</c:v>
                </c:pt>
                <c:pt idx="1850">
                  <c:v>-8.7211224019074152</c:v>
                </c:pt>
                <c:pt idx="1851">
                  <c:v>-9.0449931327396467</c:v>
                </c:pt>
                <c:pt idx="1852">
                  <c:v>-9.3659090380359302</c:v>
                </c:pt>
                <c:pt idx="1853">
                  <c:v>-9.6837652807333434</c:v>
                </c:pt>
                <c:pt idx="1854">
                  <c:v>-9.9984580233024758</c:v>
                </c:pt>
                <c:pt idx="1855">
                  <c:v>-10.30988446166827</c:v>
                </c:pt>
                <c:pt idx="1856">
                  <c:v>-10.617942858794647</c:v>
                </c:pt>
                <c:pt idx="1857">
                  <c:v>-10.922532577919791</c:v>
                </c:pt>
                <c:pt idx="1858">
                  <c:v>-11.223554115432728</c:v>
                </c:pt>
                <c:pt idx="1859">
                  <c:v>-11.520909133378414</c:v>
                </c:pt>
                <c:pt idx="1860">
                  <c:v>-11.814500491583793</c:v>
                </c:pt>
                <c:pt idx="1861">
                  <c:v>-12.104232279390697</c:v>
                </c:pt>
                <c:pt idx="1862">
                  <c:v>-12.390009846988939</c:v>
                </c:pt>
                <c:pt idx="1863">
                  <c:v>-12.671739836335782</c:v>
                </c:pt>
                <c:pt idx="1864">
                  <c:v>-12.949330211654688</c:v>
                </c:pt>
                <c:pt idx="1865">
                  <c:v>-13.222690289501401</c:v>
                </c:pt>
                <c:pt idx="1866">
                  <c:v>-13.491730768388923</c:v>
                </c:pt>
                <c:pt idx="1867">
                  <c:v>-13.756363757959853</c:v>
                </c:pt>
                <c:pt idx="1868">
                  <c:v>-14.016502807699309</c:v>
                </c:pt>
                <c:pt idx="1869">
                  <c:v>-14.272062935175834</c:v>
                </c:pt>
                <c:pt idx="1870">
                  <c:v>-14.522960653804333</c:v>
                </c:pt>
                <c:pt idx="1871">
                  <c:v>-14.769114000118835</c:v>
                </c:pt>
                <c:pt idx="1872">
                  <c:v>-15.010442560548778</c:v>
                </c:pt>
                <c:pt idx="1873">
                  <c:v>-15.246867497688397</c:v>
                </c:pt>
                <c:pt idx="1874">
                  <c:v>-15.478311576051748</c:v>
                </c:pt>
                <c:pt idx="1875">
                  <c:v>-15.704699187303424</c:v>
                </c:pt>
                <c:pt idx="1876">
                  <c:v>-15.925956374959062</c:v>
                </c:pt>
                <c:pt idx="1877">
                  <c:v>-16.142010858544886</c:v>
                </c:pt>
                <c:pt idx="1878">
                  <c:v>-16.352792057210618</c:v>
                </c:pt>
                <c:pt idx="1879">
                  <c:v>-16.558231112787144</c:v>
                </c:pt>
                <c:pt idx="1880">
                  <c:v>-16.758260912280555</c:v>
                </c:pt>
                <c:pt idx="1881">
                  <c:v>-16.952816109797332</c:v>
                </c:pt>
                <c:pt idx="1882">
                  <c:v>-17.141833147890978</c:v>
                </c:pt>
                <c:pt idx="1883">
                  <c:v>-17.325250278325598</c:v>
                </c:pt>
                <c:pt idx="1884">
                  <c:v>-17.50300758224736</c:v>
                </c:pt>
                <c:pt idx="1885">
                  <c:v>-17.675046989759128</c:v>
                </c:pt>
                <c:pt idx="1886">
                  <c:v>-17.841312298890628</c:v>
                </c:pt>
                <c:pt idx="1887">
                  <c:v>-18.001749193958837</c:v>
                </c:pt>
                <c:pt idx="1888">
                  <c:v>-18.156305263311395</c:v>
                </c:pt>
                <c:pt idx="1889">
                  <c:v>-18.304930016449017</c:v>
                </c:pt>
                <c:pt idx="1890">
                  <c:v>-18.447574900519253</c:v>
                </c:pt>
                <c:pt idx="1891">
                  <c:v>-18.584193316178261</c:v>
                </c:pt>
                <c:pt idx="1892">
                  <c:v>-18.714740632813523</c:v>
                </c:pt>
                <c:pt idx="1893">
                  <c:v>-18.83917420312401</c:v>
                </c:pt>
                <c:pt idx="1894">
                  <c:v>-18.957453377052168</c:v>
                </c:pt>
                <c:pt idx="1895">
                  <c:v>-19.06953951506366</c:v>
                </c:pt>
                <c:pt idx="1896">
                  <c:v>-19.175396000769862</c:v>
                </c:pt>
                <c:pt idx="1897">
                  <c:v>-19.27498825289009</c:v>
                </c:pt>
                <c:pt idx="1898">
                  <c:v>-19.368283736548321</c:v>
                </c:pt>
                <c:pt idx="1899">
                  <c:v>-19.455251973901873</c:v>
                </c:pt>
                <c:pt idx="1900">
                  <c:v>-19.535864554097998</c:v>
                </c:pt>
                <c:pt idx="1901">
                  <c:v>-19.610095142554982</c:v>
                </c:pt>
                <c:pt idx="1902">
                  <c:v>-19.677919489565237</c:v>
                </c:pt>
                <c:pt idx="1903">
                  <c:v>-19.739315438217304</c:v>
                </c:pt>
                <c:pt idx="1904">
                  <c:v>-19.794262931633892</c:v>
                </c:pt>
                <c:pt idx="1905">
                  <c:v>-19.842744019524279</c:v>
                </c:pt>
                <c:pt idx="1906">
                  <c:v>-19.884742864048171</c:v>
                </c:pt>
                <c:pt idx="1907">
                  <c:v>-19.920245744989693</c:v>
                </c:pt>
                <c:pt idx="1908">
                  <c:v>-19.949241064239544</c:v>
                </c:pt>
                <c:pt idx="1909">
                  <c:v>-19.971719349583797</c:v>
                </c:pt>
                <c:pt idx="1910">
                  <c:v>-19.987673257798352</c:v>
                </c:pt>
                <c:pt idx="1911">
                  <c:v>-19.997097577047821</c:v>
                </c:pt>
                <c:pt idx="1912">
                  <c:v>-19.99998922858811</c:v>
                </c:pt>
                <c:pt idx="1913">
                  <c:v>-19.996347267772194</c:v>
                </c:pt>
                <c:pt idx="1914">
                  <c:v>-19.986172884358716</c:v>
                </c:pt>
                <c:pt idx="1915">
                  <c:v>-19.969469402123337</c:v>
                </c:pt>
                <c:pt idx="1916">
                  <c:v>-19.9462422777729</c:v>
                </c:pt>
                <c:pt idx="1917">
                  <c:v>-19.916499099162802</c:v>
                </c:pt>
                <c:pt idx="1918">
                  <c:v>-19.880249582818262</c:v>
                </c:pt>
                <c:pt idx="1919">
                  <c:v>-19.83750557076003</c:v>
                </c:pt>
                <c:pt idx="1920">
                  <c:v>-19.788281026635921</c:v>
                </c:pt>
                <c:pt idx="1921">
                  <c:v>-19.732592031159047</c:v>
                </c:pt>
                <c:pt idx="1922">
                  <c:v>-19.670456776854671</c:v>
                </c:pt>
                <c:pt idx="1923">
                  <c:v>-19.601895562116987</c:v>
                </c:pt>
                <c:pt idx="1924">
                  <c:v>-19.526930784578077</c:v>
                </c:pt>
                <c:pt idx="1925">
                  <c:v>-19.445586933790917</c:v>
                </c:pt>
                <c:pt idx="1926">
                  <c:v>-19.357890583229306</c:v>
                </c:pt>
                <c:pt idx="1927">
                  <c:v>-19.263870381606591</c:v>
                </c:pt>
                <c:pt idx="1928">
                  <c:v>-19.163557043516935</c:v>
                </c:pt>
                <c:pt idx="1929">
                  <c:v>-19.056983339401171</c:v>
                </c:pt>
                <c:pt idx="1930">
                  <c:v>-18.944184084841599</c:v>
                </c:pt>
                <c:pt idx="1931">
                  <c:v>-18.825196129188221</c:v>
                </c:pt>
                <c:pt idx="1932">
                  <c:v>-18.700058343520894</c:v>
                </c:pt>
                <c:pt idx="1933">
                  <c:v>-18.568811607950671</c:v>
                </c:pt>
                <c:pt idx="1934">
                  <c:v>-18.431498798265405</c:v>
                </c:pt>
                <c:pt idx="1935">
                  <c:v>-18.288164771922649</c:v>
                </c:pt>
                <c:pt idx="1936">
                  <c:v>-18.138856353395951</c:v>
                </c:pt>
                <c:pt idx="1937">
                  <c:v>-17.983622318878055</c:v>
                </c:pt>
                <c:pt idx="1938">
                  <c:v>-17.82251338034645</c:v>
                </c:pt>
                <c:pt idx="1939">
                  <c:v>-17.655582168997121</c:v>
                </c:pt>
                <c:pt idx="1940">
                  <c:v>-17.482883218050752</c:v>
                </c:pt>
                <c:pt idx="1941">
                  <c:v>-17.30447294493759</c:v>
                </c:pt>
                <c:pt idx="1942">
                  <c:v>-17.120409632867407</c:v>
                </c:pt>
                <c:pt idx="1943">
                  <c:v>-16.930753411788949</c:v>
                </c:pt>
                <c:pt idx="1944">
                  <c:v>-16.735566238747126</c:v>
                </c:pt>
                <c:pt idx="1945">
                  <c:v>-16.534911877642553</c:v>
                </c:pt>
                <c:pt idx="1946">
                  <c:v>-16.328855878401274</c:v>
                </c:pt>
                <c:pt idx="1947">
                  <c:v>-16.117465555560514</c:v>
                </c:pt>
                <c:pt idx="1948">
                  <c:v>-15.900809966278898</c:v>
                </c:pt>
                <c:pt idx="1949">
                  <c:v>-15.678959887776129</c:v>
                </c:pt>
                <c:pt idx="1950">
                  <c:v>-15.451987794212121</c:v>
                </c:pt>
                <c:pt idx="1951">
                  <c:v>-15.219967833010383</c:v>
                </c:pt>
                <c:pt idx="1952">
                  <c:v>-14.982975800636094</c:v>
                </c:pt>
                <c:pt idx="1953">
                  <c:v>-14.7410891178345</c:v>
                </c:pt>
                <c:pt idx="1954">
                  <c:v>-14.494386804339239</c:v>
                </c:pt>
                <c:pt idx="1955">
                  <c:v>-14.242949453057705</c:v>
                </c:pt>
                <c:pt idx="1956">
                  <c:v>-13.986859203743593</c:v>
                </c:pt>
                <c:pt idx="1957">
                  <c:v>-13.726199716162618</c:v>
                </c:pt>
                <c:pt idx="1958">
                  <c:v>-13.46105614276329</c:v>
                </c:pt>
                <c:pt idx="1959">
                  <c:v>-13.191515100858416</c:v>
                </c:pt>
                <c:pt idx="1960">
                  <c:v>-12.917664644329614</c:v>
                </c:pt>
                <c:pt idx="1961">
                  <c:v>-12.639594234861393</c:v>
                </c:pt>
                <c:pt idx="1962">
                  <c:v>-12.357394712715951</c:v>
                </c:pt>
                <c:pt idx="1963">
                  <c:v>-12.071158267056955</c:v>
                </c:pt>
                <c:pt idx="1964">
                  <c:v>-11.780978405833897</c:v>
                </c:pt>
                <c:pt idx="1965">
                  <c:v>-11.486949925233947</c:v>
                </c:pt>
                <c:pt idx="1966">
                  <c:v>-11.189168878714641</c:v>
                </c:pt>
                <c:pt idx="1967">
                  <c:v>-10.887732545624743</c:v>
                </c:pt>
                <c:pt idx="1968">
                  <c:v>-10.582739399424577</c:v>
                </c:pt>
                <c:pt idx="1969">
                  <c:v>-10.274289075517347</c:v>
                </c:pt>
                <c:pt idx="1970">
                  <c:v>-9.9624823386998216</c:v>
                </c:pt>
                <c:pt idx="1971">
                  <c:v>-9.6474210502440396</c:v>
                </c:pt>
                <c:pt idx="1972">
                  <c:v>-9.3292081346220392</c:v>
                </c:pt>
                <c:pt idx="1973">
                  <c:v>-9.0079475458814287</c:v>
                </c:pt>
                <c:pt idx="1974">
                  <c:v>-8.6837442336864612</c:v>
                </c:pt>
                <c:pt idx="1975">
                  <c:v>-8.3567041090326342</c:v>
                </c:pt>
                <c:pt idx="1976">
                  <c:v>-8.0269340096471957</c:v>
                </c:pt>
                <c:pt idx="1977">
                  <c:v>-7.6945416650881011</c:v>
                </c:pt>
                <c:pt idx="1978">
                  <c:v>-7.3596356615504375</c:v>
                </c:pt>
                <c:pt idx="1979">
                  <c:v>-7.0223254063930094</c:v>
                </c:pt>
                <c:pt idx="1980">
                  <c:v>-6.6827210923979772</c:v>
                </c:pt>
                <c:pt idx="1981">
                  <c:v>-6.3409336617719312</c:v>
                </c:pt>
                <c:pt idx="1982">
                  <c:v>-5.9970747699041365</c:v>
                </c:pt>
                <c:pt idx="1983">
                  <c:v>-5.651256748890324</c:v>
                </c:pt>
                <c:pt idx="1984">
                  <c:v>-5.3035925708362317</c:v>
                </c:pt>
                <c:pt idx="1985">
                  <c:v>-4.954195810951231</c:v>
                </c:pt>
                <c:pt idx="1986">
                  <c:v>-4.6031806104464481</c:v>
                </c:pt>
                <c:pt idx="1987">
                  <c:v>-4.2506616392459291</c:v>
                </c:pt>
                <c:pt idx="1988">
                  <c:v>-3.8967540585272733</c:v>
                </c:pt>
                <c:pt idx="1989">
                  <c:v>-3.5415734830995866</c:v>
                </c:pt>
                <c:pt idx="1990">
                  <c:v>-3.1852359436353139</c:v>
                </c:pt>
                <c:pt idx="1991">
                  <c:v>-2.8278578487646904</c:v>
                </c:pt>
                <c:pt idx="1992">
                  <c:v>-2.4695559470475583</c:v>
                </c:pt>
                <c:pt idx="1993">
                  <c:v>-2.1104472888332917</c:v>
                </c:pt>
                <c:pt idx="1994">
                  <c:v>-1.750649188023681</c:v>
                </c:pt>
                <c:pt idx="1995">
                  <c:v>-1.3902791837476061</c:v>
                </c:pt>
                <c:pt idx="1996">
                  <c:v>-1.0294550019643911</c:v>
                </c:pt>
                <c:pt idx="1997">
                  <c:v>-0.66829451700386167</c:v>
                </c:pt>
                <c:pt idx="1998">
                  <c:v>-0.30691571306005799</c:v>
                </c:pt>
                <c:pt idx="1999">
                  <c:v>5.4563354352502827E-2</c:v>
                </c:pt>
                <c:pt idx="2000">
                  <c:v>0.41602459696501198</c:v>
                </c:pt>
                <c:pt idx="2001">
                  <c:v>0.77734993233196481</c:v>
                </c:pt>
                <c:pt idx="2002">
                  <c:v>1.1384213224061432</c:v>
                </c:pt>
                <c:pt idx="2003">
                  <c:v>1.4991208120990949</c:v>
                </c:pt>
                <c:pt idx="2004">
                  <c:v>1.8593305678152217</c:v>
                </c:pt>
                <c:pt idx="2005">
                  <c:v>2.2189329159454676</c:v>
                </c:pt>
                <c:pt idx="2006">
                  <c:v>2.5778103813094533</c:v>
                </c:pt>
                <c:pt idx="2007">
                  <c:v>2.9358457255322152</c:v>
                </c:pt>
                <c:pt idx="2008">
                  <c:v>3.2929219853427485</c:v>
                </c:pt>
                <c:pt idx="2009">
                  <c:v>3.6489225107853507</c:v>
                </c:pt>
                <c:pt idx="2010">
                  <c:v>4.0037310033259343</c:v>
                </c:pt>
                <c:pt idx="2011">
                  <c:v>4.357231553844386</c:v>
                </c:pt>
                <c:pt idx="2012">
                  <c:v>4.7093086805002713</c:v>
                </c:pt>
                <c:pt idx="2013">
                  <c:v>5.0598473664582553</c:v>
                </c:pt>
                <c:pt idx="2014">
                  <c:v>5.4087330974623073</c:v>
                </c:pt>
                <c:pt idx="2015">
                  <c:v>5.755851899245167</c:v>
                </c:pt>
                <c:pt idx="2016">
                  <c:v>6.1010903747605951</c:v>
                </c:pt>
                <c:pt idx="2017">
                  <c:v>6.4443357412296525</c:v>
                </c:pt>
                <c:pt idx="2018">
                  <c:v>6.7854758669837025</c:v>
                </c:pt>
                <c:pt idx="2019">
                  <c:v>7.1243993080955477</c:v>
                </c:pt>
                <c:pt idx="2020">
                  <c:v>7.4609953447864275</c:v>
                </c:pt>
                <c:pt idx="2021">
                  <c:v>7.7951540175957676</c:v>
                </c:pt>
                <c:pt idx="2022">
                  <c:v>8.1267661633032304</c:v>
                </c:pt>
                <c:pt idx="2023">
                  <c:v>8.4557234505900976</c:v>
                </c:pt>
                <c:pt idx="2024">
                  <c:v>8.7819184154281302</c:v>
                </c:pt>
                <c:pt idx="2025">
                  <c:v>9.1052444961876837</c:v>
                </c:pt>
                <c:pt idx="2026">
                  <c:v>9.4255960684477991</c:v>
                </c:pt>
                <c:pt idx="2027">
                  <c:v>9.7428684795028246</c:v>
                </c:pt>
                <c:pt idx="2028">
                  <c:v>10.056958082549556</c:v>
                </c:pt>
                <c:pt idx="2029">
                  <c:v>10.367762270547038</c:v>
                </c:pt>
                <c:pt idx="2030">
                  <c:v>10.67517950973656</c:v>
                </c:pt>
                <c:pt idx="2031">
                  <c:v>10.979109372810649</c:v>
                </c:pt>
                <c:pt idx="2032">
                  <c:v>11.27945257171991</c:v>
                </c:pt>
                <c:pt idx="2033">
                  <c:v>11.576110990110084</c:v>
                </c:pt>
                <c:pt idx="2034">
                  <c:v>11.868987715373347</c:v>
                </c:pt>
                <c:pt idx="2035">
                  <c:v>12.157987070308847</c:v>
                </c:pt>
                <c:pt idx="2036">
                  <c:v>12.443014644377804</c:v>
                </c:pt>
                <c:pt idx="2037">
                  <c:v>12.72397732454597</c:v>
                </c:pt>
                <c:pt idx="2038">
                  <c:v>13.000783325702089</c:v>
                </c:pt>
                <c:pt idx="2039">
                  <c:v>13.273342220642199</c:v>
                </c:pt>
                <c:pt idx="2040">
                  <c:v>13.54156496960973</c:v>
                </c:pt>
                <c:pt idx="2041">
                  <c:v>13.805363949384464</c:v>
                </c:pt>
                <c:pt idx="2042">
                  <c:v>14.064652981906091</c:v>
                </c:pt>
                <c:pt idx="2043">
                  <c:v>14.319347362427861</c:v>
                </c:pt>
                <c:pt idx="2044">
                  <c:v>14.569363887187276</c:v>
                </c:pt>
                <c:pt idx="2045">
                  <c:v>14.814620880587485</c:v>
                </c:pt>
                <c:pt idx="2046">
                  <c:v>15.0550382218794</c:v>
                </c:pt>
                <c:pt idx="2047">
                  <c:v>15.290537371335041</c:v>
                </c:pt>
                <c:pt idx="2048">
                  <c:v>15.521041395905247</c:v>
                </c:pt>
                <c:pt idx="2049">
                  <c:v>15.746474994352489</c:v>
                </c:pt>
                <c:pt idx="2050">
                  <c:v>15.966764521849708</c:v>
                </c:pt>
                <c:pt idx="2051">
                  <c:v>16.181838014039467</c:v>
                </c:pt>
                <c:pt idx="2052">
                  <c:v>16.391625210542283</c:v>
                </c:pt>
                <c:pt idx="2053">
                  <c:v>16.596057577910457</c:v>
                </c:pt>
                <c:pt idx="2054">
                  <c:v>16.795068332016022</c:v>
                </c:pt>
                <c:pt idx="2055">
                  <c:v>16.988592459867785</c:v>
                </c:pt>
                <c:pt idx="2056">
                  <c:v>17.176566740849971</c:v>
                </c:pt>
                <c:pt idx="2057">
                  <c:v>17.358929767375418</c:v>
                </c:pt>
                <c:pt idx="2058">
                  <c:v>17.535621964945722</c:v>
                </c:pt>
                <c:pt idx="2059">
                  <c:v>17.70658561161374</c:v>
                </c:pt>
                <c:pt idx="2060">
                  <c:v>17.871764856839402</c:v>
                </c:pt>
                <c:pt idx="2061">
                  <c:v>18.031105739735903</c:v>
                </c:pt>
                <c:pt idx="2062">
                  <c:v>18.184556206697209</c:v>
                </c:pt>
                <c:pt idx="2063">
                  <c:v>18.3320661284029</c:v>
                </c:pt>
                <c:pt idx="2064">
                  <c:v>18.473587316194614</c:v>
                </c:pt>
                <c:pt idx="2065">
                  <c:v>18.609073537818503</c:v>
                </c:pt>
                <c:pt idx="2066">
                  <c:v>18.73848053252804</c:v>
                </c:pt>
                <c:pt idx="2067">
                  <c:v>18.861766025543623</c:v>
                </c:pt>
                <c:pt idx="2068">
                  <c:v>18.978889741862343</c:v>
                </c:pt>
                <c:pt idx="2069">
                  <c:v>19.08981341941568</c:v>
                </c:pt>
                <c:pt idx="2070">
                  <c:v>19.194500821568653</c:v>
                </c:pt>
                <c:pt idx="2071">
                  <c:v>19.292917748957581</c:v>
                </c:pt>
                <c:pt idx="2072">
                  <c:v>19.38503205066251</c:v>
                </c:pt>
                <c:pt idx="2073">
                  <c:v>19.470813634710208</c:v>
                </c:pt>
                <c:pt idx="2074">
                  <c:v>19.550234477904745</c:v>
                </c:pt>
                <c:pt idx="2075">
                  <c:v>19.623268634982082</c:v>
                </c:pt>
                <c:pt idx="2076">
                  <c:v>19.689892247085702</c:v>
                </c:pt>
                <c:pt idx="2077">
                  <c:v>19.750083549561179</c:v>
                </c:pt>
                <c:pt idx="2078">
                  <c:v>19.803822879066061</c:v>
                </c:pt>
                <c:pt idx="2079">
                  <c:v>19.85109267999351</c:v>
                </c:pt>
                <c:pt idx="2080">
                  <c:v>19.891877510207433</c:v>
                </c:pt>
                <c:pt idx="2081">
                  <c:v>19.926164046087113</c:v>
                </c:pt>
                <c:pt idx="2082">
                  <c:v>19.953941086879809</c:v>
                </c:pt>
                <c:pt idx="2083">
                  <c:v>19.975199558359801</c:v>
                </c:pt>
                <c:pt idx="2084">
                  <c:v>19.989932515792724</c:v>
                </c:pt>
                <c:pt idx="2085">
                  <c:v>19.998135146204362</c:v>
                </c:pt>
                <c:pt idx="2086">
                  <c:v>19.999804769952906</c:v>
                </c:pt>
                <c:pt idx="2087">
                  <c:v>19.994940841604336</c:v>
                </c:pt>
                <c:pt idx="2088">
                  <c:v>19.983544950110627</c:v>
                </c:pt>
                <c:pt idx="2089">
                  <c:v>19.965620818290667</c:v>
                </c:pt>
                <c:pt idx="2090">
                  <c:v>19.941174301614065</c:v>
                </c:pt>
                <c:pt idx="2091">
                  <c:v>19.910213386288262</c:v>
                </c:pt>
                <c:pt idx="2092">
                  <c:v>19.872748186649702</c:v>
                </c:pt>
                <c:pt idx="2093">
                  <c:v>19.828790941859502</c:v>
                </c:pt>
                <c:pt idx="2094">
                  <c:v>19.778356011905313</c:v>
                </c:pt>
                <c:pt idx="2095">
                  <c:v>19.721459872910046</c:v>
                </c:pt>
                <c:pt idx="2096">
                  <c:v>19.658121111749573</c:v>
                </c:pt>
                <c:pt idx="2097">
                  <c:v>19.588360419980688</c:v>
                </c:pt>
                <c:pt idx="2098">
                  <c:v>19.51220058708153</c:v>
                </c:pt>
                <c:pt idx="2099">
                  <c:v>19.429666493006692</c:v>
                </c:pt>
                <c:pt idx="2100">
                  <c:v>19.340785100059673</c:v>
                </c:pt>
                <c:pt idx="2101">
                  <c:v>19.245585444084366</c:v>
                </c:pt>
                <c:pt idx="2102">
                  <c:v>19.144098624980021</c:v>
                </c:pt>
                <c:pt idx="2103">
                  <c:v>19.036357796541186</c:v>
                </c:pt>
                <c:pt idx="2104">
                  <c:v>18.922398155627249</c:v>
                </c:pt>
                <c:pt idx="2105">
                  <c:v>18.802256930664207</c:v>
                </c:pt>
                <c:pt idx="2106">
                  <c:v>18.675973369482751</c:v>
                </c:pt>
                <c:pt idx="2107">
                  <c:v>18.543588726496779</c:v>
                </c:pt>
                <c:pt idx="2108">
                  <c:v>18.405146249226753</c:v>
                </c:pt>
                <c:pt idx="2109">
                  <c:v>18.260691164170872</c:v>
                </c:pt>
                <c:pt idx="2110">
                  <c:v>18.110270662031102</c:v>
                </c:pt>
                <c:pt idx="2111">
                  <c:v>17.953933882296354</c:v>
                </c:pt>
                <c:pt idx="2112">
                  <c:v>17.791731897189983</c:v>
                </c:pt>
                <c:pt idx="2113">
                  <c:v>17.623717694985306</c:v>
                </c:pt>
                <c:pt idx="2114">
                  <c:v>17.449946162695124</c:v>
                </c:pt>
                <c:pt idx="2115">
                  <c:v>17.270474068141596</c:v>
                </c:pt>
                <c:pt idx="2116">
                  <c:v>17.085360041411107</c:v>
                </c:pt>
                <c:pt idx="2117">
                  <c:v>16.894664555700704</c:v>
                </c:pt>
                <c:pt idx="2118">
                  <c:v>16.698449907563159</c:v>
                </c:pt>
                <c:pt idx="2119">
                  <c:v>16.496780196555246</c:v>
                </c:pt>
                <c:pt idx="2120">
                  <c:v>16.289721304298553</c:v>
                </c:pt>
                <c:pt idx="2121">
                  <c:v>16.077340872956189</c:v>
                </c:pt>
                <c:pt idx="2122">
                  <c:v>15.859708283135962</c:v>
                </c:pt>
                <c:pt idx="2123">
                  <c:v>15.636894631225143</c:v>
                </c:pt>
                <c:pt idx="2124">
                  <c:v>15.408972706164485</c:v>
                </c:pt>
                <c:pt idx="2125">
                  <c:v>15.176016965669202</c:v>
                </c:pt>
                <c:pt idx="2126">
                  <c:v>14.938103511905689</c:v>
                </c:pt>
                <c:pt idx="2127">
                  <c:v>14.695310066629778</c:v>
                </c:pt>
                <c:pt idx="2128">
                  <c:v>14.447715945796691</c:v>
                </c:pt>
                <c:pt idx="2129">
                  <c:v>14.19540203365074</c:v>
                </c:pt>
                <c:pt idx="2130">
                  <c:v>13.938450756300725</c:v>
                </c:pt>
                <c:pt idx="2131">
                  <c:v>13.676946054794083</c:v>
                </c:pt>
                <c:pt idx="2132">
                  <c:v>13.410973357694074</c:v>
                </c:pt>
                <c:pt idx="2133">
                  <c:v>13.140619553172598</c:v>
                </c:pt>
                <c:pt idx="2134">
                  <c:v>12.865972960625223</c:v>
                </c:pt>
                <c:pt idx="2135">
                  <c:v>12.587123301818583</c:v>
                </c:pt>
                <c:pt idx="2136">
                  <c:v>12.304161671580667</c:v>
                </c:pt>
                <c:pt idx="2137">
                  <c:v>12.01718050804155</c:v>
                </c:pt>
                <c:pt idx="2138">
                  <c:v>11.726273562435306</c:v>
                </c:pt>
                <c:pt idx="2139">
                  <c:v>11.431535868474063</c:v>
                </c:pt>
                <c:pt idx="2140">
                  <c:v>11.133063711301279</c:v>
                </c:pt>
                <c:pt idx="2141">
                  <c:v>10.830954596038644</c:v>
                </c:pt>
                <c:pt idx="2142">
                  <c:v>10.525307215931498</c:v>
                </c:pt>
                <c:pt idx="2143">
                  <c:v>10.216221420108461</c:v>
                </c:pt>
                <c:pt idx="2144">
                  <c:v>9.9037981809627631</c:v>
                </c:pt>
                <c:pt idx="2145">
                  <c:v>9.5881395611662867</c:v>
                </c:pt>
                <c:pt idx="2146">
                  <c:v>9.2693486803272496</c:v>
                </c:pt>
                <c:pt idx="2147">
                  <c:v>8.9475296813038963</c:v>
                </c:pt>
                <c:pt idx="2148">
                  <c:v>8.6227876961818914</c:v>
                </c:pt>
                <c:pt idx="2149">
                  <c:v>8.2952288119312065</c:v>
                </c:pt>
                <c:pt idx="2150">
                  <c:v>7.9649600357478958</c:v>
                </c:pt>
                <c:pt idx="2151">
                  <c:v>7.6320892600977839</c:v>
                </c:pt>
                <c:pt idx="2152">
                  <c:v>7.2967252274702057</c:v>
                </c:pt>
                <c:pt idx="2153">
                  <c:v>6.9589774948536673</c:v>
                </c:pt>
                <c:pt idx="2154">
                  <c:v>6.6189563979452828</c:v>
                </c:pt>
                <c:pt idx="2155">
                  <c:v>6.2767730151071497</c:v>
                </c:pt>
                <c:pt idx="2156">
                  <c:v>5.9325391310779771</c:v>
                </c:pt>
                <c:pt idx="2157">
                  <c:v>5.5863672004567766</c:v>
                </c:pt>
                <c:pt idx="2158">
                  <c:v>5.2383703109643491</c:v>
                </c:pt>
                <c:pt idx="2159">
                  <c:v>4.8886621465006366</c:v>
                </c:pt>
                <c:pt idx="2160">
                  <c:v>4.5373569500065249</c:v>
                </c:pt>
                <c:pt idx="2161">
                  <c:v>4.1845694861424541</c:v>
                </c:pt>
                <c:pt idx="2162">
                  <c:v>3.8304150037972846</c:v>
                </c:pt>
                <c:pt idx="2163">
                  <c:v>3.4750091984382792</c:v>
                </c:pt>
                <c:pt idx="2164">
                  <c:v>3.1184681743157561</c:v>
                </c:pt>
                <c:pt idx="2165">
                  <c:v>2.7609084065350413</c:v>
                </c:pt>
                <c:pt idx="2166">
                  <c:v>2.4024467030046068</c:v>
                </c:pt>
                <c:pt idx="2167">
                  <c:v>2.0432001662781496</c:v>
                </c:pt>
                <c:pt idx="2168">
                  <c:v>1.6832861552995806</c:v>
                </c:pt>
                <c:pt idx="2169">
                  <c:v>1.3228222470636883</c:v>
                </c:pt>
                <c:pt idx="2170">
                  <c:v>0.9619261982062759</c:v>
                </c:pt>
                <c:pt idx="2171">
                  <c:v>0.6007159065349037</c:v>
                </c:pt>
                <c:pt idx="2172">
                  <c:v>0.23930937251408191</c:v>
                </c:pt>
                <c:pt idx="2173">
                  <c:v>-0.12217533928222069</c:v>
                </c:pt>
                <c:pt idx="2174">
                  <c:v>-0.48362013874170984</c:v>
                </c:pt>
                <c:pt idx="2175">
                  <c:v>-0.84490694879054296</c:v>
                </c:pt>
                <c:pt idx="2176">
                  <c:v>-1.2059177439666995</c:v>
                </c:pt>
                <c:pt idx="2177">
                  <c:v>-1.5665345889770588</c:v>
                </c:pt>
                <c:pt idx="2178">
                  <c:v>-1.9266396772243111</c:v>
                </c:pt>
                <c:pt idx="2179">
                  <c:v>-2.2861153692925362</c:v>
                </c:pt>
                <c:pt idx="2180">
                  <c:v>-2.6448442313775971</c:v>
                </c:pt>
                <c:pt idx="2181">
                  <c:v>-3.0027090736495223</c:v>
                </c:pt>
                <c:pt idx="2182">
                  <c:v>-3.3595929885380049</c:v>
                </c:pt>
                <c:pt idx="2183">
                  <c:v>-3.7153793889221722</c:v>
                </c:pt>
                <c:pt idx="2184">
                  <c:v>-4.0699520462186207</c:v>
                </c:pt>
                <c:pt idx="2185">
                  <c:v>-4.4231951283500823</c:v>
                </c:pt>
                <c:pt idx="2186">
                  <c:v>-4.7749932375859609</c:v>
                </c:pt>
                <c:pt idx="2187">
                  <c:v>-5.1252314482408314</c:v>
                </c:pt>
                <c:pt idx="2188">
                  <c:v>-5.4737953442183072</c:v>
                </c:pt>
                <c:pt idx="2189">
                  <c:v>-5.8205710563876298</c:v>
                </c:pt>
                <c:pt idx="2190">
                  <c:v>-6.1654452997843059</c:v>
                </c:pt>
                <c:pt idx="2191">
                  <c:v>-6.5083054106164848</c:v>
                </c:pt>
                <c:pt idx="2192">
                  <c:v>-6.8490393830712861</c:v>
                </c:pt>
                <c:pt idx="2193">
                  <c:v>-7.1875359059039932</c:v>
                </c:pt>
                <c:pt idx="2194">
                  <c:v>-7.5236843988017146</c:v>
                </c:pt>
                <c:pt idx="2195">
                  <c:v>-7.8573750485081062</c:v>
                </c:pt>
                <c:pt idx="2196">
                  <c:v>-8.1884988446971132</c:v>
                </c:pt>
                <c:pt idx="2197">
                  <c:v>-8.5169476155836463</c:v>
                </c:pt>
                <c:pt idx="2198">
                  <c:v>-8.842614063262916</c:v>
                </c:pt>
                <c:pt idx="2199">
                  <c:v>-9.1653917987610374</c:v>
                </c:pt>
                <c:pt idx="2200">
                  <c:v>-9.48517537679143</c:v>
                </c:pt>
                <c:pt idx="2201">
                  <c:v>-9.8018603302008653</c:v>
                </c:pt>
                <c:pt idx="2202">
                  <c:v>-10.115343204097272</c:v>
                </c:pt>
                <c:pt idx="2203">
                  <c:v>-10.425521589646824</c:v>
                </c:pt>
                <c:pt idx="2204">
                  <c:v>-10.732294157528203</c:v>
                </c:pt>
                <c:pt idx="2205">
                  <c:v>-11.035560691035315</c:v>
                </c:pt>
                <c:pt idx="2206">
                  <c:v>-11.33522211881651</c:v>
                </c:pt>
                <c:pt idx="2207">
                  <c:v>-11.631180547238474</c:v>
                </c:pt>
                <c:pt idx="2208">
                  <c:v>-11.923339292367235</c:v>
                </c:pt>
                <c:pt idx="2209">
                  <c:v>-12.211602911551573</c:v>
                </c:pt>
                <c:pt idx="2210">
                  <c:v>-12.4958772346038</c:v>
                </c:pt>
                <c:pt idx="2211">
                  <c:v>-12.776069394562526</c:v>
                </c:pt>
                <c:pt idx="2212">
                  <c:v>-13.052087858030417</c:v>
                </c:pt>
                <c:pt idx="2213">
                  <c:v>-13.323842455076633</c:v>
                </c:pt>
                <c:pt idx="2214">
                  <c:v>-13.591244408693921</c:v>
                </c:pt>
                <c:pt idx="2215">
                  <c:v>-13.85420636379961</c:v>
                </c:pt>
                <c:pt idx="2216">
                  <c:v>-14.112642415773788</c:v>
                </c:pt>
                <c:pt idx="2217">
                  <c:v>-14.366468138521459</c:v>
                </c:pt>
                <c:pt idx="2218">
                  <c:v>-14.615600612054241</c:v>
                </c:pt>
                <c:pt idx="2219">
                  <c:v>-14.859958449578031</c:v>
                </c:pt>
                <c:pt idx="2220">
                  <c:v>-15.099461824080404</c:v>
                </c:pt>
                <c:pt idx="2221">
                  <c:v>-15.334032494408785</c:v>
                </c:pt>
                <c:pt idx="2222">
                  <c:v>-15.563593830830582</c:v>
                </c:pt>
                <c:pt idx="2223">
                  <c:v>-15.78807084006602</c:v>
                </c:pt>
                <c:pt idx="2224">
                  <c:v>-16.007390189787802</c:v>
                </c:pt>
                <c:pt idx="2225">
                  <c:v>-16.221480232576333</c:v>
                </c:pt>
                <c:pt idx="2226">
                  <c:v>-16.430271029326676</c:v>
                </c:pt>
                <c:pt idx="2227">
                  <c:v>-16.633694372095697</c:v>
                </c:pt>
                <c:pt idx="2228">
                  <c:v>-16.83168380638423</c:v>
                </c:pt>
                <c:pt idx="2229">
                  <c:v>-17.024174652846732</c:v>
                </c:pt>
                <c:pt idx="2230">
                  <c:v>-17.21110402842061</c:v>
                </c:pt>
                <c:pt idx="2231">
                  <c:v>-17.392410866869163</c:v>
                </c:pt>
                <c:pt idx="2232">
                  <c:v>-17.56803593873062</c:v>
                </c:pt>
                <c:pt idx="2233">
                  <c:v>-17.737921870666831</c:v>
                </c:pt>
                <c:pt idx="2234">
                  <c:v>-17.902013164206849</c:v>
                </c:pt>
                <c:pt idx="2235">
                  <c:v>-18.060256213876709</c:v>
                </c:pt>
                <c:pt idx="2236">
                  <c:v>-18.21259932471127</c:v>
                </c:pt>
                <c:pt idx="2237">
                  <c:v>-18.358992729142173</c:v>
                </c:pt>
                <c:pt idx="2238">
                  <c:v>-18.499388603255792</c:v>
                </c:pt>
                <c:pt idx="2239">
                  <c:v>-18.633741082416599</c:v>
                </c:pt>
                <c:pt idx="2240">
                  <c:v>-18.762006276250155</c:v>
                </c:pt>
                <c:pt idx="2241">
                  <c:v>-18.884142282980928</c:v>
                </c:pt>
                <c:pt idx="2242">
                  <c:v>-19.000109203121397</c:v>
                </c:pt>
                <c:pt idx="2243">
                  <c:v>-19.109869152506079</c:v>
                </c:pt>
                <c:pt idx="2244">
                  <c:v>-19.213386274667545</c:v>
                </c:pt>
                <c:pt idx="2245">
                  <c:v>-19.31062675255016</c:v>
                </c:pt>
                <c:pt idx="2246">
                  <c:v>-19.401558819557387</c:v>
                </c:pt>
                <c:pt idx="2247">
                  <c:v>-19.48615276992944</c:v>
                </c:pt>
                <c:pt idx="2248">
                  <c:v>-19.564380968447526</c:v>
                </c:pt>
                <c:pt idx="2249">
                  <c:v>-19.636217859461532</c:v>
                </c:pt>
                <c:pt idx="2250">
                  <c:v>-19.701639975238976</c:v>
                </c:pt>
                <c:pt idx="2251">
                  <c:v>-19.760625943631091</c:v>
                </c:pt>
                <c:pt idx="2252">
                  <c:v>-19.813156495054926</c:v>
                </c:pt>
                <c:pt idx="2253">
                  <c:v>-19.859214468788288</c:v>
                </c:pt>
                <c:pt idx="2254">
                  <c:v>-19.898784818575677</c:v>
                </c:pt>
                <c:pt idx="2255">
                  <c:v>-19.931854617543863</c:v>
                </c:pt>
                <c:pt idx="2256">
                  <c:v>-19.958413062424675</c:v>
                </c:pt>
                <c:pt idx="2257">
                  <c:v>-19.978451477084246</c:v>
                </c:pt>
                <c:pt idx="2258">
                  <c:v>-19.991963315357367</c:v>
                </c:pt>
                <c:pt idx="2259">
                  <c:v>-19.998944163185982</c:v>
                </c:pt>
                <c:pt idx="2260">
                  <c:v>-19.999391740061196</c:v>
                </c:pt>
                <c:pt idx="2261">
                  <c:v>-19.993305899768227</c:v>
                </c:pt>
                <c:pt idx="2262">
                  <c:v>-19.980688630434223</c:v>
                </c:pt>
                <c:pt idx="2263">
                  <c:v>-19.961544053878747</c:v>
                </c:pt>
                <c:pt idx="2264">
                  <c:v>-19.935878424267244</c:v>
                </c:pt>
                <c:pt idx="2265">
                  <c:v>-19.903700126067982</c:v>
                </c:pt>
                <c:pt idx="2266">
                  <c:v>-19.865019671312954</c:v>
                </c:pt>
                <c:pt idx="2267">
                  <c:v>-19.819849696163843</c:v>
                </c:pt>
                <c:pt idx="2268">
                  <c:v>-19.768204956783968</c:v>
                </c:pt>
                <c:pt idx="2269">
                  <c:v>-19.710102324517738</c:v>
                </c:pt>
                <c:pt idx="2270">
                  <c:v>-19.64556078037927</c:v>
                </c:pt>
                <c:pt idx="2271">
                  <c:v>-19.57460140885139</c:v>
                </c:pt>
                <c:pt idx="2272">
                  <c:v>-19.497247390997881</c:v>
                </c:pt>
                <c:pt idx="2273">
                  <c:v>-19.413523996890724</c:v>
                </c:pt>
                <c:pt idx="2274">
                  <c:v>-19.323458577354756</c:v>
                </c:pt>
                <c:pt idx="2275">
                  <c:v>-19.227080555032764</c:v>
                </c:pt>
                <c:pt idx="2276">
                  <c:v>-19.124421414773547</c:v>
                </c:pt>
                <c:pt idx="2277">
                  <c:v>-19.015514693346439</c:v>
                </c:pt>
                <c:pt idx="2278">
                  <c:v>-18.900395968485817</c:v>
                </c:pt>
                <c:pt idx="2279">
                  <c:v>-18.779102847267957</c:v>
                </c:pt>
                <c:pt idx="2280">
                  <c:v>-18.65167495382607</c:v>
                </c:pt>
                <c:pt idx="2281">
                  <c:v>-18.518153916405435</c:v>
                </c:pt>
                <c:pt idx="2282">
                  <c:v>-18.37858335376459</c:v>
                </c:pt>
                <c:pt idx="2283">
                  <c:v>-18.233008860925771</c:v>
                </c:pt>
                <c:pt idx="2284">
                  <c:v>-18.081477994279805</c:v>
                </c:pt>
                <c:pt idx="2285">
                  <c:v>-17.924040256050354</c:v>
                </c:pt>
                <c:pt idx="2286">
                  <c:v>-17.760747078122961</c:v>
                </c:pt>
                <c:pt idx="2287">
                  <c:v>-17.591651805242414</c:v>
                </c:pt>
                <c:pt idx="2288">
                  <c:v>-17.416809677586805</c:v>
                </c:pt>
                <c:pt idx="2289">
                  <c:v>-17.236277812721049</c:v>
                </c:pt>
                <c:pt idx="2290">
                  <c:v>-17.050115186938122</c:v>
                </c:pt>
                <c:pt idx="2291">
                  <c:v>-16.858382615992458</c:v>
                </c:pt>
                <c:pt idx="2292">
                  <c:v>-16.661142735232445</c:v>
                </c:pt>
                <c:pt idx="2293">
                  <c:v>-16.458459979138734</c:v>
                </c:pt>
                <c:pt idx="2294">
                  <c:v>-16.250400560275281</c:v>
                </c:pt>
                <c:pt idx="2295">
                  <c:v>-16.037032447657943</c:v>
                </c:pt>
                <c:pt idx="2296">
                  <c:v>-15.818425344551283</c:v>
                </c:pt>
                <c:pt idx="2297">
                  <c:v>-15.594650665697092</c:v>
                </c:pt>
                <c:pt idx="2298">
                  <c:v>-15.365781513985159</c:v>
                </c:pt>
                <c:pt idx="2299">
                  <c:v>-15.131892656571729</c:v>
                </c:pt>
                <c:pt idx="2300">
                  <c:v>-14.893060500454203</c:v>
                </c:pt>
                <c:pt idx="2301">
                  <c:v>-14.649363067511009</c:v>
                </c:pt>
                <c:pt idx="2302">
                  <c:v>-14.400879969013074</c:v>
                </c:pt>
                <c:pt idx="2303">
                  <c:v>-14.14769237961605</c:v>
                </c:pt>
                <c:pt idx="2304">
                  <c:v>-13.889883010842814</c:v>
                </c:pt>
                <c:pt idx="2305">
                  <c:v>-13.627536084062282</c:v>
                </c:pt>
                <c:pt idx="2306">
                  <c:v>-13.360737302977146</c:v>
                </c:pt>
                <c:pt idx="2307">
                  <c:v>-13.089573825624781</c:v>
                </c:pt>
                <c:pt idx="2308">
                  <c:v>-12.814134235905092</c:v>
                </c:pt>
                <c:pt idx="2309">
                  <c:v>-12.534508514641987</c:v>
                </c:pt>
                <c:pt idx="2310">
                  <c:v>-12.250788010188153</c:v>
                </c:pt>
                <c:pt idx="2311">
                  <c:v>-11.963065408582963</c:v>
                </c:pt>
                <c:pt idx="2312">
                  <c:v>-11.671434703274521</c:v>
                </c:pt>
                <c:pt idx="2313">
                  <c:v>-11.375991164412769</c:v>
                </c:pt>
                <c:pt idx="2314">
                  <c:v>-11.076831307727957</c:v>
                </c:pt>
                <c:pt idx="2315">
                  <c:v>-10.774052862999293</c:v>
                </c:pt>
                <c:pt idx="2316">
                  <c:v>-10.467754742129312</c:v>
                </c:pt>
                <c:pt idx="2317">
                  <c:v>-10.158037006831382</c:v>
                </c:pt>
                <c:pt idx="2318">
                  <c:v>-9.8450008359412315</c:v>
                </c:pt>
                <c:pt idx="2319">
                  <c:v>-9.5287484923633947</c:v>
                </c:pt>
                <c:pt idx="2320">
                  <c:v>-9.2093832896647463</c:v>
                </c:pt>
                <c:pt idx="2321">
                  <c:v>-8.8870095583228199</c:v>
                </c:pt>
                <c:pt idx="2322">
                  <c:v>-8.5617326116445653</c:v>
                </c:pt>
                <c:pt idx="2323">
                  <c:v>-8.2336587113608566</c:v>
                </c:pt>
                <c:pt idx="2324">
                  <c:v>-7.9028950329137162</c:v>
                </c:pt>
                <c:pt idx="2325">
                  <c:v>-7.5695496304442944</c:v>
                </c:pt>
                <c:pt idx="2326">
                  <c:v>-7.2337314014932605</c:v>
                </c:pt>
                <c:pt idx="2327">
                  <c:v>-6.8955500514263406</c:v>
                </c:pt>
                <c:pt idx="2328">
                  <c:v>-6.5551160575952725</c:v>
                </c:pt>
                <c:pt idx="2329">
                  <c:v>-6.2125406332471114</c:v>
                </c:pt>
                <c:pt idx="2330">
                  <c:v>-5.8679356911939404</c:v>
                </c:pt>
                <c:pt idx="2331">
                  <c:v>-5.5214138072514931</c:v>
                </c:pt>
                <c:pt idx="2332">
                  <c:v>-5.1730881834637286</c:v>
                </c:pt>
                <c:pt idx="2333">
                  <c:v>-4.823072611122047</c:v>
                </c:pt>
                <c:pt idx="2334">
                  <c:v>-4.4714814335914452</c:v>
                </c:pt>
                <c:pt idx="2335">
                  <c:v>-4.1184295089570151</c:v>
                </c:pt>
                <c:pt idx="2336">
                  <c:v>-3.7640321725015919</c:v>
                </c:pt>
                <c:pt idx="2337">
                  <c:v>-3.4084051990280728</c:v>
                </c:pt>
                <c:pt idx="2338">
                  <c:v>-3.0516647650389905</c:v>
                </c:pt>
                <c:pt idx="2339">
                  <c:v>-2.6939274107822038</c:v>
                </c:pt>
                <c:pt idx="2340">
                  <c:v>-2.3353100021804152</c:v>
                </c:pt>
                <c:pt idx="2341">
                  <c:v>-1.9759296926534597</c:v>
                </c:pt>
                <c:pt idx="2342">
                  <c:v>-1.6159038848461122</c:v>
                </c:pt>
                <c:pt idx="2343">
                  <c:v>-1.2553501922751795</c:v>
                </c:pt>
                <c:pt idx="2344">
                  <c:v>-0.8943864009069995</c:v>
                </c:pt>
                <c:pt idx="2345">
                  <c:v>-0.53313043067916721</c:v>
                </c:pt>
                <c:pt idx="2346">
                  <c:v>-0.17170029697935191</c:v>
                </c:pt>
                <c:pt idx="2347">
                  <c:v>0.18978592790990995</c:v>
                </c:pt>
                <c:pt idx="2348">
                  <c:v>0.5512101533814574</c:v>
                </c:pt>
                <c:pt idx="2349">
                  <c:v>0.91245430908271663</c:v>
                </c:pt>
                <c:pt idx="2350">
                  <c:v>1.2734003834860232</c:v>
                </c:pt>
                <c:pt idx="2351">
                  <c:v>1.6339304624411486</c:v>
                </c:pt>
                <c:pt idx="2352">
                  <c:v>1.9939267676958696</c:v>
                </c:pt>
                <c:pt idx="2353">
                  <c:v>2.3532716953717219</c:v>
                </c:pt>
                <c:pt idx="2354">
                  <c:v>2.7118478543819355</c:v>
                </c:pt>
                <c:pt idx="2355">
                  <c:v>3.0695381047826897</c:v>
                </c:pt>
                <c:pt idx="2356">
                  <c:v>3.4262255960387842</c:v>
                </c:pt>
                <c:pt idx="2357">
                  <c:v>3.7817938051977356</c:v>
                </c:pt>
                <c:pt idx="2358">
                  <c:v>4.1361265749546021</c:v>
                </c:pt>
                <c:pt idx="2359">
                  <c:v>4.4891081515987699</c:v>
                </c:pt>
                <c:pt idx="2360">
                  <c:v>4.8406232228287411</c:v>
                </c:pt>
                <c:pt idx="2361">
                  <c:v>5.1905569554223057</c:v>
                </c:pt>
                <c:pt idx="2362">
                  <c:v>5.5387950327493876</c:v>
                </c:pt>
                <c:pt idx="2363">
                  <c:v>5.8852236921188839</c:v>
                </c:pt>
                <c:pt idx="2364">
                  <c:v>6.229729761941103</c:v>
                </c:pt>
                <c:pt idx="2365">
                  <c:v>6.572200698699973</c:v>
                </c:pt>
                <c:pt idx="2366">
                  <c:v>6.9125246237179008</c:v>
                </c:pt>
                <c:pt idx="2367">
                  <c:v>7.2505903597047965</c:v>
                </c:pt>
                <c:pt idx="2368">
                  <c:v>7.5862874670779545</c:v>
                </c:pt>
                <c:pt idx="2369">
                  <c:v>7.9195062800397453</c:v>
                </c:pt>
                <c:pt idx="2370">
                  <c:v>8.2501379424037271</c:v>
                </c:pt>
                <c:pt idx="2371">
                  <c:v>8.5780744431562592</c:v>
                </c:pt>
                <c:pt idx="2372">
                  <c:v>8.9032086517407212</c:v>
                </c:pt>
                <c:pt idx="2373">
                  <c:v>9.2254343530561549</c:v>
                </c:pt>
                <c:pt idx="2374">
                  <c:v>9.5446462821541829</c:v>
                </c:pt>
                <c:pt idx="2375">
                  <c:v>9.8607401586286887</c:v>
                </c:pt>
                <c:pt idx="2376">
                  <c:v>10.173612720681325</c:v>
                </c:pt>
                <c:pt idx="2377">
                  <c:v>10.483161758854934</c:v>
                </c:pt>
                <c:pt idx="2378">
                  <c:v>10.789286149424262</c:v>
                </c:pt>
                <c:pt idx="2379">
                  <c:v>11.091885887430291</c:v>
                </c:pt>
                <c:pt idx="2380">
                  <c:v>11.390862119350302</c:v>
                </c:pt>
                <c:pt idx="2381">
                  <c:v>11.68611717539166</c:v>
                </c:pt>
                <c:pt idx="2382">
                  <c:v>11.977554601398523</c:v>
                </c:pt>
                <c:pt idx="2383">
                  <c:v>12.26507919036078</c:v>
                </c:pt>
                <c:pt idx="2384">
                  <c:v>12.548597013517824</c:v>
                </c:pt>
                <c:pt idx="2385">
                  <c:v>12.828015451041923</c:v>
                </c:pt>
                <c:pt idx="2386">
                  <c:v>13.103243222296337</c:v>
                </c:pt>
                <c:pt idx="2387">
                  <c:v>13.37419041565418</c:v>
                </c:pt>
                <c:pt idx="2388">
                  <c:v>13.640768517871155</c:v>
                </c:pt>
                <c:pt idx="2389">
                  <c:v>13.902890443001446</c:v>
                </c:pt>
                <c:pt idx="2390">
                  <c:v>14.160470560846383</c:v>
                </c:pt>
                <c:pt idx="2391">
                  <c:v>14.413424724928518</c:v>
                </c:pt>
                <c:pt idx="2392">
                  <c:v>14.661670299980944</c:v>
                </c:pt>
                <c:pt idx="2393">
                  <c:v>14.905126188941964</c:v>
                </c:pt>
                <c:pt idx="2394">
                  <c:v>15.143712859448812</c:v>
                </c:pt>
                <c:pt idx="2395">
                  <c:v>15.377352369818212</c:v>
                </c:pt>
                <c:pt idx="2396">
                  <c:v>15.605968394509656</c:v>
                </c:pt>
                <c:pt idx="2397">
                  <c:v>15.829486249058819</c:v>
                </c:pt>
                <c:pt idx="2398">
                  <c:v>16.047832914475471</c:v>
                </c:pt>
                <c:pt idx="2399">
                  <c:v>16.260937061097557</c:v>
                </c:pt>
                <c:pt idx="2400">
                  <c:v>16.468729071893474</c:v>
                </c:pt>
                <c:pt idx="2401">
                  <c:v>16.671141065204036</c:v>
                </c:pt>
                <c:pt idx="2402">
                  <c:v>16.86810691691884</c:v>
                </c:pt>
                <c:pt idx="2403">
                  <c:v>17.059562282076797</c:v>
                </c:pt>
                <c:pt idx="2404">
                  <c:v>17.245444615887408</c:v>
                </c:pt>
                <c:pt idx="2405">
                  <c:v>17.425693194162385</c:v>
                </c:pt>
                <c:pt idx="2406">
                  <c:v>17.600249133153028</c:v>
                </c:pt>
                <c:pt idx="2407">
                  <c:v>17.769055408786581</c:v>
                </c:pt>
                <c:pt idx="2408">
                  <c:v>17.932056875295046</c:v>
                </c:pt>
                <c:pt idx="2409">
                  <c:v>18.08920028322985</c:v>
                </c:pt>
                <c:pt idx="2410">
                  <c:v>18.240434296857927</c:v>
                </c:pt>
                <c:pt idx="2411">
                  <c:v>18.385709510931424</c:v>
                </c:pt>
                <c:pt idx="2412">
                  <c:v>18.524978466828223</c:v>
                </c:pt>
                <c:pt idx="2413">
                  <c:v>18.658195668055317</c:v>
                </c:pt>
                <c:pt idx="2414">
                  <c:v>18.785317595111607</c:v>
                </c:pt>
                <c:pt idx="2415">
                  <c:v>18.906302719705064</c:v>
                </c:pt>
                <c:pt idx="2416">
                  <c:v>19.021111518319106</c:v>
                </c:pt>
                <c:pt idx="2417">
                  <c:v>19.129706485124327</c:v>
                </c:pt>
                <c:pt idx="2418">
                  <c:v>19.232052144230845</c:v>
                </c:pt>
                <c:pt idx="2419">
                  <c:v>19.328115061277348</c:v>
                </c:pt>
                <c:pt idx="2420">
                  <c:v>19.417863854353929</c:v>
                </c:pt>
                <c:pt idx="2421">
                  <c:v>19.501269204253656</c:v>
                </c:pt>
                <c:pt idx="2422">
                  <c:v>19.578303864050589</c:v>
                </c:pt>
                <c:pt idx="2423">
                  <c:v>19.648942668000917</c:v>
                </c:pt>
                <c:pt idx="2424">
                  <c:v>19.71316253976407</c:v>
                </c:pt>
                <c:pt idx="2425">
                  <c:v>19.770942499941398</c:v>
                </c:pt>
                <c:pt idx="2426">
                  <c:v>19.82226367292968</c:v>
                </c:pt>
                <c:pt idx="2427">
                  <c:v>19.867109293087314</c:v>
                </c:pt>
                <c:pt idx="2428">
                  <c:v>19.90546471021155</c:v>
                </c:pt>
                <c:pt idx="2429">
                  <c:v>19.937317394324289</c:v>
                </c:pt>
                <c:pt idx="2430">
                  <c:v>19.962656939765385</c:v>
                </c:pt>
                <c:pt idx="2431">
                  <c:v>19.981475068592019</c:v>
                </c:pt>
                <c:pt idx="2432">
                  <c:v>19.99376563328293</c:v>
                </c:pt>
                <c:pt idx="2433">
                  <c:v>19.99952461874669</c:v>
                </c:pt>
                <c:pt idx="2434">
                  <c:v>19.998750143633362</c:v>
                </c:pt>
                <c:pt idx="2435">
                  <c:v>19.991442460949088</c:v>
                </c:pt>
                <c:pt idx="2436">
                  <c:v>19.977603957973443</c:v>
                </c:pt>
                <c:pt idx="2437">
                  <c:v>19.957239155479574</c:v>
                </c:pt>
                <c:pt idx="2438">
                  <c:v>19.930354706257308</c:v>
                </c:pt>
                <c:pt idx="2439">
                  <c:v>19.896959392939863</c:v>
                </c:pt>
                <c:pt idx="2440">
                  <c:v>19.857064125134723</c:v>
                </c:pt>
                <c:pt idx="2441">
                  <c:v>19.810681935859623</c:v>
                </c:pt>
                <c:pt idx="2442">
                  <c:v>19.757827977284926</c:v>
                </c:pt>
                <c:pt idx="2443">
                  <c:v>19.698519515783865</c:v>
                </c:pt>
                <c:pt idx="2444">
                  <c:v>19.632775926291643</c:v>
                </c:pt>
                <c:pt idx="2445">
                  <c:v>19.560618685976316</c:v>
                </c:pt>
                <c:pt idx="2446">
                  <c:v>19.482071367222368</c:v>
                </c:pt>
                <c:pt idx="2447">
                  <c:v>19.397159629930265</c:v>
                </c:pt>
                <c:pt idx="2448">
                  <c:v>19.305911213133776</c:v>
                </c:pt>
                <c:pt idx="2449">
                  <c:v>19.2083559259381</c:v>
                </c:pt>
                <c:pt idx="2450">
                  <c:v>19.104525637781812</c:v>
                </c:pt>
                <c:pt idx="2451">
                  <c:v>18.994454268026018</c:v>
                </c:pt>
                <c:pt idx="2452">
                  <c:v>18.878177774873041</c:v>
                </c:pt>
                <c:pt idx="2453">
                  <c:v>18.755734143620046</c:v>
                </c:pt>
                <c:pt idx="2454">
                  <c:v>18.627163374249584</c:v>
                </c:pt>
                <c:pt idx="2455">
                  <c:v>18.492507468362689</c:v>
                </c:pt>
                <c:pt idx="2456">
                  <c:v>18.351810415457646</c:v>
                </c:pt>
                <c:pt idx="2457">
                  <c:v>18.205118178559257</c:v>
                </c:pt>
                <c:pt idx="2458">
                  <c:v>18.052478679203968</c:v>
                </c:pt>
                <c:pt idx="2459">
                  <c:v>17.893941781784648</c:v>
                </c:pt>
                <c:pt idx="2460">
                  <c:v>17.729559277260659</c:v>
                </c:pt>
                <c:pt idx="2461">
                  <c:v>17.559384866239188</c:v>
                </c:pt>
                <c:pt idx="2462">
                  <c:v>17.383474141431698</c:v>
                </c:pt>
                <c:pt idx="2463">
                  <c:v>17.201884569493679</c:v>
                </c:pt>
                <c:pt idx="2464">
                  <c:v>17.014675472250488</c:v>
                </c:pt>
                <c:pt idx="2465">
                  <c:v>16.821908007318537</c:v>
                </c:pt>
                <c:pt idx="2466">
                  <c:v>16.62364514812635</c:v>
                </c:pt>
                <c:pt idx="2467">
                  <c:v>16.419951663342218</c:v>
                </c:pt>
                <c:pt idx="2468">
                  <c:v>16.210894095715275</c:v>
                </c:pt>
                <c:pt idx="2469">
                  <c:v>15.996540740337817</c:v>
                </c:pt>
                <c:pt idx="2470">
                  <c:v>15.776961622333864</c:v>
                </c:pt>
                <c:pt idx="2471">
                  <c:v>15.552228473984325</c:v>
                </c:pt>
                <c:pt idx="2472">
                  <c:v>15.322414711292311</c:v>
                </c:pt>
                <c:pt idx="2473">
                  <c:v>15.087595410000143</c:v>
                </c:pt>
                <c:pt idx="2474">
                  <c:v>14.847847281063641</c:v>
                </c:pt>
                <c:pt idx="2475">
                  <c:v>14.603248645591966</c:v>
                </c:pt>
                <c:pt idx="2476">
                  <c:v>14.353879409261312</c:v>
                </c:pt>
                <c:pt idx="2477">
                  <c:v>14.099821036211937</c:v>
                </c:pt>
                <c:pt idx="2478">
                  <c:v>13.841156522434503</c:v>
                </c:pt>
                <c:pt idx="2479">
                  <c:v>13.577970368658095</c:v>
                </c:pt>
                <c:pt idx="2480">
                  <c:v>13.310348552744127</c:v>
                </c:pt>
                <c:pt idx="2481">
                  <c:v>13.038378501599745</c:v>
                </c:pt>
                <c:pt idx="2482">
                  <c:v>12.762149062617237</c:v>
                </c:pt>
                <c:pt idx="2483">
                  <c:v>12.48175047464898</c:v>
                </c:pt>
                <c:pt idx="2484">
                  <c:v>12.197274338528381</c:v>
                </c:pt>
                <c:pt idx="2485">
                  <c:v>11.908813587145273</c:v>
                </c:pt>
                <c:pt idx="2486">
                  <c:v>11.616462455086658</c:v>
                </c:pt>
                <c:pt idx="2487">
                  <c:v>11.320316447852868</c:v>
                </c:pt>
                <c:pt idx="2488">
                  <c:v>11.020472310656384</c:v>
                </c:pt>
                <c:pt idx="2489">
                  <c:v>10.717027996817826</c:v>
                </c:pt>
                <c:pt idx="2490">
                  <c:v>10.410082635766621</c:v>
                </c:pt>
                <c:pt idx="2491">
                  <c:v>10.099736500656945</c:v>
                </c:pt>
                <c:pt idx="2492">
                  <c:v>9.7860909756106871</c:v>
                </c:pt>
                <c:pt idx="2493">
                  <c:v>9.4692485225967999</c:v>
                </c:pt>
                <c:pt idx="2494">
                  <c:v>9.1493126479590732</c:v>
                </c:pt>
                <c:pt idx="2495">
                  <c:v>8.82638786860349</c:v>
                </c:pt>
                <c:pt idx="2496">
                  <c:v>8.5005796778530378</c:v>
                </c:pt>
                <c:pt idx="2497">
                  <c:v>8.1719945109859555</c:v>
                </c:pt>
                <c:pt idx="2498">
                  <c:v>7.8407397104654963</c:v>
                </c:pt>
                <c:pt idx="2499">
                  <c:v>7.5069234908728264</c:v>
                </c:pt>
                <c:pt idx="2500">
                  <c:v>7.170654903555663</c:v>
                </c:pt>
                <c:pt idx="2501">
                  <c:v>6.8320438010028948</c:v>
                </c:pt>
                <c:pt idx="2502">
                  <c:v>6.4912008009581417</c:v>
                </c:pt>
                <c:pt idx="2503">
                  <c:v>6.1482372502833327</c:v>
                </c:pt>
                <c:pt idx="2504">
                  <c:v>5.803265188583433</c:v>
                </c:pt>
                <c:pt idx="2505">
                  <c:v>5.4563973116055164</c:v>
                </c:pt>
                <c:pt idx="2506">
                  <c:v>5.1077469344228259</c:v>
                </c:pt>
                <c:pt idx="2507">
                  <c:v>4.757427954417043</c:v>
                </c:pt>
                <c:pt idx="2508">
                  <c:v>4.4055548140711753</c:v>
                </c:pt>
                <c:pt idx="2509">
                  <c:v>4.0522424635817345</c:v>
                </c:pt>
                <c:pt idx="2510">
                  <c:v>3.6976063233076806</c:v>
                </c:pt>
                <c:pt idx="2511">
                  <c:v>3.3417622460649499</c:v>
                </c:pt>
                <c:pt idx="2512">
                  <c:v>2.9848264792791479</c:v>
                </c:pt>
                <c:pt idx="2513">
                  <c:v>2.6269156270100273</c:v>
                </c:pt>
                <c:pt idx="2514">
                  <c:v>2.2681466118587585</c:v>
                </c:pt>
                <c:pt idx="2515">
                  <c:v>1.908636636771702</c:v>
                </c:pt>
                <c:pt idx="2516">
                  <c:v>1.5485031467534458</c:v>
                </c:pt>
                <c:pt idx="2517">
                  <c:v>1.1878637904980824</c:v>
                </c:pt>
                <c:pt idx="2518">
                  <c:v>0.82683638195662978</c:v>
                </c:pt>
                <c:pt idx="2519">
                  <c:v>0.46553886184961707</c:v>
                </c:pt>
                <c:pt idx="2520">
                  <c:v>0.10408925913769357</c:v>
                </c:pt>
                <c:pt idx="2521">
                  <c:v>-0.25739434753588392</c:v>
                </c:pt>
                <c:pt idx="2522">
                  <c:v>-0.61879386841970141</c:v>
                </c:pt>
                <c:pt idx="2523">
                  <c:v>-0.97999124123169934</c:v>
                </c:pt>
                <c:pt idx="2524">
                  <c:v>-1.3408684697268591</c:v>
                </c:pt>
                <c:pt idx="2525">
                  <c:v>-1.7013076622461545</c:v>
                </c:pt>
                <c:pt idx="2526">
                  <c:v>-2.0611910702277916</c:v>
                </c:pt>
                <c:pt idx="2527">
                  <c:v>-2.4204011266746757</c:v>
                </c:pt>
                <c:pt idx="2528">
                  <c:v>-2.7788204845603026</c:v>
                </c:pt>
                <c:pt idx="2529">
                  <c:v>-3.1363320551642011</c:v>
                </c:pt>
                <c:pt idx="2530">
                  <c:v>-3.4928190463228526</c:v>
                </c:pt>
                <c:pt idx="2531">
                  <c:v>-3.848165000583303</c:v>
                </c:pt>
                <c:pt idx="2532">
                  <c:v>-4.2022538332465995</c:v>
                </c:pt>
                <c:pt idx="2533">
                  <c:v>-4.554969870292247</c:v>
                </c:pt>
                <c:pt idx="2534">
                  <c:v>-4.9061978861650184</c:v>
                </c:pt>
                <c:pt idx="2535">
                  <c:v>-5.2558231414181762</c:v>
                </c:pt>
                <c:pt idx="2536">
                  <c:v>-5.6037314201956807</c:v>
                </c:pt>
                <c:pt idx="2537">
                  <c:v>-5.9498090675447335</c:v>
                </c:pt>
                <c:pt idx="2538">
                  <c:v>-6.2939430265449356</c:v>
                </c:pt>
                <c:pt idx="2539">
                  <c:v>-6.6360208752416732</c:v>
                </c:pt>
                <c:pt idx="2540">
                  <c:v>-6.9759308633712696</c:v>
                </c:pt>
                <c:pt idx="2541">
                  <c:v>-7.3135619488694026</c:v>
                </c:pt>
                <c:pt idx="2542">
                  <c:v>-7.6488038341448004</c:v>
                </c:pt>
                <c:pt idx="2543">
                  <c:v>-7.9815470021125474</c:v>
                </c:pt>
                <c:pt idx="2544">
                  <c:v>-8.3116827519702845</c:v>
                </c:pt>
                <c:pt idx="2545">
                  <c:v>-8.6391032347090722</c:v>
                </c:pt>
                <c:pt idx="2546">
                  <c:v>-8.9637014883459791</c:v>
                </c:pt>
                <c:pt idx="2547">
                  <c:v>-9.2853714728657248</c:v>
                </c:pt>
                <c:pt idx="2548">
                  <c:v>-9.60400810486232</c:v>
                </c:pt>
                <c:pt idx="2549">
                  <c:v>-9.9195072918681522</c:v>
                </c:pt>
                <c:pt idx="2550">
                  <c:v>-10.231765966358138</c:v>
                </c:pt>
                <c:pt idx="2551">
                  <c:v>-10.540682119421001</c:v>
                </c:pt>
                <c:pt idx="2552">
                  <c:v>-10.846154834082176</c:v>
                </c:pt>
                <c:pt idx="2553">
                  <c:v>-11.14808431827301</c:v>
                </c:pt>
                <c:pt idx="2554">
                  <c:v>-11.446371937430069</c:v>
                </c:pt>
                <c:pt idx="2555">
                  <c:v>-11.740920246717037</c:v>
                </c:pt>
                <c:pt idx="2556">
                  <c:v>-12.031633022858328</c:v>
                </c:pt>
                <c:pt idx="2557">
                  <c:v>-12.318415295573708</c:v>
                </c:pt>
                <c:pt idx="2558">
                  <c:v>-12.601173378602464</c:v>
                </c:pt>
                <c:pt idx="2559">
                  <c:v>-12.879814900309924</c:v>
                </c:pt>
                <c:pt idx="2560">
                  <c:v>-13.154248833862173</c:v>
                </c:pt>
                <c:pt idx="2561">
                  <c:v>-13.424385526964178</c:v>
                </c:pt>
                <c:pt idx="2562">
                  <c:v>-13.690136731146723</c:v>
                </c:pt>
                <c:pt idx="2563">
                  <c:v>-13.951415630595378</c:v>
                </c:pt>
                <c:pt idx="2564">
                  <c:v>-14.20813687051178</c:v>
                </c:pt>
                <c:pt idx="2565">
                  <c:v>-14.460216584997704</c:v>
                </c:pt>
                <c:pt idx="2566">
                  <c:v>-14.707572424451737</c:v>
                </c:pt>
                <c:pt idx="2567">
                  <c:v>-14.950123582472187</c:v>
                </c:pt>
                <c:pt idx="2568">
                  <c:v>-15.187790822253856</c:v>
                </c:pt>
                <c:pt idx="2569">
                  <c:v>-15.420496502474389</c:v>
                </c:pt>
                <c:pt idx="2570">
                  <c:v>-15.648164602657552</c:v>
                </c:pt>
                <c:pt idx="2571">
                  <c:v>-15.870720748007576</c:v>
                </c:pt>
                <c:pt idx="2572">
                  <c:v>-16.088092233706238</c:v>
                </c:pt>
                <c:pt idx="2573">
                  <c:v>-16.300208048663976</c:v>
                </c:pt>
                <c:pt idx="2574">
                  <c:v>-16.506998898718074</c:v>
                </c:pt>
                <c:pt idx="2575">
                  <c:v>-16.70839722926965</c:v>
                </c:pt>
                <c:pt idx="2576">
                  <c:v>-16.904337247351908</c:v>
                </c:pt>
                <c:pt idx="2577">
                  <c:v>-17.094754943124371</c:v>
                </c:pt>
                <c:pt idx="2578">
                  <c:v>-17.279588110783109</c:v>
                </c:pt>
                <c:pt idx="2579">
                  <c:v>-17.45877636888213</c:v>
                </c:pt>
                <c:pt idx="2580">
                  <c:v>-17.632261180059047</c:v>
                </c:pt>
                <c:pt idx="2581">
                  <c:v>-17.799985870157972</c:v>
                </c:pt>
                <c:pt idx="2582">
                  <c:v>-17.961895646744079</c:v>
                </c:pt>
                <c:pt idx="2583">
                  <c:v>-18.117937617003165</c:v>
                </c:pt>
                <c:pt idx="2584">
                  <c:v>-18.268060805020276</c:v>
                </c:pt>
                <c:pt idx="2585">
                  <c:v>-18.412216168433318</c:v>
                </c:pt>
                <c:pt idx="2586">
                  <c:v>-18.550356614453797</c:v>
                </c:pt>
                <c:pt idx="2587">
                  <c:v>-18.682437015251104</c:v>
                </c:pt>
                <c:pt idx="2588">
                  <c:v>-18.80841422269507</c:v>
                </c:pt>
                <c:pt idx="2589">
                  <c:v>-18.92824708245152</c:v>
                </c:pt>
                <c:pt idx="2590">
                  <c:v>-19.041896447426765</c:v>
                </c:pt>
                <c:pt idx="2591">
                  <c:v>-19.149325190556134</c:v>
                </c:pt>
                <c:pt idx="2592">
                  <c:v>-19.250498216932368</c:v>
                </c:pt>
                <c:pt idx="2593">
                  <c:v>-19.345382475271037</c:v>
                </c:pt>
                <c:pt idx="2594">
                  <c:v>-19.433946968707232</c:v>
                </c:pt>
                <c:pt idx="2595">
                  <c:v>-19.516162764922019</c:v>
                </c:pt>
                <c:pt idx="2596">
                  <c:v>-19.592003005593781</c:v>
                </c:pt>
                <c:pt idx="2597">
                  <c:v>-19.661442915172486</c:v>
                </c:pt>
                <c:pt idx="2598">
                  <c:v>-19.724459808973371</c:v>
                </c:pt>
                <c:pt idx="2599">
                  <c:v>-19.781033100587603</c:v>
                </c:pt>
                <c:pt idx="2600">
                  <c:v>-19.831144308607279</c:v>
                </c:pt>
                <c:pt idx="2601">
                  <c:v>-19.874777062663249</c:v>
                </c:pt>
                <c:pt idx="2602">
                  <c:v>-19.911917108772755</c:v>
                </c:pt>
                <c:pt idx="2603">
                  <c:v>-19.942552313996075</c:v>
                </c:pt>
                <c:pt idx="2604">
                  <c:v>-19.96667267040004</c:v>
                </c:pt>
                <c:pt idx="2605">
                  <c:v>-19.98427029832747</c:v>
                </c:pt>
                <c:pt idx="2606">
                  <c:v>-19.995339448971315</c:v>
                </c:pt>
                <c:pt idx="2607">
                  <c:v>-19.999876506252651</c:v>
                </c:pt>
                <c:pt idx="2608">
                  <c:v>-19.997879988002008</c:v>
                </c:pt>
                <c:pt idx="2609">
                  <c:v>-19.989350546443546</c:v>
                </c:pt>
                <c:pt idx="2610">
                  <c:v>-19.974290967982014</c:v>
                </c:pt>
                <c:pt idx="2611">
                  <c:v>-19.952706172292444</c:v>
                </c:pt>
                <c:pt idx="2612">
                  <c:v>-19.924603210713027</c:v>
                </c:pt>
                <c:pt idx="2613">
                  <c:v>-19.889991263941582</c:v>
                </c:pt>
                <c:pt idx="2614">
                  <c:v>-19.848881639036318</c:v>
                </c:pt>
                <c:pt idx="2615">
                  <c:v>-19.801287765722144</c:v>
                </c:pt>
                <c:pt idx="2616">
                  <c:v>-19.747225192003398</c:v>
                </c:pt>
                <c:pt idx="2617">
                  <c:v>-19.686711579084527</c:v>
                </c:pt>
                <c:pt idx="2618">
                  <c:v>-19.619766695600681</c:v>
                </c:pt>
                <c:pt idx="2619">
                  <c:v>-19.546412411159455</c:v>
                </c:pt>
                <c:pt idx="2620">
                  <c:v>-19.46667268919683</c:v>
                </c:pt>
                <c:pt idx="2621">
                  <c:v>-19.380573579148411</c:v>
                </c:pt>
                <c:pt idx="2622">
                  <c:v>-19.288143207939772</c:v>
                </c:pt>
                <c:pt idx="2623">
                  <c:v>-19.189411770797985</c:v>
                </c:pt>
                <c:pt idx="2624">
                  <c:v>-19.084411521387342</c:v>
                </c:pt>
                <c:pt idx="2625">
                  <c:v>-18.97317676127258</c:v>
                </c:pt>
                <c:pt idx="2626">
                  <c:v>-18.855743828713514</c:v>
                </c:pt>
                <c:pt idx="2627">
                  <c:v>-18.732151086793728</c:v>
                </c:pt>
                <c:pt idx="2628">
                  <c:v>-18.602438910888146</c:v>
                </c:pt>
                <c:pt idx="2629">
                  <c:v>-18.466649675473555</c:v>
                </c:pt>
                <c:pt idx="2630">
                  <c:v>-18.324827740285009</c:v>
                </c:pt>
                <c:pt idx="2631">
                  <c:v>-18.177019435824974</c:v>
                </c:pt>
                <c:pt idx="2632">
                  <c:v>-18.023273048227558</c:v>
                </c:pt>
                <c:pt idx="2633">
                  <c:v>-17.863638803484761</c:v>
                </c:pt>
                <c:pt idx="2634">
                  <c:v>-17.698168851038428</c:v>
                </c:pt>
                <c:pt idx="2635">
                  <c:v>-17.526917246743832</c:v>
                </c:pt>
                <c:pt idx="2636">
                  <c:v>-17.349939935211065</c:v>
                </c:pt>
                <c:pt idx="2637">
                  <c:v>-17.167294731528806</c:v>
                </c:pt>
                <c:pt idx="2638">
                  <c:v>-16.97904130237702</c:v>
                </c:pt>
                <c:pt idx="2639">
                  <c:v>-16.785241146535522</c:v>
                </c:pt>
                <c:pt idx="2640">
                  <c:v>-16.585957574792822</c:v>
                </c:pt>
                <c:pt idx="2641">
                  <c:v>-16.381255689264623</c:v>
                </c:pt>
                <c:pt idx="2642">
                  <c:v>-16.171202362125221</c:v>
                </c:pt>
                <c:pt idx="2643">
                  <c:v>-15.955866213762175</c:v>
                </c:pt>
                <c:pt idx="2644">
                  <c:v>-15.735317590359433</c:v>
                </c:pt>
                <c:pt idx="2645">
                  <c:v>-15.509628540916436</c:v>
                </c:pt>
                <c:pt idx="2646">
                  <c:v>-15.278872793710825</c:v>
                </c:pt>
                <c:pt idx="2647">
                  <c:v>-15.043125732213436</c:v>
                </c:pt>
                <c:pt idx="2648">
                  <c:v>-14.802464370461166</c:v>
                </c:pt>
                <c:pt idx="2649">
                  <c:v>-14.556967327899075</c:v>
                </c:pt>
                <c:pt idx="2650">
                  <c:v>-14.306714803695701</c:v>
                </c:pt>
                <c:pt idx="2651">
                  <c:v>-14.051788550544194</c:v>
                </c:pt>
                <c:pt idx="2652">
                  <c:v>-13.792271847955371</c:v>
                </c:pt>
                <c:pt idx="2653">
                  <c:v>-13.528249475051734</c:v>
                </c:pt>
                <c:pt idx="2654">
                  <c:v>-13.259807682871426</c:v>
                </c:pt>
                <c:pt idx="2655">
                  <c:v>-12.987034166192398</c:v>
                </c:pt>
                <c:pt idx="2656">
                  <c:v>-12.710018034883273</c:v>
                </c:pt>
                <c:pt idx="2657">
                  <c:v>-12.42884978479414</c:v>
                </c:pt>
                <c:pt idx="2658">
                  <c:v>-12.143621268191907</c:v>
                </c:pt>
                <c:pt idx="2659">
                  <c:v>-11.854425663754656</c:v>
                </c:pt>
                <c:pt idx="2660">
                  <c:v>-11.561357446132106</c:v>
                </c:pt>
                <c:pt idx="2661">
                  <c:v>-11.264512355082218</c:v>
                </c:pt>
                <c:pt idx="2662">
                  <c:v>-10.963987364195072</c:v>
                </c:pt>
                <c:pt idx="2663">
                  <c:v>-10.659880649213118</c:v>
                </c:pt>
                <c:pt idx="2664">
                  <c:v>-10.35229155595915</c:v>
                </c:pt>
                <c:pt idx="2665">
                  <c:v>-10.041320567882781</c:v>
                </c:pt>
                <c:pt idx="2666">
                  <c:v>-9.727069273232992</c:v>
                </c:pt>
                <c:pt idx="2667">
                  <c:v>-9.4096403318720299</c:v>
                </c:pt>
                <c:pt idx="2668">
                  <c:v>-9.08913744173854</c:v>
                </c:pt>
                <c:pt idx="2669">
                  <c:v>-8.7656653049710727</c:v>
                </c:pt>
                <c:pt idx="2670">
                  <c:v>-8.4393295937041497</c:v>
                </c:pt>
                <c:pt idx="2671">
                  <c:v>-8.1102369155468317</c:v>
                </c:pt>
                <c:pt idx="2672">
                  <c:v>-7.7784947787561762</c:v>
                </c:pt>
                <c:pt idx="2673">
                  <c:v>-7.4442115571172707</c:v>
                </c:pt>
                <c:pt idx="2674">
                  <c:v>-7.1074964545380368</c:v>
                </c:pt>
                <c:pt idx="2675">
                  <c:v>-6.7684594693753208</c:v>
                </c:pt>
                <c:pt idx="2676">
                  <c:v>-6.4272113585006787</c:v>
                </c:pt>
                <c:pt idx="2677">
                  <c:v>-6.0838636011178355</c:v>
                </c:pt>
                <c:pt idx="2678">
                  <c:v>-5.7385283623448444</c:v>
                </c:pt>
                <c:pt idx="2679">
                  <c:v>-5.3913184565714802</c:v>
                </c:pt>
                <c:pt idx="2680">
                  <c:v>-5.042347310605086</c:v>
                </c:pt>
                <c:pt idx="2681">
                  <c:v>-4.69172892661717</c:v>
                </c:pt>
                <c:pt idx="2682">
                  <c:v>-4.3395778448993054</c:v>
                </c:pt>
                <c:pt idx="2683">
                  <c:v>-3.9860091064466641</c:v>
                </c:pt>
                <c:pt idx="2684">
                  <c:v>-3.6311382153750915</c:v>
                </c:pt>
                <c:pt idx="2685">
                  <c:v>-3.2750811011891008</c:v>
                </c:pt>
                <c:pt idx="2686">
                  <c:v>-2.917954080909515</c:v>
                </c:pt>
                <c:pt idx="2687">
                  <c:v>-2.5598738210746501</c:v>
                </c:pt>
                <c:pt idx="2688">
                  <c:v>-2.2009572996277322</c:v>
                </c:pt>
                <c:pt idx="2689">
                  <c:v>-1.8413217677034424</c:v>
                </c:pt>
                <c:pt idx="2690">
                  <c:v>-1.4810847113223871</c:v>
                </c:pt>
                <c:pt idx="2691">
                  <c:v>-1.1203638130123665</c:v>
                </c:pt>
                <c:pt idx="2692">
                  <c:v>-0.75927691336247971</c:v>
                </c:pt>
                <c:pt idx="2693">
                  <c:v>-0.39794197252785868</c:v>
                </c:pt>
                <c:pt idx="2694">
                  <c:v>-3.647703169392754E-2</c:v>
                </c:pt>
                <c:pt idx="2695">
                  <c:v>0.32499982548567108</c:v>
                </c:pt>
                <c:pt idx="2696">
                  <c:v>0.68637051146459516</c:v>
                </c:pt>
                <c:pt idx="2697">
                  <c:v>1.0475169733797427</c:v>
                </c:pt>
                <c:pt idx="2698">
                  <c:v>1.408321231618701</c:v>
                </c:pt>
                <c:pt idx="2699">
                  <c:v>1.7686654183597164</c:v>
                </c:pt>
                <c:pt idx="2700">
                  <c:v>2.1284318160781237</c:v>
                </c:pt>
                <c:pt idx="2701">
                  <c:v>2.4875028960014101</c:v>
                </c:pt>
                <c:pt idx="2702">
                  <c:v>2.8457613565040321</c:v>
                </c:pt>
                <c:pt idx="2703">
                  <c:v>3.2030901614280265</c:v>
                </c:pt>
                <c:pt idx="2704">
                  <c:v>3.5593725783156298</c:v>
                </c:pt>
                <c:pt idx="2705">
                  <c:v>3.9144922165439544</c:v>
                </c:pt>
                <c:pt idx="2706">
                  <c:v>4.2683330653479858</c:v>
                </c:pt>
                <c:pt idx="2707">
                  <c:v>4.6207795317180986</c:v>
                </c:pt>
                <c:pt idx="2708">
                  <c:v>4.9717164781633176</c:v>
                </c:pt>
                <c:pt idx="2709">
                  <c:v>5.3210292603228702</c:v>
                </c:pt>
                <c:pt idx="2710">
                  <c:v>5.6686037644200891</c:v>
                </c:pt>
                <c:pt idx="2711">
                  <c:v>6.0143264445402256</c:v>
                </c:pt>
                <c:pt idx="2712">
                  <c:v>6.3580843597235823</c:v>
                </c:pt>
                <c:pt idx="2713">
                  <c:v>6.6997652108614343</c:v>
                </c:pt>
                <c:pt idx="2714">
                  <c:v>7.039257377382393</c:v>
                </c:pt>
                <c:pt idx="2715">
                  <c:v>7.376449953715758</c:v>
                </c:pt>
                <c:pt idx="2716">
                  <c:v>7.7112327855234444</c:v>
                </c:pt>
                <c:pt idx="2717">
                  <c:v>8.0434965056836933</c:v>
                </c:pt>
                <c:pt idx="2718">
                  <c:v>8.3731325700209371</c:v>
                </c:pt>
                <c:pt idx="2719">
                  <c:v>8.7000332927641537</c:v>
                </c:pt>
                <c:pt idx="2720">
                  <c:v>9.0240918817256279</c:v>
                </c:pt>
                <c:pt idx="2721">
                  <c:v>9.3452024731881753</c:v>
                </c:pt>
                <c:pt idx="2722">
                  <c:v>9.6632601664891453</c:v>
                </c:pt>
                <c:pt idx="2723">
                  <c:v>9.9781610582885811</c:v>
                </c:pt>
                <c:pt idx="2724">
                  <c:v>10.289802276513566</c:v>
                </c:pt>
                <c:pt idx="2725">
                  <c:v>10.598082013963078</c:v>
                </c:pt>
                <c:pt idx="2726">
                  <c:v>10.902899561568029</c:v>
                </c:pt>
                <c:pt idx="2727">
                  <c:v>11.204155341290143</c:v>
                </c:pt>
                <c:pt idx="2728">
                  <c:v>11.501750938652055</c:v>
                </c:pt>
                <c:pt idx="2729">
                  <c:v>11.795589134887802</c:v>
                </c:pt>
                <c:pt idx="2730">
                  <c:v>12.085573938702092</c:v>
                </c:pt>
                <c:pt idx="2731">
                  <c:v>12.371610617629154</c:v>
                </c:pt>
                <c:pt idx="2732">
                  <c:v>12.653605728979894</c:v>
                </c:pt>
                <c:pt idx="2733">
                  <c:v>12.931467150367059</c:v>
                </c:pt>
                <c:pt idx="2734">
                  <c:v>13.20510410980118</c:v>
                </c:pt>
                <c:pt idx="2735">
                  <c:v>13.474427215343256</c:v>
                </c:pt>
                <c:pt idx="2736">
                  <c:v>13.739348484307286</c:v>
                </c:pt>
                <c:pt idx="2737">
                  <c:v>13.99978137200284</c:v>
                </c:pt>
                <c:pt idx="2738">
                  <c:v>14.255640800007349</c:v>
                </c:pt>
                <c:pt idx="2739">
                  <c:v>14.506843183959887</c:v>
                </c:pt>
                <c:pt idx="2740">
                  <c:v>14.753306460866465</c:v>
                </c:pt>
                <c:pt idx="2741">
                  <c:v>14.994950115907761</c:v>
                </c:pt>
                <c:pt idx="2742">
                  <c:v>15.231695208742943</c:v>
                </c:pt>
                <c:pt idx="2743">
                  <c:v>15.463464399297255</c:v>
                </c:pt>
                <c:pt idx="2744">
                  <c:v>15.690181973027464</c:v>
                </c:pt>
                <c:pt idx="2745">
                  <c:v>15.911773865656627</c:v>
                </c:pt>
                <c:pt idx="2746">
                  <c:v>16.128167687369285</c:v>
                </c:pt>
                <c:pt idx="2747">
                  <c:v>16.339292746460092</c:v>
                </c:pt>
                <c:pt idx="2748">
                  <c:v>16.545080072427321</c:v>
                </c:pt>
                <c:pt idx="2749">
                  <c:v>16.745462438503655</c:v>
                </c:pt>
                <c:pt idx="2750">
                  <c:v>16.940374383618856</c:v>
                </c:pt>
                <c:pt idx="2751">
                  <c:v>17.129752233784057</c:v>
                </c:pt>
                <c:pt idx="2752">
                  <c:v>17.313534122892698</c:v>
                </c:pt>
                <c:pt idx="2753">
                  <c:v>17.491660012931579</c:v>
                </c:pt>
                <c:pt idx="2754">
                  <c:v>17.664071713593273</c:v>
                </c:pt>
                <c:pt idx="2755">
                  <c:v>17.830712901286706</c:v>
                </c:pt>
                <c:pt idx="2756">
                  <c:v>17.991529137536467</c:v>
                </c:pt>
                <c:pt idx="2757">
                  <c:v>18.146467886766782</c:v>
                </c:pt>
                <c:pt idx="2758">
                  <c:v>18.295478533464074</c:v>
                </c:pt>
                <c:pt idx="2759">
                  <c:v>18.438512398711943</c:v>
                </c:pt>
                <c:pt idx="2760">
                  <c:v>18.575522756093822</c:v>
                </c:pt>
                <c:pt idx="2761">
                  <c:v>18.706464846957505</c:v>
                </c:pt>
                <c:pt idx="2762">
                  <c:v>18.831295895036607</c:v>
                </c:pt>
                <c:pt idx="2763">
                  <c:v>18.949975120425368</c:v>
                </c:pt>
                <c:pt idx="2764">
                  <c:v>19.062463752900275</c:v>
                </c:pt>
                <c:pt idx="2765">
                  <c:v>19.168725044585532</c:v>
                </c:pt>
                <c:pt idx="2766">
                  <c:v>19.268724281958033</c:v>
                </c:pt>
                <c:pt idx="2767">
                  <c:v>19.362428797187501</c:v>
                </c:pt>
                <c:pt idx="2768">
                  <c:v>19.449807978808561</c:v>
                </c:pt>
                <c:pt idx="2769">
                  <c:v>19.530833281720867</c:v>
                </c:pt>
                <c:pt idx="2770">
                  <c:v>19.605478236514021</c:v>
                </c:pt>
                <c:pt idx="2771">
                  <c:v>19.673718458115008</c:v>
                </c:pt>
                <c:pt idx="2772">
                  <c:v>19.735531653754094</c:v>
                </c:pt>
                <c:pt idx="2773">
                  <c:v>19.790897630247436</c:v>
                </c:pt>
                <c:pt idx="2774">
                  <c:v>19.839798300593884</c:v>
                </c:pt>
                <c:pt idx="2775">
                  <c:v>19.882217689883618</c:v>
                </c:pt>
                <c:pt idx="2776">
                  <c:v>19.9181419405169</c:v>
                </c:pt>
                <c:pt idx="2777">
                  <c:v>19.947559316731034</c:v>
                </c:pt>
                <c:pt idx="2778">
                  <c:v>19.970460208434162</c:v>
                </c:pt>
                <c:pt idx="2779">
                  <c:v>19.986837134344839</c:v>
                </c:pt>
                <c:pt idx="2780">
                  <c:v>19.996684744435896</c:v>
                </c:pt>
                <c:pt idx="2781">
                  <c:v>19.999999821682255</c:v>
                </c:pt>
                <c:pt idx="2782">
                  <c:v>19.996781283111847</c:v>
                </c:pt>
                <c:pt idx="2783">
                  <c:v>19.987030180159419</c:v>
                </c:pt>
                <c:pt idx="2784">
                  <c:v>19.970749698323012</c:v>
                </c:pt>
                <c:pt idx="2785">
                  <c:v>19.947945156123343</c:v>
                </c:pt>
                <c:pt idx="2786">
                  <c:v>19.918624003366389</c:v>
                </c:pt>
                <c:pt idx="2787">
                  <c:v>19.882795818709582</c:v>
                </c:pt>
                <c:pt idx="2788">
                  <c:v>19.840472306532742</c:v>
                </c:pt>
                <c:pt idx="2789">
                  <c:v>19.791667293114401</c:v>
                </c:pt>
                <c:pt idx="2790">
                  <c:v>19.736396722115089</c:v>
                </c:pt>
                <c:pt idx="2791">
                  <c:v>19.674678649368836</c:v>
                </c:pt>
                <c:pt idx="2792">
                  <c:v>19.606533236984621</c:v>
                </c:pt>
                <c:pt idx="2793">
                  <c:v>19.531982746759788</c:v>
                </c:pt>
                <c:pt idx="2794">
                  <c:v>19.451051532907769</c:v>
                </c:pt>
                <c:pt idx="2795">
                  <c:v>19.363766034101666</c:v>
                </c:pt>
                <c:pt idx="2796">
                  <c:v>19.270154764837567</c:v>
                </c:pt>
                <c:pt idx="2797">
                  <c:v>19.170248306119152</c:v>
                </c:pt>
                <c:pt idx="2798">
                  <c:v>19.064079295467693</c:v>
                </c:pt>
                <c:pt idx="2799">
                  <c:v>18.951682416259906</c:v>
                </c:pt>
                <c:pt idx="2800">
                  <c:v>18.833094386397413</c:v>
                </c:pt>
                <c:pt idx="2801">
                  <c:v>18.708353946311988</c:v>
                </c:pt>
                <c:pt idx="2802">
                  <c:v>18.577501846309659</c:v>
                </c:pt>
                <c:pt idx="2803">
                  <c:v>18.440580833258217</c:v>
                </c:pt>
                <c:pt idx="2804">
                  <c:v>18.297635636622999</c:v>
                </c:pt>
                <c:pt idx="2805">
                  <c:v>18.148712953854126</c:v>
                </c:pt>
                <c:pt idx="2806">
                  <c:v>17.993861435132047</c:v>
                </c:pt>
                <c:pt idx="2807">
                  <c:v>17.833131667473701</c:v>
                </c:pt>
                <c:pt idx="2808">
                  <c:v>17.666576158207096</c:v>
                </c:pt>
                <c:pt idx="2809">
                  <c:v>17.494249317818269</c:v>
                </c:pt>
                <c:pt idx="2810">
                  <c:v>17.316207442176289</c:v>
                </c:pt>
                <c:pt idx="2811">
                  <c:v>17.132508694142274</c:v>
                </c:pt>
                <c:pt idx="2812">
                  <c:v>16.943213084569187</c:v>
                </c:pt>
                <c:pt idx="2813">
                  <c:v>16.748382452696791</c:v>
                </c:pt>
                <c:pt idx="2814">
                  <c:v>16.548080445950859</c:v>
                </c:pt>
                <c:pt idx="2815">
                  <c:v>16.342372499149796</c:v>
                </c:pt>
                <c:pt idx="2816">
                  <c:v>16.131325813128853</c:v>
                </c:pt>
                <c:pt idx="2817">
                  <c:v>15.915009332787022</c:v>
                </c:pt>
                <c:pt idx="2818">
                  <c:v>15.693493724563892</c:v>
                </c:pt>
                <c:pt idx="2819">
                  <c:v>15.466851353354009</c:v>
                </c:pt>
                <c:pt idx="2820">
                  <c:v>15.235156258867278</c:v>
                </c:pt>
                <c:pt idx="2821">
                  <c:v>14.998484131440794</c:v>
                </c:pt>
                <c:pt idx="2822">
                  <c:v>14.75691228731338</c:v>
                </c:pt>
                <c:pt idx="2823">
                  <c:v>14.510519643366637</c:v>
                </c:pt>
                <c:pt idx="2824">
                  <c:v>14.259386691344965</c:v>
                </c:pt>
                <c:pt idx="2825">
                  <c:v>14.003595471560558</c:v>
                </c:pt>
                <c:pt idx="2826">
                  <c:v>13.74322954609214</c:v>
                </c:pt>
                <c:pt idx="2827">
                  <c:v>13.478373971487002</c:v>
                </c:pt>
                <c:pt idx="2828">
                  <c:v>13.209115270974397</c:v>
                </c:pt>
                <c:pt idx="2829">
                  <c:v>12.935541406200104</c:v>
                </c:pt>
                <c:pt idx="2830">
                  <c:v>12.657741748491853</c:v>
                </c:pt>
                <c:pt idx="2831">
                  <c:v>12.375807049662113</c:v>
                </c:pt>
                <c:pt idx="2832">
                  <c:v>12.089829412361972</c:v>
                </c:pt>
                <c:pt idx="2833">
                  <c:v>11.799902259993086</c:v>
                </c:pt>
                <c:pt idx="2834">
                  <c:v>11.506120306187723</c:v>
                </c:pt>
                <c:pt idx="2835">
                  <c:v>11.208579523867858</c:v>
                </c:pt>
                <c:pt idx="2836">
                  <c:v>10.907377113892318</c:v>
                </c:pt>
                <c:pt idx="2837">
                  <c:v>10.602611473303231</c:v>
                </c:pt>
                <c:pt idx="2838">
                  <c:v>10.294382163182455</c:v>
                </c:pt>
                <c:pt idx="2839">
                  <c:v>9.9827898761254357</c:v>
                </c:pt>
                <c:pt idx="2840">
                  <c:v>9.6679364033477153</c:v>
                </c:pt>
                <c:pt idx="2841">
                  <c:v>9.3499246014318143</c:v>
                </c:pt>
                <c:pt idx="2842">
                  <c:v>9.028858358725607</c:v>
                </c:pt>
                <c:pt idx="2843">
                  <c:v>8.7048425614042326</c:v>
                </c:pt>
                <c:pt idx="2844">
                  <c:v>8.377983059205425</c:v>
                </c:pt>
                <c:pt idx="2845">
                  <c:v>8.0483866308505458</c:v>
                </c:pt>
                <c:pt idx="2846">
                  <c:v>7.7161609491629459</c:v>
                </c:pt>
                <c:pt idx="2847">
                  <c:v>7.3814145458916327</c:v>
                </c:pt>
                <c:pt idx="2848">
                  <c:v>7.0442567762575967</c:v>
                </c:pt>
                <c:pt idx="2849">
                  <c:v>6.7047977832283747</c:v>
                </c:pt>
                <c:pt idx="2850">
                  <c:v>6.3631484615373877</c:v>
                </c:pt>
                <c:pt idx="2851">
                  <c:v>6.0194204214563669</c:v>
                </c:pt>
                <c:pt idx="2852">
                  <c:v>5.673725952334145</c:v>
                </c:pt>
                <c:pt idx="2853">
                  <c:v>5.3261779859140166</c:v>
                </c:pt>
                <c:pt idx="2854">
                  <c:v>4.9768900594420655</c:v>
                </c:pt>
                <c:pt idx="2855">
                  <c:v>4.6259762785749476</c:v>
                </c:pt>
                <c:pt idx="2856">
                  <c:v>4.2735512801054103</c:v>
                </c:pt>
                <c:pt idx="2857">
                  <c:v>3.9197301945114149</c:v>
                </c:pt>
                <c:pt idx="2858">
                  <c:v>3.5646286083461867</c:v>
                </c:pt>
                <c:pt idx="2859">
                  <c:v>3.2083625264778965</c:v>
                </c:pt>
                <c:pt idx="2860">
                  <c:v>2.851048334192817</c:v>
                </c:pt>
                <c:pt idx="2861">
                  <c:v>2.4928027591746198</c:v>
                </c:pt>
                <c:pt idx="2862">
                  <c:v>2.1337428333726725</c:v>
                </c:pt>
                <c:pt idx="2863">
                  <c:v>1.7739858547681178</c:v>
                </c:pt>
                <c:pt idx="2864">
                  <c:v>1.413649349056566</c:v>
                </c:pt>
                <c:pt idx="2865">
                  <c:v>1.0528510312534376</c:v>
                </c:pt>
                <c:pt idx="2866">
                  <c:v>0.69170876723971775</c:v>
                </c:pt>
                <c:pt idx="2867">
                  <c:v>0.33034053525701368</c:v>
                </c:pt>
                <c:pt idx="2868">
                  <c:v>-3.1135612634098406E-2</c:v>
                </c:pt>
                <c:pt idx="2869">
                  <c:v>-0.39260158911856124</c:v>
                </c:pt>
                <c:pt idx="2870">
                  <c:v>-0.75393931020412086</c:v>
                </c:pt>
                <c:pt idx="2871">
                  <c:v>-1.1150307337975249</c:v>
                </c:pt>
                <c:pt idx="2872">
                  <c:v>-1.4757578982656139</c:v>
                </c:pt>
                <c:pt idx="2873">
                  <c:v>-1.8360029609723965</c:v>
                </c:pt>
                <c:pt idx="2874">
                  <c:v>-2.1956482367742765</c:v>
                </c:pt>
                <c:pt idx="2875">
                  <c:v>-2.5545762364673696</c:v>
                </c:pt>
                <c:pt idx="2876">
                  <c:v>-2.912669705167978</c:v>
                </c:pt>
                <c:pt idx="2877">
                  <c:v>-3.2698116606172274</c:v>
                </c:pt>
                <c:pt idx="2878">
                  <c:v>-3.6258854313979105</c:v>
                </c:pt>
                <c:pt idx="2879">
                  <c:v>-3.9807746950478147</c:v>
                </c:pt>
                <c:pt idx="2880">
                  <c:v>-4.3343635160604581</c:v>
                </c:pt>
                <c:pt idx="2881">
                  <c:v>-4.6865363837592708</c:v>
                </c:pt>
                <c:pt idx="2882">
                  <c:v>-5.0371782500325715</c:v>
                </c:pt>
                <c:pt idx="2883">
                  <c:v>-5.3861745669166101</c:v>
                </c:pt>
                <c:pt idx="2884">
                  <c:v>-5.7334113240179851</c:v>
                </c:pt>
                <c:pt idx="2885">
                  <c:v>-6.0787750857569947</c:v>
                </c:pt>
                <c:pt idx="2886">
                  <c:v>-6.4221530284260906</c:v>
                </c:pt>
                <c:pt idx="2887">
                  <c:v>-6.7634329770462713</c:v>
                </c:pt>
                <c:pt idx="2888">
                  <c:v>-7.1025034420128952</c:v>
                </c:pt>
                <c:pt idx="2889">
                  <c:v>-7.4392536555175983</c:v>
                </c:pt>
                <c:pt idx="2890">
                  <c:v>-7.7735736077332014</c:v>
                </c:pt>
                <c:pt idx="2891">
                  <c:v>-8.1053540827522195</c:v>
                </c:pt>
                <c:pt idx="2892">
                  <c:v>-8.4344866942659831</c:v>
                </c:pt>
                <c:pt idx="2893">
                  <c:v>-8.7608639209714525</c:v>
                </c:pt>
                <c:pt idx="2894">
                  <c:v>-9.0843791416975304</c:v>
                </c:pt>
                <c:pt idx="2895">
                  <c:v>-9.4049266702346124</c:v>
                </c:pt>
                <c:pt idx="2896">
                  <c:v>-9.7224017898618946</c:v>
                </c:pt>
                <c:pt idx="2897">
                  <c:v>-10.036700787555423</c:v>
                </c:pt>
                <c:pt idx="2898">
                  <c:v>-10.347720987869033</c:v>
                </c:pt>
                <c:pt idx="2899">
                  <c:v>-10.655360786476693</c:v>
                </c:pt>
                <c:pt idx="2900">
                  <c:v>-10.959519683365045</c:v>
                </c:pt>
                <c:pt idx="2901">
                  <c:v>-11.260098315663988</c:v>
                </c:pt>
                <c:pt idx="2902">
                  <c:v>-11.556998490107693</c:v>
                </c:pt>
                <c:pt idx="2903">
                  <c:v>-11.850123215111037</c:v>
                </c:pt>
                <c:pt idx="2904">
                  <c:v>-12.139376732456427</c:v>
                </c:pt>
                <c:pt idx="2905">
                  <c:v>-12.424664548575329</c:v>
                </c:pt>
                <c:pt idx="2906">
                  <c:v>-12.705893465417414</c:v>
                </c:pt>
                <c:pt idx="2907">
                  <c:v>-12.982971610896792</c:v>
                </c:pt>
                <c:pt idx="2908">
                  <c:v>-13.255808468905188</c:v>
                </c:pt>
                <c:pt idx="2909">
                  <c:v>-13.524314908881045</c:v>
                </c:pt>
                <c:pt idx="2910">
                  <c:v>-13.788403214927742</c:v>
                </c:pt>
                <c:pt idx="2911">
                  <c:v>-14.047987114467421</c:v>
                </c:pt>
                <c:pt idx="2912">
                  <c:v>-14.302981806425947</c:v>
                </c:pt>
                <c:pt idx="2913">
                  <c:v>-14.553303988935046</c:v>
                </c:pt>
                <c:pt idx="2914">
                  <c:v>-14.798871886545337</c:v>
                </c:pt>
                <c:pt idx="2915">
                  <c:v>-15.039605276941117</c:v>
                </c:pt>
                <c:pt idx="2916">
                  <c:v>-15.275425517147232</c:v>
                </c:pt>
                <c:pt idx="2917">
                  <c:v>-15.506255569220526</c:v>
                </c:pt>
                <c:pt idx="2918">
                  <c:v>-15.73202002541654</c:v>
                </c:pt>
                <c:pt idx="2919">
                  <c:v>-15.952645132823172</c:v>
                </c:pt>
                <c:pt idx="2920">
                  <c:v>-16.168058817455385</c:v>
                </c:pt>
                <c:pt idx="2921">
                  <c:v>-16.378190707799792</c:v>
                </c:pt>
                <c:pt idx="2922">
                  <c:v>-16.582972157803567</c:v>
                </c:pt>
                <c:pt idx="2923">
                  <c:v>-16.782336269300082</c:v>
                </c:pt>
                <c:pt idx="2924">
                  <c:v>-16.976217913863071</c:v>
                </c:pt>
                <c:pt idx="2925">
                  <c:v>-17.164553754083073</c:v>
                </c:pt>
                <c:pt idx="2926">
                  <c:v>-17.347282264258457</c:v>
                </c:pt>
                <c:pt idx="2927">
                  <c:v>-17.524343750494189</c:v>
                </c:pt>
                <c:pt idx="2928">
                  <c:v>-17.695680370203551</c:v>
                </c:pt>
                <c:pt idx="2929">
                  <c:v>-17.861236151003681</c:v>
                </c:pt>
                <c:pt idx="2930">
                  <c:v>-18.020957009000625</c:v>
                </c:pt>
                <c:pt idx="2931">
                  <c:v>-18.174790766457718</c:v>
                </c:pt>
                <c:pt idx="2932">
                  <c:v>-18.322687168840911</c:v>
                </c:pt>
                <c:pt idx="2933">
                  <c:v>-18.464597901236143</c:v>
                </c:pt>
                <c:pt idx="2934">
                  <c:v>-18.600476604132815</c:v>
                </c:pt>
                <c:pt idx="2935">
                  <c:v>-18.730278888568197</c:v>
                </c:pt>
                <c:pt idx="2936">
                  <c:v>-18.853962350629136</c:v>
                </c:pt>
                <c:pt idx="2937">
                  <c:v>-18.971486585303978</c:v>
                </c:pt>
                <c:pt idx="2938">
                  <c:v>-19.082813199682548</c:v>
                </c:pt>
                <c:pt idx="2939">
                  <c:v>-19.187905825498039</c:v>
                </c:pt>
                <c:pt idx="2940">
                  <c:v>-19.286730131008003</c:v>
                </c:pt>
                <c:pt idx="2941">
                  <c:v>-19.379253832209912</c:v>
                </c:pt>
                <c:pt idx="2942">
                  <c:v>-19.465446703387684</c:v>
                </c:pt>
                <c:pt idx="2943">
                  <c:v>-19.545280586985612</c:v>
                </c:pt>
                <c:pt idx="2944">
                  <c:v>-19.618729402807332</c:v>
                </c:pt>
                <c:pt idx="2945">
                  <c:v>-19.685769156535333</c:v>
                </c:pt>
                <c:pt idx="2946">
                  <c:v>-19.746377947569705</c:v>
                </c:pt>
                <c:pt idx="2947">
                  <c:v>-19.800535976182459</c:v>
                </c:pt>
                <c:pt idx="2948">
                  <c:v>-19.848225549985802</c:v>
                </c:pt>
                <c:pt idx="2949">
                  <c:v>-19.889431089711934</c:v>
                </c:pt>
                <c:pt idx="2950">
                  <c:v>-19.92413913430245</c:v>
                </c:pt>
                <c:pt idx="2951">
                  <c:v>-19.952338345305748</c:v>
                </c:pt>
                <c:pt idx="2952">
                  <c:v>-19.974019510581225</c:v>
                </c:pt>
                <c:pt idx="2953">
                  <c:v>-19.989175547308584</c:v>
                </c:pt>
                <c:pt idx="2954">
                  <c:v>-19.997801504301723</c:v>
                </c:pt>
                <c:pt idx="2955">
                  <c:v>-19.999894563626167</c:v>
                </c:pt>
                <c:pt idx="2956">
                  <c:v>-19.995454041519633</c:v>
                </c:pt>
                <c:pt idx="2957">
                  <c:v>-19.984481388615404</c:v>
                </c:pt>
                <c:pt idx="2958">
                  <c:v>-19.96698018946844</c:v>
                </c:pt>
                <c:pt idx="2959">
                  <c:v>-19.942956161384387</c:v>
                </c:pt>
                <c:pt idx="2960">
                  <c:v>-19.912417152551779</c:v>
                </c:pt>
                <c:pt idx="2961">
                  <c:v>-19.875373139478292</c:v>
                </c:pt>
                <c:pt idx="2962">
                  <c:v>-19.831836223731475</c:v>
                </c:pt>
                <c:pt idx="2963">
                  <c:v>-19.781820627985581</c:v>
                </c:pt>
                <c:pt idx="2964">
                  <c:v>-19.725342691375111</c:v>
                </c:pt>
                <c:pt idx="2965">
                  <c:v>-19.662420864157188</c:v>
                </c:pt>
                <c:pt idx="2966">
                  <c:v>-19.593075701684295</c:v>
                </c:pt>
                <c:pt idx="2967">
                  <c:v>-19.517329857689184</c:v>
                </c:pt>
                <c:pt idx="2968">
                  <c:v>-19.435208076884237</c:v>
                </c:pt>
                <c:pt idx="2969">
                  <c:v>-19.346737186878055</c:v>
                </c:pt>
                <c:pt idx="2970">
                  <c:v>-19.251946089411103</c:v>
                </c:pt>
                <c:pt idx="2971">
                  <c:v>-19.150865750914484</c:v>
                </c:pt>
                <c:pt idx="2972">
                  <c:v>-19.043529192393347</c:v>
                </c:pt>
                <c:pt idx="2973">
                  <c:v>-18.929971478639775</c:v>
                </c:pt>
                <c:pt idx="2974">
                  <c:v>-18.810229706777882</c:v>
                </c:pt>
                <c:pt idx="2975">
                  <c:v>-18.684342994144789</c:v>
                </c:pt>
                <c:pt idx="2976">
                  <c:v>-18.552352465511607</c:v>
                </c:pt>
                <c:pt idx="2977">
                  <c:v>-18.414301239649099</c:v>
                </c:pt>
                <c:pt idx="2978">
                  <c:v>-18.270234415241141</c:v>
                </c:pt>
                <c:pt idx="2979">
                  <c:v>-18.120199056152511</c:v>
                </c:pt>
                <c:pt idx="2980">
                  <c:v>-17.964244176053302</c:v>
                </c:pt>
                <c:pt idx="2981">
                  <c:v>-17.802420722407458</c:v>
                </c:pt>
                <c:pt idx="2982">
                  <c:v>-17.634781559829335</c:v>
                </c:pt>
                <c:pt idx="2983">
                  <c:v>-17.461381452813619</c:v>
                </c:pt>
                <c:pt idx="2984">
                  <c:v>-17.282277047844982</c:v>
                </c:pt>
                <c:pt idx="2985">
                  <c:v>-17.097526854892532</c:v>
                </c:pt>
                <c:pt idx="2986">
                  <c:v>-16.907191228295805</c:v>
                </c:pt>
                <c:pt idx="2987">
                  <c:v>-16.711332347048668</c:v>
                </c:pt>
                <c:pt idx="2988">
                  <c:v>-16.510014194485766</c:v>
                </c:pt>
                <c:pt idx="2989">
                  <c:v>-16.303302537380894</c:v>
                </c:pt>
                <c:pt idx="2990">
                  <c:v>-16.091264904462346</c:v>
                </c:pt>
                <c:pt idx="2991">
                  <c:v>-15.873970564352351</c:v>
                </c:pt>
                <c:pt idx="2992">
                  <c:v>-15.651490502938504</c:v>
                </c:pt>
                <c:pt idx="2993">
                  <c:v>-15.423897400183774</c:v>
                </c:pt>
                <c:pt idx="2994">
                  <c:v>-15.191265606383439</c:v>
                </c:pt>
                <c:pt idx="2995">
                  <c:v>-14.953671117876917</c:v>
                </c:pt>
                <c:pt idx="2996">
                  <c:v>-14.711191552220114</c:v>
                </c:pt>
                <c:pt idx="2997">
                  <c:v>-14.463906122829918</c:v>
                </c:pt>
                <c:pt idx="2998">
                  <c:v>-14.21189561310678</c:v>
                </c:pt>
                <c:pt idx="2999">
                  <c:v>-13.955242350044044</c:v>
                </c:pt>
                <c:pt idx="3000">
                  <c:v>-13.694030177333511</c:v>
                </c:pt>
                <c:pt idx="3001">
                  <c:v>-13.428344427975</c:v>
                </c:pt>
                <c:pt idx="3002">
                  <c:v>-13.158271896399896</c:v>
                </c:pt>
                <c:pt idx="3003">
                  <c:v>-12.883900810117284</c:v>
                </c:pt>
                <c:pt idx="3004">
                  <c:v>-12.605320800891416</c:v>
                </c:pt>
                <c:pt idx="3005">
                  <c:v>-12.322622875460938</c:v>
                </c:pt>
                <c:pt idx="3006">
                  <c:v>-12.035899385808413</c:v>
                </c:pt>
                <c:pt idx="3007">
                  <c:v>-11.7452439989908</c:v>
                </c:pt>
                <c:pt idx="3008">
                  <c:v>-11.450751666541025</c:v>
                </c:pt>
                <c:pt idx="3009">
                  <c:v>-11.152518593447788</c:v>
                </c:pt>
                <c:pt idx="3010">
                  <c:v>-10.850642206728001</c:v>
                </c:pt>
                <c:pt idx="3011">
                  <c:v>-10.545221123599411</c:v>
                </c:pt>
                <c:pt idx="3012">
                  <c:v>-10.236355119263887</c:v>
                </c:pt>
                <c:pt idx="3013">
                  <c:v>-9.9241450943130083</c:v>
                </c:pt>
                <c:pt idx="3014">
                  <c:v>-9.6086930417654219</c:v>
                </c:pt>
                <c:pt idx="3015">
                  <c:v>-9.2901020137477932</c:v>
                </c:pt>
                <c:pt idx="3016">
                  <c:v>-8.9684760878305365</c:v>
                </c:pt>
                <c:pt idx="3017">
                  <c:v>-8.6439203330261751</c:v>
                </c:pt>
                <c:pt idx="3018">
                  <c:v>-8.3165407754661729</c:v>
                </c:pt>
                <c:pt idx="3019">
                  <c:v>-7.9864443637643792</c:v>
                </c:pt>
                <c:pt idx="3020">
                  <c:v>-7.6537389340785831</c:v>
                </c:pt>
                <c:pt idx="3021">
                  <c:v>-7.3185331748827718</c:v>
                </c:pt>
                <c:pt idx="3022">
                  <c:v>-6.9809365914602992</c:v>
                </c:pt>
                <c:pt idx="3023">
                  <c:v>-6.6410594701307364</c:v>
                </c:pt>
                <c:pt idx="3024">
                  <c:v>-6.2990128422223934</c:v>
                </c:pt>
                <c:pt idx="3025">
                  <c:v>-5.954908447798771</c:v>
                </c:pt>
                <c:pt idx="3026">
                  <c:v>-5.6088586991568432</c:v>
                </c:pt>
                <c:pt idx="3027">
                  <c:v>-5.2609766441029029</c:v>
                </c:pt>
                <c:pt idx="3028">
                  <c:v>-4.9113759290229622</c:v>
                </c:pt>
                <c:pt idx="3029">
                  <c:v>-4.5601707617562575</c:v>
                </c:pt>
                <c:pt idx="3030">
                  <c:v>-4.2074758742854623</c:v>
                </c:pt>
                <c:pt idx="3031">
                  <c:v>-3.8534064852560901</c:v>
                </c:pt>
                <c:pt idx="3032">
                  <c:v>-3.4980782623377489</c:v>
                </c:pt>
                <c:pt idx="3033">
                  <c:v>-3.1416072844359242</c:v>
                </c:pt>
                <c:pt idx="3034">
                  <c:v>-2.7841100037729074</c:v>
                </c:pt>
                <c:pt idx="3035">
                  <c:v>-2.4257032078438274</c:v>
                </c:pt>
                <c:pt idx="3036">
                  <c:v>-2.0665039812654045</c:v>
                </c:pt>
                <c:pt idx="3037">
                  <c:v>-1.7066296675262342</c:v>
                </c:pt>
                <c:pt idx="3038">
                  <c:v>-1.3461978306526381</c:v>
                </c:pt>
                <c:pt idx="3039">
                  <c:v>-0.98532621680289512</c:v>
                </c:pt>
                <c:pt idx="3040">
                  <c:v>-0.62413271580282692</c:v>
                </c:pt>
                <c:pt idx="3041">
                  <c:v>-0.26273532263161242</c:v>
                </c:pt>
                <c:pt idx="3042">
                  <c:v>9.8747901123203627E-2</c:v>
                </c:pt>
                <c:pt idx="3043">
                  <c:v>0.46019886583544162</c:v>
                </c:pt>
                <c:pt idx="3044">
                  <c:v>0.82149949241690512</c:v>
                </c:pt>
                <c:pt idx="3045">
                  <c:v>1.1825317508919782</c:v>
                </c:pt>
                <c:pt idx="3046">
                  <c:v>1.5431776989561761</c:v>
                </c:pt>
                <c:pt idx="3047">
                  <c:v>1.9033195205047801</c:v>
                </c:pt>
                <c:pt idx="3048">
                  <c:v>2.2628395641215229</c:v>
                </c:pt>
                <c:pt idx="3049">
                  <c:v>2.6216203815134689</c:v>
                </c:pt>
                <c:pt idx="3050">
                  <c:v>2.9795447658781278</c:v>
                </c:pt>
                <c:pt idx="3051">
                  <c:v>3.3364957901939341</c:v>
                </c:pt>
                <c:pt idx="3052">
                  <c:v>3.6923568454163731</c:v>
                </c:pt>
                <c:pt idx="3053">
                  <c:v>4.0470116785737407</c:v>
                </c:pt>
                <c:pt idx="3054">
                  <c:v>4.4003444307437718</c:v>
                </c:pt>
                <c:pt idx="3055">
                  <c:v>4.7522396749023894</c:v>
                </c:pt>
                <c:pt idx="3056">
                  <c:v>5.1025824536317792</c:v>
                </c:pt>
                <c:pt idx="3057">
                  <c:v>5.4512583166751742</c:v>
                </c:pt>
                <c:pt idx="3058">
                  <c:v>5.7981533583245994</c:v>
                </c:pt>
                <c:pt idx="3059">
                  <c:v>6.1431542546329094</c:v>
                </c:pt>
                <c:pt idx="3060">
                  <c:v>6.4861483004329124</c:v>
                </c:pt>
                <c:pt idx="3061">
                  <c:v>6.827023446157745</c:v>
                </c:pt>
                <c:pt idx="3062">
                  <c:v>7.1656683344443639</c:v>
                </c:pt>
                <c:pt idx="3063">
                  <c:v>7.5019723365117308</c:v>
                </c:pt>
                <c:pt idx="3064">
                  <c:v>7.8358255883013781</c:v>
                </c:pt>
                <c:pt idx="3065">
                  <c:v>8.167119026368276</c:v>
                </c:pt>
                <c:pt idx="3066">
                  <c:v>8.4957444235088548</c:v>
                </c:pt>
                <c:pt idx="3067">
                  <c:v>8.8215944241179116</c:v>
                </c:pt>
                <c:pt idx="3068">
                  <c:v>9.1445625792580945</c:v>
                </c:pt>
                <c:pt idx="3069">
                  <c:v>9.464543381436382</c:v>
                </c:pt>
                <c:pt idx="3070">
                  <c:v>9.7814322990704579</c:v>
                </c:pt>
                <c:pt idx="3071">
                  <c:v>10.09512581063705</c:v>
                </c:pt>
                <c:pt idx="3072">
                  <c:v>10.405521438490812</c:v>
                </c:pt>
                <c:pt idx="3073">
                  <c:v>10.712517782341532</c:v>
                </c:pt>
                <c:pt idx="3074">
                  <c:v>11.016014552380051</c:v>
                </c:pt>
                <c:pt idx="3075">
                  <c:v>11.315912602040861</c:v>
                </c:pt>
                <c:pt idx="3076">
                  <c:v>11.612113960390587</c:v>
                </c:pt>
                <c:pt idx="3077">
                  <c:v>11.90452186413461</c:v>
                </c:pt>
                <c:pt idx="3078">
                  <c:v>12.193040789226945</c:v>
                </c:pt>
                <c:pt idx="3079">
                  <c:v>12.477576482076017</c:v>
                </c:pt>
                <c:pt idx="3080">
                  <c:v>12.758035990335841</c:v>
                </c:pt>
                <c:pt idx="3081">
                  <c:v>13.034327693271528</c:v>
                </c:pt>
                <c:pt idx="3082">
                  <c:v>13.30636133169037</c:v>
                </c:pt>
                <c:pt idx="3083">
                  <c:v>13.574048037427652</c:v>
                </c:pt>
                <c:pt idx="3084">
                  <c:v>13.837300362377443</c:v>
                </c:pt>
                <c:pt idx="3085">
                  <c:v>14.096032307061485</c:v>
                </c:pt>
                <c:pt idx="3086">
                  <c:v>14.350159348722825</c:v>
                </c:pt>
                <c:pt idx="3087">
                  <c:v>14.599598468937668</c:v>
                </c:pt>
                <c:pt idx="3088">
                  <c:v>14.844268180736231</c:v>
                </c:pt>
                <c:pt idx="3089">
                  <c:v>15.084088555222767</c:v>
                </c:pt>
                <c:pt idx="3090">
                  <c:v>15.318981247687081</c:v>
                </c:pt>
                <c:pt idx="3091">
                  <c:v>15.548869523198123</c:v>
                </c:pt>
                <c:pt idx="3092">
                  <c:v>15.77367828167122</c:v>
                </c:pt>
                <c:pt idx="3093">
                  <c:v>15.993334082402978</c:v>
                </c:pt>
                <c:pt idx="3094">
                  <c:v>16.207765168061886</c:v>
                </c:pt>
                <c:pt idx="3095">
                  <c:v>16.416901488130851</c:v>
                </c:pt>
                <c:pt idx="3096">
                  <c:v>16.620674721790742</c:v>
                </c:pt>
                <c:pt idx="3097">
                  <c:v>16.819018300239765</c:v>
                </c:pt>
                <c:pt idx="3098">
                  <c:v>17.011867428440357</c:v>
                </c:pt>
                <c:pt idx="3099">
                  <c:v>17.199159106286391</c:v>
                </c:pt>
                <c:pt idx="3100">
                  <c:v>17.38083214918359</c:v>
                </c:pt>
                <c:pt idx="3101">
                  <c:v>17.55682720803831</c:v>
                </c:pt>
                <c:pt idx="3102">
                  <c:v>17.7270867886449</c:v>
                </c:pt>
                <c:pt idx="3103">
                  <c:v>17.891555270468547</c:v>
                </c:pt>
                <c:pt idx="3104">
                  <c:v>18.050178924815</c:v>
                </c:pt>
                <c:pt idx="3105">
                  <c:v>18.202905932382887</c:v>
                </c:pt>
                <c:pt idx="3106">
                  <c:v>18.349686400192216</c:v>
                </c:pt>
                <c:pt idx="3107">
                  <c:v>18.490472377883364</c:v>
                </c:pt>
                <c:pt idx="3108">
                  <c:v>18.62521787338116</c:v>
                </c:pt>
                <c:pt idx="3109">
                  <c:v>18.753878867920356</c:v>
                </c:pt>
                <c:pt idx="3110">
                  <c:v>18.87641333042502</c:v>
                </c:pt>
                <c:pt idx="3111">
                  <c:v>18.992781231239782</c:v>
                </c:pt>
                <c:pt idx="3112">
                  <c:v>19.102944555206381</c:v>
                </c:pt>
                <c:pt idx="3113">
                  <c:v>19.206867314082668</c:v>
                </c:pt>
                <c:pt idx="3114">
                  <c:v>19.304515558299364</c:v>
                </c:pt>
                <c:pt idx="3115">
                  <c:v>19.395857388050498</c:v>
                </c:pt>
                <c:pt idx="3116">
                  <c:v>19.480862963714586</c:v>
                </c:pt>
                <c:pt idx="3117">
                  <c:v>19.559504515602772</c:v>
                </c:pt>
                <c:pt idx="3118">
                  <c:v>19.631756353030397</c:v>
                </c:pt>
                <c:pt idx="3119">
                  <c:v>19.697594872709946</c:v>
                </c:pt>
                <c:pt idx="3120">
                  <c:v>19.756998566461444</c:v>
                </c:pt>
                <c:pt idx="3121">
                  <c:v>19.809948028239116</c:v>
                </c:pt>
                <c:pt idx="3122">
                  <c:v>19.85642596047078</c:v>
                </c:pt>
                <c:pt idx="3123">
                  <c:v>19.896417179708624</c:v>
                </c:pt>
                <c:pt idx="3124">
                  <c:v>19.929908621589384</c:v>
                </c:pt>
                <c:pt idx="3125">
                  <c:v>19.956889345102276</c:v>
                </c:pt>
                <c:pt idx="3126">
                  <c:v>19.977350536163105</c:v>
                </c:pt>
                <c:pt idx="3127">
                  <c:v>19.991285510493743</c:v>
                </c:pt>
                <c:pt idx="3128">
                  <c:v>19.998689715805721</c:v>
                </c:pt>
                <c:pt idx="3129">
                  <c:v>19.999560733287353</c:v>
                </c:pt>
                <c:pt idx="3130">
                  <c:v>19.993898278393971</c:v>
                </c:pt>
                <c:pt idx="3131">
                  <c:v>19.981704200940829</c:v>
                </c:pt>
                <c:pt idx="3132">
                  <c:v>19.962982484498827</c:v>
                </c:pt>
                <c:pt idx="3133">
                  <c:v>19.937739245093148</c:v>
                </c:pt>
                <c:pt idx="3134">
                  <c:v>19.905982729205299</c:v>
                </c:pt>
                <c:pt idx="3135">
                  <c:v>19.867723311079072</c:v>
                </c:pt>
                <c:pt idx="3136">
                  <c:v>19.822973489331556</c:v>
                </c:pt>
                <c:pt idx="3137">
                  <c:v>19.771747882870059</c:v>
                </c:pt>
                <c:pt idx="3138">
                  <c:v>19.714063226116323</c:v>
                </c:pt>
                <c:pt idx="3139">
                  <c:v>19.649938363539853</c:v>
                </c:pt>
                <c:pt idx="3140">
                  <c:v>19.579394243501575</c:v>
                </c:pt>
                <c:pt idx="3141">
                  <c:v>19.502453911410718</c:v>
                </c:pt>
                <c:pt idx="3142">
                  <c:v>19.419142502195999</c:v>
                </c:pt>
                <c:pt idx="3143">
                  <c:v>19.329487232094667</c:v>
                </c:pt>
                <c:pt idx="3144">
                  <c:v>19.233517389761555</c:v>
                </c:pt>
                <c:pt idx="3145">
                  <c:v>19.131264326700975</c:v>
                </c:pt>
                <c:pt idx="3146">
                  <c:v>19.022761447024649</c:v>
                </c:pt>
                <c:pt idx="3147">
                  <c:v>18.908044196539521</c:v>
                </c:pt>
                <c:pt idx="3148">
                  <c:v>18.787150051167899</c:v>
                </c:pt>
                <c:pt idx="3149">
                  <c:v>18.660118504705338</c:v>
                </c:pt>
                <c:pt idx="3150">
                  <c:v>18.526991055918177</c:v>
                </c:pt>
                <c:pt idx="3151">
                  <c:v>18.387811194987002</c:v>
                </c:pt>
                <c:pt idx="3152">
                  <c:v>18.242624389299309</c:v>
                </c:pt>
                <c:pt idx="3153">
                  <c:v>18.091478068596075</c:v>
                </c:pt>
                <c:pt idx="3154">
                  <c:v>17.934421609477205</c:v>
                </c:pt>
                <c:pt idx="3155">
                  <c:v>17.771506319271559</c:v>
                </c:pt>
                <c:pt idx="3156">
                  <c:v>17.602785419275246</c:v>
                </c:pt>
                <c:pt idx="3157">
                  <c:v>17.428314027366074</c:v>
                </c:pt>
                <c:pt idx="3158">
                  <c:v>17.248149139996706</c:v>
                </c:pt>
                <c:pt idx="3159">
                  <c:v>17.062349613575481</c:v>
                </c:pt>
                <c:pt idx="3160">
                  <c:v>16.870976145239233</c:v>
                </c:pt>
                <c:pt idx="3161">
                  <c:v>16.674091253024507</c:v>
                </c:pt>
                <c:pt idx="3162">
                  <c:v>16.471759255444248</c:v>
                </c:pt>
                <c:pt idx="3163">
                  <c:v>16.26404625047595</c:v>
                </c:pt>
                <c:pt idx="3164">
                  <c:v>16.051020093968781</c:v>
                </c:pt>
                <c:pt idx="3165">
                  <c:v>15.832750377476968</c:v>
                </c:pt>
                <c:pt idx="3166">
                  <c:v>15.609308405524585</c:v>
                </c:pt>
                <c:pt idx="3167">
                  <c:v>15.380767172312295</c:v>
                </c:pt>
                <c:pt idx="3168">
                  <c:v>15.147201337871657</c:v>
                </c:pt>
                <c:pt idx="3169">
                  <c:v>14.908687203674855</c:v>
                </c:pt>
                <c:pt idx="3170">
                  <c:v>14.665302687708671</c:v>
                </c:pt>
                <c:pt idx="3171">
                  <c:v>14.417127299019869</c:v>
                </c:pt>
                <c:pt idx="3172">
                  <c:v>14.16424211174122</c:v>
                </c:pt>
                <c:pt idx="3173">
                  <c:v>13.906729738606828</c:v>
                </c:pt>
                <c:pt idx="3174">
                  <c:v>13.644674303962949</c:v>
                </c:pt>
                <c:pt idx="3175">
                  <c:v>13.378161416286877</c:v>
                </c:pt>
                <c:pt idx="3176">
                  <c:v>13.107278140220407</c:v>
                </c:pt>
                <c:pt idx="3177">
                  <c:v>12.832112968127172</c:v>
                </c:pt>
                <c:pt idx="3178">
                  <c:v>12.552755791184119</c:v>
                </c:pt>
                <c:pt idx="3179">
                  <c:v>12.269297870015443</c:v>
                </c:pt>
                <c:pt idx="3180">
                  <c:v>11.981831804879599</c:v>
                </c:pt>
                <c:pt idx="3181">
                  <c:v>11.690451505419372</c:v>
                </c:pt>
                <c:pt idx="3182">
                  <c:v>11.395252159981936</c:v>
                </c:pt>
                <c:pt idx="3183">
                  <c:v>11.096330204524005</c:v>
                </c:pt>
                <c:pt idx="3184">
                  <c:v>10.793783291107017</c:v>
                </c:pt>
                <c:pt idx="3185">
                  <c:v>10.487710255996918</c:v>
                </c:pt>
                <c:pt idx="3186">
                  <c:v>10.178211087375878</c:v>
                </c:pt>
                <c:pt idx="3187">
                  <c:v>9.8653868926778561</c:v>
                </c:pt>
                <c:pt idx="3188">
                  <c:v>9.5493398655588262</c:v>
                </c:pt>
                <c:pt idx="3189">
                  <c:v>9.2301732525129658</c:v>
                </c:pt>
                <c:pt idx="3190">
                  <c:v>8.9079913191423916</c:v>
                </c:pt>
                <c:pt idx="3191">
                  <c:v>8.5828993160970803</c:v>
                </c:pt>
                <c:pt idx="3192">
                  <c:v>8.2550034446903773</c:v>
                </c:pt>
                <c:pt idx="3193">
                  <c:v>7.9244108222059442</c:v>
                </c:pt>
                <c:pt idx="3194">
                  <c:v>7.5912294469042365</c:v>
                </c:pt>
                <c:pt idx="3195">
                  <c:v>7.2555681627412696</c:v>
                </c:pt>
                <c:pt idx="3196">
                  <c:v>6.9175366238115199</c:v>
                </c:pt>
                <c:pt idx="3197">
                  <c:v>6.5772452585269692</c:v>
                </c:pt>
                <c:pt idx="3198">
                  <c:v>6.2348052335405342</c:v>
                </c:pt>
                <c:pt idx="3199">
                  <c:v>5.8903284174316592</c:v>
                </c:pt>
                <c:pt idx="3200">
                  <c:v>5.5439273441597905</c:v>
                </c:pt>
                <c:pt idx="3201">
                  <c:v>5.1957151763026319</c:v>
                </c:pt>
                <c:pt idx="3202">
                  <c:v>4.8458056680877144</c:v>
                </c:pt>
                <c:pt idx="3203">
                  <c:v>4.4943131282306457</c:v>
                </c:pt>
                <c:pt idx="3204">
                  <c:v>4.1413523825934799</c:v>
                </c:pt>
                <c:pt idx="3205">
                  <c:v>3.787038736672907</c:v>
                </c:pt>
                <c:pt idx="3206">
                  <c:v>3.4314879379317325</c:v>
                </c:pt>
                <c:pt idx="3207">
                  <c:v>3.0748161379873884</c:v>
                </c:pt>
                <c:pt idx="3208">
                  <c:v>2.7171398546661676</c:v>
                </c:pt>
                <c:pt idx="3209">
                  <c:v>2.3585759339407733</c:v>
                </c:pt>
                <c:pt idx="3210">
                  <c:v>1.9992415117571583</c:v>
                </c:pt>
                <c:pt idx="3211">
                  <c:v>1.6392539757694413</c:v>
                </c:pt>
                <c:pt idx="3212">
                  <c:v>1.2787309269917604</c:v>
                </c:pt>
                <c:pt idx="3213">
                  <c:v>0.91779014137999826</c:v>
                </c:pt>
                <c:pt idx="3214">
                  <c:v>0.55654953135621121</c:v>
                </c:pt>
                <c:pt idx="3215">
                  <c:v>0.19512710728990118</c:v>
                </c:pt>
                <c:pt idx="3216">
                  <c:v>-0.1663590610549848</c:v>
                </c:pt>
                <c:pt idx="3217">
                  <c:v>-0.52779088308947353</c:v>
                </c:pt>
                <c:pt idx="3218">
                  <c:v>-0.88905028597934022</c:v>
                </c:pt>
                <c:pt idx="3219">
                  <c:v>-1.2500192532162409</c:v>
                </c:pt>
                <c:pt idx="3220">
                  <c:v>-1.6105798631712964</c:v>
                </c:pt>
                <c:pt idx="3221">
                  <c:v>-1.970614327618111</c:v>
                </c:pt>
                <c:pt idx="3222">
                  <c:v>-2.3300050302123436</c:v>
                </c:pt>
                <c:pt idx="3223">
                  <c:v>-2.6886345649137215</c:v>
                </c:pt>
                <c:pt idx="3224">
                  <c:v>-3.0463857743416094</c:v>
                </c:pt>
                <c:pt idx="3225">
                  <c:v>-3.4031417880463826</c:v>
                </c:pt>
                <c:pt idx="3226">
                  <c:v>-3.758786060690591</c:v>
                </c:pt>
                <c:pt idx="3227">
                  <c:v>-4.1132024101210929</c:v>
                </c:pt>
                <c:pt idx="3228">
                  <c:v>-4.4662750553233979</c:v>
                </c:pt>
                <c:pt idx="3229">
                  <c:v>-4.8178886542455199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19-44D1-AE4F-A45C47D80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3981472"/>
        <c:axId val="638999104"/>
      </c:scatterChart>
      <c:valAx>
        <c:axId val="773981472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8999104"/>
        <c:crosses val="autoZero"/>
        <c:crossBetween val="midCat"/>
      </c:valAx>
      <c:valAx>
        <c:axId val="63899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3981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Displacement (Damped)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u(t) Damped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Sheet2!$R$2:$R$3231</c:f>
              <c:numCache>
                <c:formatCode>General</c:formatCode>
                <c:ptCount val="323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  <c:pt idx="1502">
                  <c:v>1.502</c:v>
                </c:pt>
                <c:pt idx="1503">
                  <c:v>1.5029999999999999</c:v>
                </c:pt>
                <c:pt idx="1504">
                  <c:v>1.504</c:v>
                </c:pt>
                <c:pt idx="1505">
                  <c:v>1.5049999999999999</c:v>
                </c:pt>
                <c:pt idx="1506">
                  <c:v>1.506</c:v>
                </c:pt>
                <c:pt idx="1507">
                  <c:v>1.5069999999999999</c:v>
                </c:pt>
                <c:pt idx="1508">
                  <c:v>1.508</c:v>
                </c:pt>
                <c:pt idx="1509">
                  <c:v>1.5089999999999999</c:v>
                </c:pt>
                <c:pt idx="1510">
                  <c:v>1.51</c:v>
                </c:pt>
                <c:pt idx="1511">
                  <c:v>1.5109999999999999</c:v>
                </c:pt>
                <c:pt idx="1512">
                  <c:v>1.512</c:v>
                </c:pt>
                <c:pt idx="1513">
                  <c:v>1.5129999999999999</c:v>
                </c:pt>
                <c:pt idx="1514">
                  <c:v>1.514</c:v>
                </c:pt>
                <c:pt idx="1515">
                  <c:v>1.5149999999999999</c:v>
                </c:pt>
                <c:pt idx="1516">
                  <c:v>1.516</c:v>
                </c:pt>
                <c:pt idx="1517">
                  <c:v>1.5169999999999999</c:v>
                </c:pt>
                <c:pt idx="1518">
                  <c:v>1.518</c:v>
                </c:pt>
                <c:pt idx="1519">
                  <c:v>1.5189999999999999</c:v>
                </c:pt>
                <c:pt idx="1520">
                  <c:v>1.52</c:v>
                </c:pt>
                <c:pt idx="1521">
                  <c:v>1.5209999999999999</c:v>
                </c:pt>
                <c:pt idx="1522">
                  <c:v>1.522</c:v>
                </c:pt>
                <c:pt idx="1523">
                  <c:v>1.5229999999999999</c:v>
                </c:pt>
                <c:pt idx="1524">
                  <c:v>1.524</c:v>
                </c:pt>
                <c:pt idx="1525">
                  <c:v>1.5249999999999999</c:v>
                </c:pt>
                <c:pt idx="1526">
                  <c:v>1.526</c:v>
                </c:pt>
                <c:pt idx="1527">
                  <c:v>1.5269999999999999</c:v>
                </c:pt>
                <c:pt idx="1528">
                  <c:v>1.528</c:v>
                </c:pt>
                <c:pt idx="1529">
                  <c:v>1.5289999999999999</c:v>
                </c:pt>
                <c:pt idx="1530">
                  <c:v>1.53</c:v>
                </c:pt>
                <c:pt idx="1531">
                  <c:v>1.5309999999999999</c:v>
                </c:pt>
                <c:pt idx="1532">
                  <c:v>1.532</c:v>
                </c:pt>
                <c:pt idx="1533">
                  <c:v>1.5329999999999999</c:v>
                </c:pt>
                <c:pt idx="1534">
                  <c:v>1.534</c:v>
                </c:pt>
                <c:pt idx="1535">
                  <c:v>1.5349999999999999</c:v>
                </c:pt>
                <c:pt idx="1536">
                  <c:v>1.536</c:v>
                </c:pt>
                <c:pt idx="1537">
                  <c:v>1.5369999999999999</c:v>
                </c:pt>
                <c:pt idx="1538">
                  <c:v>1.538</c:v>
                </c:pt>
                <c:pt idx="1539">
                  <c:v>1.5389999999999999</c:v>
                </c:pt>
                <c:pt idx="1540">
                  <c:v>1.54</c:v>
                </c:pt>
                <c:pt idx="1541">
                  <c:v>1.5409999999999999</c:v>
                </c:pt>
                <c:pt idx="1542">
                  <c:v>1.542</c:v>
                </c:pt>
                <c:pt idx="1543">
                  <c:v>1.5429999999999999</c:v>
                </c:pt>
                <c:pt idx="1544">
                  <c:v>1.544</c:v>
                </c:pt>
                <c:pt idx="1545">
                  <c:v>1.5449999999999999</c:v>
                </c:pt>
                <c:pt idx="1546">
                  <c:v>1.546</c:v>
                </c:pt>
                <c:pt idx="1547">
                  <c:v>1.5469999999999999</c:v>
                </c:pt>
                <c:pt idx="1548">
                  <c:v>1.548</c:v>
                </c:pt>
                <c:pt idx="1549">
                  <c:v>1.5489999999999999</c:v>
                </c:pt>
                <c:pt idx="1550">
                  <c:v>1.55</c:v>
                </c:pt>
                <c:pt idx="1551">
                  <c:v>1.5509999999999999</c:v>
                </c:pt>
                <c:pt idx="1552">
                  <c:v>1.552</c:v>
                </c:pt>
                <c:pt idx="1553">
                  <c:v>1.5529999999999999</c:v>
                </c:pt>
                <c:pt idx="1554">
                  <c:v>1.554</c:v>
                </c:pt>
                <c:pt idx="1555">
                  <c:v>1.5549999999999999</c:v>
                </c:pt>
                <c:pt idx="1556">
                  <c:v>1.556</c:v>
                </c:pt>
                <c:pt idx="1557">
                  <c:v>1.5569999999999999</c:v>
                </c:pt>
                <c:pt idx="1558">
                  <c:v>1.5580000000000001</c:v>
                </c:pt>
                <c:pt idx="1559">
                  <c:v>1.5589999999999999</c:v>
                </c:pt>
                <c:pt idx="1560">
                  <c:v>1.56</c:v>
                </c:pt>
                <c:pt idx="1561">
                  <c:v>1.5609999999999999</c:v>
                </c:pt>
                <c:pt idx="1562">
                  <c:v>1.5620000000000001</c:v>
                </c:pt>
                <c:pt idx="1563">
                  <c:v>1.5629999999999999</c:v>
                </c:pt>
                <c:pt idx="1564">
                  <c:v>1.5640000000000001</c:v>
                </c:pt>
                <c:pt idx="1565">
                  <c:v>1.5649999999999999</c:v>
                </c:pt>
                <c:pt idx="1566">
                  <c:v>1.5660000000000001</c:v>
                </c:pt>
                <c:pt idx="1567">
                  <c:v>1.5669999999999999</c:v>
                </c:pt>
                <c:pt idx="1568">
                  <c:v>1.5680000000000001</c:v>
                </c:pt>
                <c:pt idx="1569">
                  <c:v>1.569</c:v>
                </c:pt>
                <c:pt idx="1570">
                  <c:v>1.57</c:v>
                </c:pt>
                <c:pt idx="1571">
                  <c:v>1.571</c:v>
                </c:pt>
                <c:pt idx="1572">
                  <c:v>1.5720000000000001</c:v>
                </c:pt>
                <c:pt idx="1573">
                  <c:v>1.573</c:v>
                </c:pt>
                <c:pt idx="1574">
                  <c:v>1.5740000000000001</c:v>
                </c:pt>
                <c:pt idx="1575">
                  <c:v>1.575</c:v>
                </c:pt>
                <c:pt idx="1576">
                  <c:v>1.5760000000000001</c:v>
                </c:pt>
                <c:pt idx="1577">
                  <c:v>1.577</c:v>
                </c:pt>
                <c:pt idx="1578">
                  <c:v>1.5780000000000001</c:v>
                </c:pt>
                <c:pt idx="1579">
                  <c:v>1.579</c:v>
                </c:pt>
                <c:pt idx="1580">
                  <c:v>1.58</c:v>
                </c:pt>
                <c:pt idx="1581">
                  <c:v>1.581</c:v>
                </c:pt>
                <c:pt idx="1582">
                  <c:v>1.5820000000000001</c:v>
                </c:pt>
                <c:pt idx="1583">
                  <c:v>1.583</c:v>
                </c:pt>
                <c:pt idx="1584">
                  <c:v>1.5840000000000001</c:v>
                </c:pt>
                <c:pt idx="1585">
                  <c:v>1.585</c:v>
                </c:pt>
                <c:pt idx="1586">
                  <c:v>1.5860000000000001</c:v>
                </c:pt>
                <c:pt idx="1587">
                  <c:v>1.587</c:v>
                </c:pt>
                <c:pt idx="1588">
                  <c:v>1.5880000000000001</c:v>
                </c:pt>
                <c:pt idx="1589">
                  <c:v>1.589</c:v>
                </c:pt>
                <c:pt idx="1590">
                  <c:v>1.59</c:v>
                </c:pt>
                <c:pt idx="1591">
                  <c:v>1.591</c:v>
                </c:pt>
                <c:pt idx="1592">
                  <c:v>1.5920000000000001</c:v>
                </c:pt>
                <c:pt idx="1593">
                  <c:v>1.593</c:v>
                </c:pt>
                <c:pt idx="1594">
                  <c:v>1.5940000000000001</c:v>
                </c:pt>
                <c:pt idx="1595">
                  <c:v>1.595</c:v>
                </c:pt>
                <c:pt idx="1596">
                  <c:v>1.5960000000000001</c:v>
                </c:pt>
                <c:pt idx="1597">
                  <c:v>1.597</c:v>
                </c:pt>
                <c:pt idx="1598">
                  <c:v>1.5980000000000001</c:v>
                </c:pt>
                <c:pt idx="1599">
                  <c:v>1.599</c:v>
                </c:pt>
                <c:pt idx="1600">
                  <c:v>1.6</c:v>
                </c:pt>
                <c:pt idx="1601">
                  <c:v>1.601</c:v>
                </c:pt>
                <c:pt idx="1602">
                  <c:v>1.6020000000000001</c:v>
                </c:pt>
                <c:pt idx="1603">
                  <c:v>1.603</c:v>
                </c:pt>
                <c:pt idx="1604">
                  <c:v>1.6040000000000001</c:v>
                </c:pt>
                <c:pt idx="1605">
                  <c:v>1.605</c:v>
                </c:pt>
                <c:pt idx="1606">
                  <c:v>1.6060000000000001</c:v>
                </c:pt>
                <c:pt idx="1607">
                  <c:v>1.607</c:v>
                </c:pt>
                <c:pt idx="1608">
                  <c:v>1.6080000000000001</c:v>
                </c:pt>
                <c:pt idx="1609">
                  <c:v>1.609</c:v>
                </c:pt>
                <c:pt idx="1610">
                  <c:v>1.61</c:v>
                </c:pt>
                <c:pt idx="1611">
                  <c:v>1.611</c:v>
                </c:pt>
                <c:pt idx="1612">
                  <c:v>1.6120000000000001</c:v>
                </c:pt>
                <c:pt idx="1613">
                  <c:v>1.613</c:v>
                </c:pt>
                <c:pt idx="1614">
                  <c:v>1.6140000000000001</c:v>
                </c:pt>
                <c:pt idx="1615">
                  <c:v>1.615</c:v>
                </c:pt>
                <c:pt idx="1616">
                  <c:v>1.6160000000000001</c:v>
                </c:pt>
                <c:pt idx="1617">
                  <c:v>1.617</c:v>
                </c:pt>
                <c:pt idx="1618">
                  <c:v>1.6180000000000001</c:v>
                </c:pt>
                <c:pt idx="1619">
                  <c:v>1.619</c:v>
                </c:pt>
                <c:pt idx="1620">
                  <c:v>1.62</c:v>
                </c:pt>
                <c:pt idx="1621">
                  <c:v>1.621</c:v>
                </c:pt>
                <c:pt idx="1622">
                  <c:v>1.6220000000000001</c:v>
                </c:pt>
                <c:pt idx="1623">
                  <c:v>1.623</c:v>
                </c:pt>
                <c:pt idx="1624">
                  <c:v>1.6240000000000001</c:v>
                </c:pt>
                <c:pt idx="1625">
                  <c:v>1.625</c:v>
                </c:pt>
                <c:pt idx="1626">
                  <c:v>1.6259999999999999</c:v>
                </c:pt>
                <c:pt idx="1627">
                  <c:v>1.627</c:v>
                </c:pt>
                <c:pt idx="1628">
                  <c:v>1.6279999999999999</c:v>
                </c:pt>
                <c:pt idx="1629">
                  <c:v>1.629</c:v>
                </c:pt>
                <c:pt idx="1630">
                  <c:v>1.63</c:v>
                </c:pt>
                <c:pt idx="1631">
                  <c:v>1.631</c:v>
                </c:pt>
                <c:pt idx="1632">
                  <c:v>1.6319999999999999</c:v>
                </c:pt>
                <c:pt idx="1633">
                  <c:v>1.633</c:v>
                </c:pt>
                <c:pt idx="1634">
                  <c:v>1.6339999999999999</c:v>
                </c:pt>
                <c:pt idx="1635">
                  <c:v>1.635</c:v>
                </c:pt>
                <c:pt idx="1636">
                  <c:v>1.6359999999999999</c:v>
                </c:pt>
                <c:pt idx="1637">
                  <c:v>1.637</c:v>
                </c:pt>
                <c:pt idx="1638">
                  <c:v>1.6379999999999999</c:v>
                </c:pt>
                <c:pt idx="1639">
                  <c:v>1.639</c:v>
                </c:pt>
                <c:pt idx="1640">
                  <c:v>1.64</c:v>
                </c:pt>
                <c:pt idx="1641">
                  <c:v>1.641</c:v>
                </c:pt>
                <c:pt idx="1642">
                  <c:v>1.6419999999999999</c:v>
                </c:pt>
                <c:pt idx="1643">
                  <c:v>1.643</c:v>
                </c:pt>
                <c:pt idx="1644">
                  <c:v>1.6439999999999999</c:v>
                </c:pt>
                <c:pt idx="1645">
                  <c:v>1.645</c:v>
                </c:pt>
                <c:pt idx="1646">
                  <c:v>1.6459999999999999</c:v>
                </c:pt>
                <c:pt idx="1647">
                  <c:v>1.647</c:v>
                </c:pt>
                <c:pt idx="1648">
                  <c:v>1.6479999999999999</c:v>
                </c:pt>
                <c:pt idx="1649">
                  <c:v>1.649</c:v>
                </c:pt>
                <c:pt idx="1650">
                  <c:v>1.65</c:v>
                </c:pt>
                <c:pt idx="1651">
                  <c:v>1.651</c:v>
                </c:pt>
                <c:pt idx="1652">
                  <c:v>1.6519999999999999</c:v>
                </c:pt>
                <c:pt idx="1653">
                  <c:v>1.653</c:v>
                </c:pt>
                <c:pt idx="1654">
                  <c:v>1.6539999999999999</c:v>
                </c:pt>
                <c:pt idx="1655">
                  <c:v>1.655</c:v>
                </c:pt>
                <c:pt idx="1656">
                  <c:v>1.6559999999999999</c:v>
                </c:pt>
                <c:pt idx="1657">
                  <c:v>1.657</c:v>
                </c:pt>
                <c:pt idx="1658">
                  <c:v>1.6579999999999999</c:v>
                </c:pt>
                <c:pt idx="1659">
                  <c:v>1.659</c:v>
                </c:pt>
                <c:pt idx="1660">
                  <c:v>1.66</c:v>
                </c:pt>
                <c:pt idx="1661">
                  <c:v>1.661</c:v>
                </c:pt>
                <c:pt idx="1662">
                  <c:v>1.6619999999999999</c:v>
                </c:pt>
                <c:pt idx="1663">
                  <c:v>1.663</c:v>
                </c:pt>
                <c:pt idx="1664">
                  <c:v>1.6639999999999999</c:v>
                </c:pt>
                <c:pt idx="1665">
                  <c:v>1.665</c:v>
                </c:pt>
                <c:pt idx="1666">
                  <c:v>1.6659999999999999</c:v>
                </c:pt>
                <c:pt idx="1667">
                  <c:v>1.667</c:v>
                </c:pt>
                <c:pt idx="1668">
                  <c:v>1.6679999999999999</c:v>
                </c:pt>
                <c:pt idx="1669">
                  <c:v>1.669</c:v>
                </c:pt>
                <c:pt idx="1670">
                  <c:v>1.67</c:v>
                </c:pt>
                <c:pt idx="1671">
                  <c:v>1.671</c:v>
                </c:pt>
                <c:pt idx="1672">
                  <c:v>1.6719999999999999</c:v>
                </c:pt>
                <c:pt idx="1673">
                  <c:v>1.673</c:v>
                </c:pt>
                <c:pt idx="1674">
                  <c:v>1.6739999999999999</c:v>
                </c:pt>
                <c:pt idx="1675">
                  <c:v>1.675</c:v>
                </c:pt>
                <c:pt idx="1676">
                  <c:v>1.6759999999999999</c:v>
                </c:pt>
                <c:pt idx="1677">
                  <c:v>1.677</c:v>
                </c:pt>
                <c:pt idx="1678">
                  <c:v>1.6779999999999999</c:v>
                </c:pt>
                <c:pt idx="1679">
                  <c:v>1.679</c:v>
                </c:pt>
                <c:pt idx="1680">
                  <c:v>1.68</c:v>
                </c:pt>
                <c:pt idx="1681">
                  <c:v>1.681</c:v>
                </c:pt>
                <c:pt idx="1682">
                  <c:v>1.6819999999999999</c:v>
                </c:pt>
                <c:pt idx="1683">
                  <c:v>1.6830000000000001</c:v>
                </c:pt>
                <c:pt idx="1684">
                  <c:v>1.6839999999999999</c:v>
                </c:pt>
                <c:pt idx="1685">
                  <c:v>1.6850000000000001</c:v>
                </c:pt>
                <c:pt idx="1686">
                  <c:v>1.6859999999999999</c:v>
                </c:pt>
                <c:pt idx="1687">
                  <c:v>1.6870000000000001</c:v>
                </c:pt>
                <c:pt idx="1688">
                  <c:v>1.6879999999999999</c:v>
                </c:pt>
                <c:pt idx="1689">
                  <c:v>1.6890000000000001</c:v>
                </c:pt>
                <c:pt idx="1690">
                  <c:v>1.69</c:v>
                </c:pt>
                <c:pt idx="1691">
                  <c:v>1.6910000000000001</c:v>
                </c:pt>
                <c:pt idx="1692">
                  <c:v>1.6919999999999999</c:v>
                </c:pt>
                <c:pt idx="1693">
                  <c:v>1.6930000000000001</c:v>
                </c:pt>
                <c:pt idx="1694">
                  <c:v>1.694</c:v>
                </c:pt>
                <c:pt idx="1695">
                  <c:v>1.6950000000000001</c:v>
                </c:pt>
                <c:pt idx="1696">
                  <c:v>1.696</c:v>
                </c:pt>
                <c:pt idx="1697">
                  <c:v>1.6970000000000001</c:v>
                </c:pt>
                <c:pt idx="1698">
                  <c:v>1.698</c:v>
                </c:pt>
                <c:pt idx="1699">
                  <c:v>1.6990000000000001</c:v>
                </c:pt>
                <c:pt idx="1700">
                  <c:v>1.7</c:v>
                </c:pt>
                <c:pt idx="1701">
                  <c:v>1.7010000000000001</c:v>
                </c:pt>
                <c:pt idx="1702">
                  <c:v>1.702</c:v>
                </c:pt>
                <c:pt idx="1703">
                  <c:v>1.7030000000000001</c:v>
                </c:pt>
                <c:pt idx="1704">
                  <c:v>1.704</c:v>
                </c:pt>
                <c:pt idx="1705">
                  <c:v>1.7050000000000001</c:v>
                </c:pt>
                <c:pt idx="1706">
                  <c:v>1.706</c:v>
                </c:pt>
                <c:pt idx="1707">
                  <c:v>1.7070000000000001</c:v>
                </c:pt>
                <c:pt idx="1708">
                  <c:v>1.708</c:v>
                </c:pt>
                <c:pt idx="1709">
                  <c:v>1.7090000000000001</c:v>
                </c:pt>
                <c:pt idx="1710">
                  <c:v>1.71</c:v>
                </c:pt>
                <c:pt idx="1711">
                  <c:v>1.7110000000000001</c:v>
                </c:pt>
                <c:pt idx="1712">
                  <c:v>1.712</c:v>
                </c:pt>
                <c:pt idx="1713">
                  <c:v>1.7130000000000001</c:v>
                </c:pt>
                <c:pt idx="1714">
                  <c:v>1.714</c:v>
                </c:pt>
                <c:pt idx="1715">
                  <c:v>1.7150000000000001</c:v>
                </c:pt>
                <c:pt idx="1716">
                  <c:v>1.716</c:v>
                </c:pt>
                <c:pt idx="1717">
                  <c:v>1.7170000000000001</c:v>
                </c:pt>
                <c:pt idx="1718">
                  <c:v>1.718</c:v>
                </c:pt>
                <c:pt idx="1719">
                  <c:v>1.7190000000000001</c:v>
                </c:pt>
                <c:pt idx="1720">
                  <c:v>1.72</c:v>
                </c:pt>
                <c:pt idx="1721">
                  <c:v>1.7210000000000001</c:v>
                </c:pt>
                <c:pt idx="1722">
                  <c:v>1.722</c:v>
                </c:pt>
                <c:pt idx="1723">
                  <c:v>1.7230000000000001</c:v>
                </c:pt>
                <c:pt idx="1724">
                  <c:v>1.724</c:v>
                </c:pt>
                <c:pt idx="1725">
                  <c:v>1.7250000000000001</c:v>
                </c:pt>
                <c:pt idx="1726">
                  <c:v>1.726</c:v>
                </c:pt>
                <c:pt idx="1727">
                  <c:v>1.7270000000000001</c:v>
                </c:pt>
                <c:pt idx="1728">
                  <c:v>1.728</c:v>
                </c:pt>
                <c:pt idx="1729">
                  <c:v>1.7290000000000001</c:v>
                </c:pt>
                <c:pt idx="1730">
                  <c:v>1.73</c:v>
                </c:pt>
                <c:pt idx="1731">
                  <c:v>1.7310000000000001</c:v>
                </c:pt>
                <c:pt idx="1732">
                  <c:v>1.732</c:v>
                </c:pt>
                <c:pt idx="1733">
                  <c:v>1.7330000000000001</c:v>
                </c:pt>
                <c:pt idx="1734">
                  <c:v>1.734</c:v>
                </c:pt>
                <c:pt idx="1735">
                  <c:v>1.7350000000000001</c:v>
                </c:pt>
                <c:pt idx="1736">
                  <c:v>1.736</c:v>
                </c:pt>
                <c:pt idx="1737">
                  <c:v>1.7370000000000001</c:v>
                </c:pt>
                <c:pt idx="1738">
                  <c:v>1.738</c:v>
                </c:pt>
                <c:pt idx="1739">
                  <c:v>1.7390000000000001</c:v>
                </c:pt>
                <c:pt idx="1740">
                  <c:v>1.74</c:v>
                </c:pt>
                <c:pt idx="1741">
                  <c:v>1.7410000000000001</c:v>
                </c:pt>
                <c:pt idx="1742">
                  <c:v>1.742</c:v>
                </c:pt>
                <c:pt idx="1743">
                  <c:v>1.7430000000000001</c:v>
                </c:pt>
                <c:pt idx="1744">
                  <c:v>1.744</c:v>
                </c:pt>
                <c:pt idx="1745">
                  <c:v>1.7450000000000001</c:v>
                </c:pt>
                <c:pt idx="1746">
                  <c:v>1.746</c:v>
                </c:pt>
                <c:pt idx="1747">
                  <c:v>1.7470000000000001</c:v>
                </c:pt>
                <c:pt idx="1748">
                  <c:v>1.748</c:v>
                </c:pt>
                <c:pt idx="1749">
                  <c:v>1.7490000000000001</c:v>
                </c:pt>
                <c:pt idx="1750">
                  <c:v>1.75</c:v>
                </c:pt>
                <c:pt idx="1751">
                  <c:v>1.7509999999999999</c:v>
                </c:pt>
                <c:pt idx="1752">
                  <c:v>1.752</c:v>
                </c:pt>
                <c:pt idx="1753">
                  <c:v>1.7529999999999999</c:v>
                </c:pt>
                <c:pt idx="1754">
                  <c:v>1.754</c:v>
                </c:pt>
                <c:pt idx="1755">
                  <c:v>1.7549999999999999</c:v>
                </c:pt>
                <c:pt idx="1756">
                  <c:v>1.756</c:v>
                </c:pt>
                <c:pt idx="1757">
                  <c:v>1.7569999999999999</c:v>
                </c:pt>
                <c:pt idx="1758">
                  <c:v>1.758</c:v>
                </c:pt>
                <c:pt idx="1759">
                  <c:v>1.7589999999999999</c:v>
                </c:pt>
                <c:pt idx="1760">
                  <c:v>1.76</c:v>
                </c:pt>
                <c:pt idx="1761">
                  <c:v>1.7609999999999999</c:v>
                </c:pt>
                <c:pt idx="1762">
                  <c:v>1.762</c:v>
                </c:pt>
                <c:pt idx="1763">
                  <c:v>1.7629999999999999</c:v>
                </c:pt>
                <c:pt idx="1764">
                  <c:v>1.764</c:v>
                </c:pt>
                <c:pt idx="1765">
                  <c:v>1.7649999999999999</c:v>
                </c:pt>
                <c:pt idx="1766">
                  <c:v>1.766</c:v>
                </c:pt>
                <c:pt idx="1767">
                  <c:v>1.7669999999999999</c:v>
                </c:pt>
                <c:pt idx="1768">
                  <c:v>1.768</c:v>
                </c:pt>
                <c:pt idx="1769">
                  <c:v>1.7689999999999999</c:v>
                </c:pt>
                <c:pt idx="1770">
                  <c:v>1.77</c:v>
                </c:pt>
                <c:pt idx="1771">
                  <c:v>1.7709999999999999</c:v>
                </c:pt>
                <c:pt idx="1772">
                  <c:v>1.772</c:v>
                </c:pt>
                <c:pt idx="1773">
                  <c:v>1.7729999999999999</c:v>
                </c:pt>
                <c:pt idx="1774">
                  <c:v>1.774</c:v>
                </c:pt>
                <c:pt idx="1775">
                  <c:v>1.7749999999999999</c:v>
                </c:pt>
                <c:pt idx="1776">
                  <c:v>1.776</c:v>
                </c:pt>
                <c:pt idx="1777">
                  <c:v>1.7769999999999999</c:v>
                </c:pt>
                <c:pt idx="1778">
                  <c:v>1.778</c:v>
                </c:pt>
                <c:pt idx="1779">
                  <c:v>1.7789999999999999</c:v>
                </c:pt>
                <c:pt idx="1780">
                  <c:v>1.78</c:v>
                </c:pt>
                <c:pt idx="1781">
                  <c:v>1.7809999999999999</c:v>
                </c:pt>
                <c:pt idx="1782">
                  <c:v>1.782</c:v>
                </c:pt>
                <c:pt idx="1783">
                  <c:v>1.7829999999999999</c:v>
                </c:pt>
                <c:pt idx="1784">
                  <c:v>1.784</c:v>
                </c:pt>
                <c:pt idx="1785">
                  <c:v>1.7849999999999999</c:v>
                </c:pt>
                <c:pt idx="1786">
                  <c:v>1.786</c:v>
                </c:pt>
                <c:pt idx="1787">
                  <c:v>1.7869999999999999</c:v>
                </c:pt>
                <c:pt idx="1788">
                  <c:v>1.788</c:v>
                </c:pt>
                <c:pt idx="1789">
                  <c:v>1.7889999999999999</c:v>
                </c:pt>
                <c:pt idx="1790">
                  <c:v>1.79</c:v>
                </c:pt>
                <c:pt idx="1791">
                  <c:v>1.7909999999999999</c:v>
                </c:pt>
                <c:pt idx="1792">
                  <c:v>1.792</c:v>
                </c:pt>
                <c:pt idx="1793">
                  <c:v>1.7929999999999999</c:v>
                </c:pt>
                <c:pt idx="1794">
                  <c:v>1.794</c:v>
                </c:pt>
                <c:pt idx="1795">
                  <c:v>1.7949999999999999</c:v>
                </c:pt>
                <c:pt idx="1796">
                  <c:v>1.796</c:v>
                </c:pt>
                <c:pt idx="1797">
                  <c:v>1.7969999999999999</c:v>
                </c:pt>
                <c:pt idx="1798">
                  <c:v>1.798</c:v>
                </c:pt>
                <c:pt idx="1799">
                  <c:v>1.7989999999999999</c:v>
                </c:pt>
                <c:pt idx="1800">
                  <c:v>1.8</c:v>
                </c:pt>
                <c:pt idx="1801">
                  <c:v>1.8009999999999999</c:v>
                </c:pt>
                <c:pt idx="1802">
                  <c:v>1.802</c:v>
                </c:pt>
                <c:pt idx="1803">
                  <c:v>1.8029999999999999</c:v>
                </c:pt>
                <c:pt idx="1804">
                  <c:v>1.804</c:v>
                </c:pt>
                <c:pt idx="1805">
                  <c:v>1.8049999999999999</c:v>
                </c:pt>
                <c:pt idx="1806">
                  <c:v>1.806</c:v>
                </c:pt>
                <c:pt idx="1807">
                  <c:v>1.8069999999999999</c:v>
                </c:pt>
                <c:pt idx="1808">
                  <c:v>1.8080000000000001</c:v>
                </c:pt>
                <c:pt idx="1809">
                  <c:v>1.8089999999999999</c:v>
                </c:pt>
                <c:pt idx="1810">
                  <c:v>1.81</c:v>
                </c:pt>
                <c:pt idx="1811">
                  <c:v>1.8109999999999999</c:v>
                </c:pt>
                <c:pt idx="1812">
                  <c:v>1.8120000000000001</c:v>
                </c:pt>
                <c:pt idx="1813">
                  <c:v>1.8129999999999999</c:v>
                </c:pt>
                <c:pt idx="1814">
                  <c:v>1.8140000000000001</c:v>
                </c:pt>
                <c:pt idx="1815">
                  <c:v>1.8149999999999999</c:v>
                </c:pt>
                <c:pt idx="1816">
                  <c:v>1.8160000000000001</c:v>
                </c:pt>
                <c:pt idx="1817">
                  <c:v>1.8169999999999999</c:v>
                </c:pt>
                <c:pt idx="1818">
                  <c:v>1.8180000000000001</c:v>
                </c:pt>
                <c:pt idx="1819">
                  <c:v>1.819</c:v>
                </c:pt>
                <c:pt idx="1820">
                  <c:v>1.82</c:v>
                </c:pt>
                <c:pt idx="1821">
                  <c:v>1.821</c:v>
                </c:pt>
                <c:pt idx="1822">
                  <c:v>1.8220000000000001</c:v>
                </c:pt>
                <c:pt idx="1823">
                  <c:v>1.823</c:v>
                </c:pt>
                <c:pt idx="1824">
                  <c:v>1.8240000000000001</c:v>
                </c:pt>
                <c:pt idx="1825">
                  <c:v>1.825</c:v>
                </c:pt>
                <c:pt idx="1826">
                  <c:v>1.8260000000000001</c:v>
                </c:pt>
                <c:pt idx="1827">
                  <c:v>1.827</c:v>
                </c:pt>
                <c:pt idx="1828">
                  <c:v>1.8280000000000001</c:v>
                </c:pt>
                <c:pt idx="1829">
                  <c:v>1.829</c:v>
                </c:pt>
                <c:pt idx="1830">
                  <c:v>1.83</c:v>
                </c:pt>
                <c:pt idx="1831">
                  <c:v>1.831</c:v>
                </c:pt>
                <c:pt idx="1832">
                  <c:v>1.8320000000000001</c:v>
                </c:pt>
                <c:pt idx="1833">
                  <c:v>1.833</c:v>
                </c:pt>
                <c:pt idx="1834">
                  <c:v>1.8340000000000001</c:v>
                </c:pt>
                <c:pt idx="1835">
                  <c:v>1.835</c:v>
                </c:pt>
                <c:pt idx="1836">
                  <c:v>1.8360000000000001</c:v>
                </c:pt>
                <c:pt idx="1837">
                  <c:v>1.837</c:v>
                </c:pt>
                <c:pt idx="1838">
                  <c:v>1.8380000000000001</c:v>
                </c:pt>
                <c:pt idx="1839">
                  <c:v>1.839</c:v>
                </c:pt>
                <c:pt idx="1840">
                  <c:v>1.84</c:v>
                </c:pt>
                <c:pt idx="1841">
                  <c:v>1.841</c:v>
                </c:pt>
                <c:pt idx="1842">
                  <c:v>1.8420000000000001</c:v>
                </c:pt>
                <c:pt idx="1843">
                  <c:v>1.843</c:v>
                </c:pt>
                <c:pt idx="1844">
                  <c:v>1.8440000000000001</c:v>
                </c:pt>
                <c:pt idx="1845">
                  <c:v>1.845</c:v>
                </c:pt>
                <c:pt idx="1846">
                  <c:v>1.8460000000000001</c:v>
                </c:pt>
                <c:pt idx="1847">
                  <c:v>1.847</c:v>
                </c:pt>
                <c:pt idx="1848">
                  <c:v>1.8480000000000001</c:v>
                </c:pt>
                <c:pt idx="1849">
                  <c:v>1.849</c:v>
                </c:pt>
                <c:pt idx="1850">
                  <c:v>1.85</c:v>
                </c:pt>
                <c:pt idx="1851">
                  <c:v>1.851</c:v>
                </c:pt>
                <c:pt idx="1852">
                  <c:v>1.8520000000000001</c:v>
                </c:pt>
                <c:pt idx="1853">
                  <c:v>1.853</c:v>
                </c:pt>
                <c:pt idx="1854">
                  <c:v>1.8540000000000001</c:v>
                </c:pt>
                <c:pt idx="1855">
                  <c:v>1.855</c:v>
                </c:pt>
                <c:pt idx="1856">
                  <c:v>1.8560000000000001</c:v>
                </c:pt>
                <c:pt idx="1857">
                  <c:v>1.857</c:v>
                </c:pt>
                <c:pt idx="1858">
                  <c:v>1.8580000000000001</c:v>
                </c:pt>
                <c:pt idx="1859">
                  <c:v>1.859</c:v>
                </c:pt>
                <c:pt idx="1860">
                  <c:v>1.86</c:v>
                </c:pt>
                <c:pt idx="1861">
                  <c:v>1.861</c:v>
                </c:pt>
                <c:pt idx="1862">
                  <c:v>1.8620000000000001</c:v>
                </c:pt>
                <c:pt idx="1863">
                  <c:v>1.863</c:v>
                </c:pt>
                <c:pt idx="1864">
                  <c:v>1.8640000000000001</c:v>
                </c:pt>
                <c:pt idx="1865">
                  <c:v>1.865</c:v>
                </c:pt>
                <c:pt idx="1866">
                  <c:v>1.8660000000000001</c:v>
                </c:pt>
                <c:pt idx="1867">
                  <c:v>1.867</c:v>
                </c:pt>
                <c:pt idx="1868">
                  <c:v>1.8680000000000001</c:v>
                </c:pt>
                <c:pt idx="1869">
                  <c:v>1.869</c:v>
                </c:pt>
                <c:pt idx="1870">
                  <c:v>1.87</c:v>
                </c:pt>
                <c:pt idx="1871">
                  <c:v>1.871</c:v>
                </c:pt>
                <c:pt idx="1872">
                  <c:v>1.8720000000000001</c:v>
                </c:pt>
                <c:pt idx="1873">
                  <c:v>1.873</c:v>
                </c:pt>
                <c:pt idx="1874">
                  <c:v>1.8740000000000001</c:v>
                </c:pt>
                <c:pt idx="1875">
                  <c:v>1.875</c:v>
                </c:pt>
                <c:pt idx="1876">
                  <c:v>1.8759999999999999</c:v>
                </c:pt>
                <c:pt idx="1877">
                  <c:v>1.877</c:v>
                </c:pt>
                <c:pt idx="1878">
                  <c:v>1.8779999999999999</c:v>
                </c:pt>
                <c:pt idx="1879">
                  <c:v>1.879</c:v>
                </c:pt>
                <c:pt idx="1880">
                  <c:v>1.88</c:v>
                </c:pt>
                <c:pt idx="1881">
                  <c:v>1.881</c:v>
                </c:pt>
                <c:pt idx="1882">
                  <c:v>1.8819999999999999</c:v>
                </c:pt>
                <c:pt idx="1883">
                  <c:v>1.883</c:v>
                </c:pt>
                <c:pt idx="1884">
                  <c:v>1.8839999999999999</c:v>
                </c:pt>
                <c:pt idx="1885">
                  <c:v>1.885</c:v>
                </c:pt>
                <c:pt idx="1886">
                  <c:v>1.8859999999999999</c:v>
                </c:pt>
                <c:pt idx="1887">
                  <c:v>1.887</c:v>
                </c:pt>
                <c:pt idx="1888">
                  <c:v>1.8879999999999999</c:v>
                </c:pt>
                <c:pt idx="1889">
                  <c:v>1.889</c:v>
                </c:pt>
                <c:pt idx="1890">
                  <c:v>1.89</c:v>
                </c:pt>
                <c:pt idx="1891">
                  <c:v>1.891</c:v>
                </c:pt>
                <c:pt idx="1892">
                  <c:v>1.8919999999999999</c:v>
                </c:pt>
                <c:pt idx="1893">
                  <c:v>1.893</c:v>
                </c:pt>
                <c:pt idx="1894">
                  <c:v>1.8939999999999999</c:v>
                </c:pt>
                <c:pt idx="1895">
                  <c:v>1.895</c:v>
                </c:pt>
                <c:pt idx="1896">
                  <c:v>1.8959999999999999</c:v>
                </c:pt>
                <c:pt idx="1897">
                  <c:v>1.897</c:v>
                </c:pt>
                <c:pt idx="1898">
                  <c:v>1.8979999999999999</c:v>
                </c:pt>
                <c:pt idx="1899">
                  <c:v>1.899</c:v>
                </c:pt>
                <c:pt idx="1900">
                  <c:v>1.9</c:v>
                </c:pt>
                <c:pt idx="1901">
                  <c:v>1.901</c:v>
                </c:pt>
                <c:pt idx="1902">
                  <c:v>1.9019999999999999</c:v>
                </c:pt>
                <c:pt idx="1903">
                  <c:v>1.903</c:v>
                </c:pt>
                <c:pt idx="1904">
                  <c:v>1.9039999999999999</c:v>
                </c:pt>
                <c:pt idx="1905">
                  <c:v>1.905</c:v>
                </c:pt>
                <c:pt idx="1906">
                  <c:v>1.9059999999999999</c:v>
                </c:pt>
                <c:pt idx="1907">
                  <c:v>1.907</c:v>
                </c:pt>
                <c:pt idx="1908">
                  <c:v>1.9079999999999999</c:v>
                </c:pt>
                <c:pt idx="1909">
                  <c:v>1.909</c:v>
                </c:pt>
                <c:pt idx="1910">
                  <c:v>1.91</c:v>
                </c:pt>
                <c:pt idx="1911">
                  <c:v>1.911</c:v>
                </c:pt>
                <c:pt idx="1912">
                  <c:v>1.9119999999999999</c:v>
                </c:pt>
                <c:pt idx="1913">
                  <c:v>1.913</c:v>
                </c:pt>
                <c:pt idx="1914">
                  <c:v>1.9139999999999999</c:v>
                </c:pt>
                <c:pt idx="1915">
                  <c:v>1.915</c:v>
                </c:pt>
                <c:pt idx="1916">
                  <c:v>1.9159999999999999</c:v>
                </c:pt>
                <c:pt idx="1917">
                  <c:v>1.917</c:v>
                </c:pt>
                <c:pt idx="1918">
                  <c:v>1.9179999999999999</c:v>
                </c:pt>
                <c:pt idx="1919">
                  <c:v>1.919</c:v>
                </c:pt>
                <c:pt idx="1920">
                  <c:v>1.92</c:v>
                </c:pt>
                <c:pt idx="1921">
                  <c:v>1.921</c:v>
                </c:pt>
                <c:pt idx="1922">
                  <c:v>1.9219999999999999</c:v>
                </c:pt>
                <c:pt idx="1923">
                  <c:v>1.923</c:v>
                </c:pt>
                <c:pt idx="1924">
                  <c:v>1.9239999999999999</c:v>
                </c:pt>
                <c:pt idx="1925">
                  <c:v>1.925</c:v>
                </c:pt>
                <c:pt idx="1926">
                  <c:v>1.9259999999999999</c:v>
                </c:pt>
                <c:pt idx="1927">
                  <c:v>1.927</c:v>
                </c:pt>
                <c:pt idx="1928">
                  <c:v>1.9279999999999999</c:v>
                </c:pt>
                <c:pt idx="1929">
                  <c:v>1.929</c:v>
                </c:pt>
                <c:pt idx="1930">
                  <c:v>1.93</c:v>
                </c:pt>
                <c:pt idx="1931">
                  <c:v>1.931</c:v>
                </c:pt>
                <c:pt idx="1932">
                  <c:v>1.9319999999999999</c:v>
                </c:pt>
                <c:pt idx="1933">
                  <c:v>1.9330000000000001</c:v>
                </c:pt>
                <c:pt idx="1934">
                  <c:v>1.9339999999999999</c:v>
                </c:pt>
                <c:pt idx="1935">
                  <c:v>1.9350000000000001</c:v>
                </c:pt>
                <c:pt idx="1936">
                  <c:v>1.9359999999999999</c:v>
                </c:pt>
                <c:pt idx="1937">
                  <c:v>1.9370000000000001</c:v>
                </c:pt>
                <c:pt idx="1938">
                  <c:v>1.9379999999999999</c:v>
                </c:pt>
                <c:pt idx="1939">
                  <c:v>1.9390000000000001</c:v>
                </c:pt>
                <c:pt idx="1940">
                  <c:v>1.94</c:v>
                </c:pt>
                <c:pt idx="1941">
                  <c:v>1.9410000000000001</c:v>
                </c:pt>
                <c:pt idx="1942">
                  <c:v>1.9419999999999999</c:v>
                </c:pt>
                <c:pt idx="1943">
                  <c:v>1.9430000000000001</c:v>
                </c:pt>
                <c:pt idx="1944">
                  <c:v>1.944</c:v>
                </c:pt>
                <c:pt idx="1945">
                  <c:v>1.9450000000000001</c:v>
                </c:pt>
                <c:pt idx="1946">
                  <c:v>1.946</c:v>
                </c:pt>
                <c:pt idx="1947">
                  <c:v>1.9470000000000001</c:v>
                </c:pt>
                <c:pt idx="1948">
                  <c:v>1.948</c:v>
                </c:pt>
                <c:pt idx="1949">
                  <c:v>1.9490000000000001</c:v>
                </c:pt>
                <c:pt idx="1950">
                  <c:v>1.95</c:v>
                </c:pt>
                <c:pt idx="1951">
                  <c:v>1.9510000000000001</c:v>
                </c:pt>
                <c:pt idx="1952">
                  <c:v>1.952</c:v>
                </c:pt>
                <c:pt idx="1953">
                  <c:v>1.9530000000000001</c:v>
                </c:pt>
                <c:pt idx="1954">
                  <c:v>1.954</c:v>
                </c:pt>
                <c:pt idx="1955">
                  <c:v>1.9550000000000001</c:v>
                </c:pt>
                <c:pt idx="1956">
                  <c:v>1.956</c:v>
                </c:pt>
                <c:pt idx="1957">
                  <c:v>1.9570000000000001</c:v>
                </c:pt>
                <c:pt idx="1958">
                  <c:v>1.958</c:v>
                </c:pt>
                <c:pt idx="1959">
                  <c:v>1.9590000000000001</c:v>
                </c:pt>
                <c:pt idx="1960">
                  <c:v>1.96</c:v>
                </c:pt>
                <c:pt idx="1961">
                  <c:v>1.9610000000000001</c:v>
                </c:pt>
                <c:pt idx="1962">
                  <c:v>1.962</c:v>
                </c:pt>
                <c:pt idx="1963">
                  <c:v>1.9630000000000001</c:v>
                </c:pt>
                <c:pt idx="1964">
                  <c:v>1.964</c:v>
                </c:pt>
                <c:pt idx="1965">
                  <c:v>1.9650000000000001</c:v>
                </c:pt>
                <c:pt idx="1966">
                  <c:v>1.966</c:v>
                </c:pt>
                <c:pt idx="1967">
                  <c:v>1.9670000000000001</c:v>
                </c:pt>
                <c:pt idx="1968">
                  <c:v>1.968</c:v>
                </c:pt>
                <c:pt idx="1969">
                  <c:v>1.9690000000000001</c:v>
                </c:pt>
                <c:pt idx="1970">
                  <c:v>1.97</c:v>
                </c:pt>
                <c:pt idx="1971">
                  <c:v>1.9710000000000001</c:v>
                </c:pt>
                <c:pt idx="1972">
                  <c:v>1.972</c:v>
                </c:pt>
                <c:pt idx="1973">
                  <c:v>1.9730000000000001</c:v>
                </c:pt>
                <c:pt idx="1974">
                  <c:v>1.974</c:v>
                </c:pt>
                <c:pt idx="1975">
                  <c:v>1.9750000000000001</c:v>
                </c:pt>
                <c:pt idx="1976">
                  <c:v>1.976</c:v>
                </c:pt>
                <c:pt idx="1977">
                  <c:v>1.9770000000000001</c:v>
                </c:pt>
                <c:pt idx="1978">
                  <c:v>1.978</c:v>
                </c:pt>
                <c:pt idx="1979">
                  <c:v>1.9790000000000001</c:v>
                </c:pt>
                <c:pt idx="1980">
                  <c:v>1.98</c:v>
                </c:pt>
                <c:pt idx="1981">
                  <c:v>1.9810000000000001</c:v>
                </c:pt>
                <c:pt idx="1982">
                  <c:v>1.982</c:v>
                </c:pt>
                <c:pt idx="1983">
                  <c:v>1.9830000000000001</c:v>
                </c:pt>
                <c:pt idx="1984">
                  <c:v>1.984</c:v>
                </c:pt>
                <c:pt idx="1985">
                  <c:v>1.9850000000000001</c:v>
                </c:pt>
                <c:pt idx="1986">
                  <c:v>1.986</c:v>
                </c:pt>
                <c:pt idx="1987">
                  <c:v>1.9870000000000001</c:v>
                </c:pt>
                <c:pt idx="1988">
                  <c:v>1.988</c:v>
                </c:pt>
                <c:pt idx="1989">
                  <c:v>1.9890000000000001</c:v>
                </c:pt>
                <c:pt idx="1990">
                  <c:v>1.99</c:v>
                </c:pt>
                <c:pt idx="1991">
                  <c:v>1.9910000000000001</c:v>
                </c:pt>
                <c:pt idx="1992">
                  <c:v>1.992</c:v>
                </c:pt>
                <c:pt idx="1993">
                  <c:v>1.9930000000000001</c:v>
                </c:pt>
                <c:pt idx="1994">
                  <c:v>1.994</c:v>
                </c:pt>
                <c:pt idx="1995">
                  <c:v>1.9950000000000001</c:v>
                </c:pt>
                <c:pt idx="1996">
                  <c:v>1.996</c:v>
                </c:pt>
                <c:pt idx="1997">
                  <c:v>1.9970000000000001</c:v>
                </c:pt>
                <c:pt idx="1998">
                  <c:v>1.998</c:v>
                </c:pt>
                <c:pt idx="1999">
                  <c:v>1.9990000000000001</c:v>
                </c:pt>
                <c:pt idx="2000">
                  <c:v>2</c:v>
                </c:pt>
                <c:pt idx="2001">
                  <c:v>2.0009999999999999</c:v>
                </c:pt>
                <c:pt idx="2002">
                  <c:v>2.0019999999999998</c:v>
                </c:pt>
                <c:pt idx="2003">
                  <c:v>2.0030000000000001</c:v>
                </c:pt>
                <c:pt idx="2004">
                  <c:v>2.004</c:v>
                </c:pt>
                <c:pt idx="2005">
                  <c:v>2.0049999999999999</c:v>
                </c:pt>
                <c:pt idx="2006">
                  <c:v>2.0059999999999998</c:v>
                </c:pt>
                <c:pt idx="2007">
                  <c:v>2.0070000000000001</c:v>
                </c:pt>
                <c:pt idx="2008">
                  <c:v>2.008</c:v>
                </c:pt>
                <c:pt idx="2009">
                  <c:v>2.0089999999999999</c:v>
                </c:pt>
                <c:pt idx="2010">
                  <c:v>2.0099999999999998</c:v>
                </c:pt>
                <c:pt idx="2011">
                  <c:v>2.0110000000000001</c:v>
                </c:pt>
                <c:pt idx="2012">
                  <c:v>2.012</c:v>
                </c:pt>
                <c:pt idx="2013">
                  <c:v>2.0129999999999999</c:v>
                </c:pt>
                <c:pt idx="2014">
                  <c:v>2.0139999999999998</c:v>
                </c:pt>
                <c:pt idx="2015">
                  <c:v>2.0150000000000001</c:v>
                </c:pt>
                <c:pt idx="2016">
                  <c:v>2.016</c:v>
                </c:pt>
                <c:pt idx="2017">
                  <c:v>2.0169999999999999</c:v>
                </c:pt>
                <c:pt idx="2018">
                  <c:v>2.0179999999999998</c:v>
                </c:pt>
                <c:pt idx="2019">
                  <c:v>2.0190000000000001</c:v>
                </c:pt>
                <c:pt idx="2020">
                  <c:v>2.02</c:v>
                </c:pt>
                <c:pt idx="2021">
                  <c:v>2.0209999999999999</c:v>
                </c:pt>
                <c:pt idx="2022">
                  <c:v>2.0219999999999998</c:v>
                </c:pt>
                <c:pt idx="2023">
                  <c:v>2.0230000000000001</c:v>
                </c:pt>
                <c:pt idx="2024">
                  <c:v>2.024</c:v>
                </c:pt>
                <c:pt idx="2025">
                  <c:v>2.0249999999999999</c:v>
                </c:pt>
                <c:pt idx="2026">
                  <c:v>2.0259999999999998</c:v>
                </c:pt>
                <c:pt idx="2027">
                  <c:v>2.0270000000000001</c:v>
                </c:pt>
                <c:pt idx="2028">
                  <c:v>2.028</c:v>
                </c:pt>
                <c:pt idx="2029">
                  <c:v>2.0289999999999999</c:v>
                </c:pt>
                <c:pt idx="2030">
                  <c:v>2.0299999999999998</c:v>
                </c:pt>
                <c:pt idx="2031">
                  <c:v>2.0310000000000001</c:v>
                </c:pt>
                <c:pt idx="2032">
                  <c:v>2.032</c:v>
                </c:pt>
                <c:pt idx="2033">
                  <c:v>2.0329999999999999</c:v>
                </c:pt>
                <c:pt idx="2034">
                  <c:v>2.0339999999999998</c:v>
                </c:pt>
                <c:pt idx="2035">
                  <c:v>2.0350000000000001</c:v>
                </c:pt>
                <c:pt idx="2036">
                  <c:v>2.036</c:v>
                </c:pt>
                <c:pt idx="2037">
                  <c:v>2.0369999999999999</c:v>
                </c:pt>
                <c:pt idx="2038">
                  <c:v>2.0379999999999998</c:v>
                </c:pt>
                <c:pt idx="2039">
                  <c:v>2.0390000000000001</c:v>
                </c:pt>
                <c:pt idx="2040">
                  <c:v>2.04</c:v>
                </c:pt>
                <c:pt idx="2041">
                  <c:v>2.0409999999999999</c:v>
                </c:pt>
                <c:pt idx="2042">
                  <c:v>2.0419999999999998</c:v>
                </c:pt>
                <c:pt idx="2043">
                  <c:v>2.0430000000000001</c:v>
                </c:pt>
                <c:pt idx="2044">
                  <c:v>2.044</c:v>
                </c:pt>
                <c:pt idx="2045">
                  <c:v>2.0449999999999999</c:v>
                </c:pt>
                <c:pt idx="2046">
                  <c:v>2.0459999999999998</c:v>
                </c:pt>
                <c:pt idx="2047">
                  <c:v>2.0470000000000002</c:v>
                </c:pt>
                <c:pt idx="2048">
                  <c:v>2.048</c:v>
                </c:pt>
                <c:pt idx="2049">
                  <c:v>2.0489999999999999</c:v>
                </c:pt>
                <c:pt idx="2050">
                  <c:v>2.0499999999999998</c:v>
                </c:pt>
                <c:pt idx="2051">
                  <c:v>2.0510000000000002</c:v>
                </c:pt>
                <c:pt idx="2052">
                  <c:v>2.052</c:v>
                </c:pt>
                <c:pt idx="2053">
                  <c:v>2.0529999999999999</c:v>
                </c:pt>
                <c:pt idx="2054">
                  <c:v>2.0539999999999998</c:v>
                </c:pt>
                <c:pt idx="2055">
                  <c:v>2.0550000000000002</c:v>
                </c:pt>
                <c:pt idx="2056">
                  <c:v>2.056</c:v>
                </c:pt>
                <c:pt idx="2057">
                  <c:v>2.0569999999999999</c:v>
                </c:pt>
                <c:pt idx="2058">
                  <c:v>2.0579999999999998</c:v>
                </c:pt>
                <c:pt idx="2059">
                  <c:v>2.0590000000000002</c:v>
                </c:pt>
                <c:pt idx="2060">
                  <c:v>2.06</c:v>
                </c:pt>
                <c:pt idx="2061">
                  <c:v>2.0609999999999999</c:v>
                </c:pt>
                <c:pt idx="2062">
                  <c:v>2.0619999999999998</c:v>
                </c:pt>
                <c:pt idx="2063">
                  <c:v>2.0630000000000002</c:v>
                </c:pt>
                <c:pt idx="2064">
                  <c:v>2.0640000000000001</c:v>
                </c:pt>
                <c:pt idx="2065">
                  <c:v>2.0649999999999999</c:v>
                </c:pt>
                <c:pt idx="2066">
                  <c:v>2.0659999999999998</c:v>
                </c:pt>
                <c:pt idx="2067">
                  <c:v>2.0670000000000002</c:v>
                </c:pt>
                <c:pt idx="2068">
                  <c:v>2.0680000000000001</c:v>
                </c:pt>
                <c:pt idx="2069">
                  <c:v>2.069</c:v>
                </c:pt>
                <c:pt idx="2070">
                  <c:v>2.0699999999999998</c:v>
                </c:pt>
                <c:pt idx="2071">
                  <c:v>2.0710000000000002</c:v>
                </c:pt>
                <c:pt idx="2072">
                  <c:v>2.0720000000000001</c:v>
                </c:pt>
                <c:pt idx="2073">
                  <c:v>2.073</c:v>
                </c:pt>
                <c:pt idx="2074">
                  <c:v>2.0739999999999998</c:v>
                </c:pt>
                <c:pt idx="2075">
                  <c:v>2.0750000000000002</c:v>
                </c:pt>
                <c:pt idx="2076">
                  <c:v>2.0760000000000001</c:v>
                </c:pt>
                <c:pt idx="2077">
                  <c:v>2.077</c:v>
                </c:pt>
                <c:pt idx="2078">
                  <c:v>2.0779999999999998</c:v>
                </c:pt>
                <c:pt idx="2079">
                  <c:v>2.0790000000000002</c:v>
                </c:pt>
                <c:pt idx="2080">
                  <c:v>2.08</c:v>
                </c:pt>
                <c:pt idx="2081">
                  <c:v>2.081</c:v>
                </c:pt>
                <c:pt idx="2082">
                  <c:v>2.0819999999999999</c:v>
                </c:pt>
                <c:pt idx="2083">
                  <c:v>2.0830000000000002</c:v>
                </c:pt>
                <c:pt idx="2084">
                  <c:v>2.0840000000000001</c:v>
                </c:pt>
                <c:pt idx="2085">
                  <c:v>2.085</c:v>
                </c:pt>
                <c:pt idx="2086">
                  <c:v>2.0859999999999999</c:v>
                </c:pt>
                <c:pt idx="2087">
                  <c:v>2.0870000000000002</c:v>
                </c:pt>
                <c:pt idx="2088">
                  <c:v>2.0880000000000001</c:v>
                </c:pt>
                <c:pt idx="2089">
                  <c:v>2.089</c:v>
                </c:pt>
                <c:pt idx="2090">
                  <c:v>2.09</c:v>
                </c:pt>
                <c:pt idx="2091">
                  <c:v>2.0910000000000002</c:v>
                </c:pt>
                <c:pt idx="2092">
                  <c:v>2.0920000000000001</c:v>
                </c:pt>
                <c:pt idx="2093">
                  <c:v>2.093</c:v>
                </c:pt>
                <c:pt idx="2094">
                  <c:v>2.0939999999999999</c:v>
                </c:pt>
                <c:pt idx="2095">
                  <c:v>2.0950000000000002</c:v>
                </c:pt>
                <c:pt idx="2096">
                  <c:v>2.0960000000000001</c:v>
                </c:pt>
                <c:pt idx="2097">
                  <c:v>2.097</c:v>
                </c:pt>
                <c:pt idx="2098">
                  <c:v>2.0979999999999999</c:v>
                </c:pt>
                <c:pt idx="2099">
                  <c:v>2.0990000000000002</c:v>
                </c:pt>
                <c:pt idx="2100">
                  <c:v>2.1</c:v>
                </c:pt>
                <c:pt idx="2101">
                  <c:v>2.101</c:v>
                </c:pt>
                <c:pt idx="2102">
                  <c:v>2.1019999999999999</c:v>
                </c:pt>
                <c:pt idx="2103">
                  <c:v>2.1030000000000002</c:v>
                </c:pt>
                <c:pt idx="2104">
                  <c:v>2.1040000000000001</c:v>
                </c:pt>
                <c:pt idx="2105">
                  <c:v>2.105</c:v>
                </c:pt>
                <c:pt idx="2106">
                  <c:v>2.1059999999999999</c:v>
                </c:pt>
                <c:pt idx="2107">
                  <c:v>2.1070000000000002</c:v>
                </c:pt>
                <c:pt idx="2108">
                  <c:v>2.1080000000000001</c:v>
                </c:pt>
                <c:pt idx="2109">
                  <c:v>2.109</c:v>
                </c:pt>
                <c:pt idx="2110">
                  <c:v>2.11</c:v>
                </c:pt>
                <c:pt idx="2111">
                  <c:v>2.1110000000000002</c:v>
                </c:pt>
                <c:pt idx="2112">
                  <c:v>2.1120000000000001</c:v>
                </c:pt>
                <c:pt idx="2113">
                  <c:v>2.113</c:v>
                </c:pt>
                <c:pt idx="2114">
                  <c:v>2.1139999999999999</c:v>
                </c:pt>
                <c:pt idx="2115">
                  <c:v>2.1150000000000002</c:v>
                </c:pt>
                <c:pt idx="2116">
                  <c:v>2.1160000000000001</c:v>
                </c:pt>
                <c:pt idx="2117">
                  <c:v>2.117</c:v>
                </c:pt>
                <c:pt idx="2118">
                  <c:v>2.1179999999999999</c:v>
                </c:pt>
                <c:pt idx="2119">
                  <c:v>2.1190000000000002</c:v>
                </c:pt>
                <c:pt idx="2120">
                  <c:v>2.12</c:v>
                </c:pt>
                <c:pt idx="2121">
                  <c:v>2.121</c:v>
                </c:pt>
                <c:pt idx="2122">
                  <c:v>2.1219999999999999</c:v>
                </c:pt>
                <c:pt idx="2123">
                  <c:v>2.1230000000000002</c:v>
                </c:pt>
                <c:pt idx="2124">
                  <c:v>2.1240000000000001</c:v>
                </c:pt>
                <c:pt idx="2125">
                  <c:v>2.125</c:v>
                </c:pt>
                <c:pt idx="2126">
                  <c:v>2.1259999999999999</c:v>
                </c:pt>
                <c:pt idx="2127">
                  <c:v>2.1269999999999998</c:v>
                </c:pt>
                <c:pt idx="2128">
                  <c:v>2.1280000000000001</c:v>
                </c:pt>
                <c:pt idx="2129">
                  <c:v>2.129</c:v>
                </c:pt>
                <c:pt idx="2130">
                  <c:v>2.13</c:v>
                </c:pt>
                <c:pt idx="2131">
                  <c:v>2.1309999999999998</c:v>
                </c:pt>
                <c:pt idx="2132">
                  <c:v>2.1320000000000001</c:v>
                </c:pt>
                <c:pt idx="2133">
                  <c:v>2.133</c:v>
                </c:pt>
                <c:pt idx="2134">
                  <c:v>2.1339999999999999</c:v>
                </c:pt>
                <c:pt idx="2135">
                  <c:v>2.1349999999999998</c:v>
                </c:pt>
                <c:pt idx="2136">
                  <c:v>2.1360000000000001</c:v>
                </c:pt>
                <c:pt idx="2137">
                  <c:v>2.137</c:v>
                </c:pt>
                <c:pt idx="2138">
                  <c:v>2.1379999999999999</c:v>
                </c:pt>
                <c:pt idx="2139">
                  <c:v>2.1389999999999998</c:v>
                </c:pt>
                <c:pt idx="2140">
                  <c:v>2.14</c:v>
                </c:pt>
                <c:pt idx="2141">
                  <c:v>2.141</c:v>
                </c:pt>
                <c:pt idx="2142">
                  <c:v>2.1419999999999999</c:v>
                </c:pt>
                <c:pt idx="2143">
                  <c:v>2.1429999999999998</c:v>
                </c:pt>
                <c:pt idx="2144">
                  <c:v>2.1440000000000001</c:v>
                </c:pt>
                <c:pt idx="2145">
                  <c:v>2.145</c:v>
                </c:pt>
                <c:pt idx="2146">
                  <c:v>2.1459999999999999</c:v>
                </c:pt>
                <c:pt idx="2147">
                  <c:v>2.1469999999999998</c:v>
                </c:pt>
                <c:pt idx="2148">
                  <c:v>2.1480000000000001</c:v>
                </c:pt>
                <c:pt idx="2149">
                  <c:v>2.149</c:v>
                </c:pt>
                <c:pt idx="2150">
                  <c:v>2.15</c:v>
                </c:pt>
                <c:pt idx="2151">
                  <c:v>2.1509999999999998</c:v>
                </c:pt>
                <c:pt idx="2152">
                  <c:v>2.1520000000000001</c:v>
                </c:pt>
                <c:pt idx="2153">
                  <c:v>2.153</c:v>
                </c:pt>
                <c:pt idx="2154">
                  <c:v>2.1539999999999999</c:v>
                </c:pt>
                <c:pt idx="2155">
                  <c:v>2.1549999999999998</c:v>
                </c:pt>
                <c:pt idx="2156">
                  <c:v>2.1560000000000001</c:v>
                </c:pt>
                <c:pt idx="2157">
                  <c:v>2.157</c:v>
                </c:pt>
                <c:pt idx="2158">
                  <c:v>2.1579999999999999</c:v>
                </c:pt>
                <c:pt idx="2159">
                  <c:v>2.1589999999999998</c:v>
                </c:pt>
                <c:pt idx="2160">
                  <c:v>2.16</c:v>
                </c:pt>
                <c:pt idx="2161">
                  <c:v>2.161</c:v>
                </c:pt>
                <c:pt idx="2162">
                  <c:v>2.1619999999999999</c:v>
                </c:pt>
                <c:pt idx="2163">
                  <c:v>2.1629999999999998</c:v>
                </c:pt>
                <c:pt idx="2164">
                  <c:v>2.1640000000000001</c:v>
                </c:pt>
                <c:pt idx="2165">
                  <c:v>2.165</c:v>
                </c:pt>
                <c:pt idx="2166">
                  <c:v>2.1659999999999999</c:v>
                </c:pt>
                <c:pt idx="2167">
                  <c:v>2.1669999999999998</c:v>
                </c:pt>
                <c:pt idx="2168">
                  <c:v>2.1680000000000001</c:v>
                </c:pt>
                <c:pt idx="2169">
                  <c:v>2.169</c:v>
                </c:pt>
                <c:pt idx="2170">
                  <c:v>2.17</c:v>
                </c:pt>
                <c:pt idx="2171">
                  <c:v>2.1709999999999998</c:v>
                </c:pt>
                <c:pt idx="2172">
                  <c:v>2.1720000000000002</c:v>
                </c:pt>
                <c:pt idx="2173">
                  <c:v>2.173</c:v>
                </c:pt>
                <c:pt idx="2174">
                  <c:v>2.1739999999999999</c:v>
                </c:pt>
                <c:pt idx="2175">
                  <c:v>2.1749999999999998</c:v>
                </c:pt>
                <c:pt idx="2176">
                  <c:v>2.1760000000000002</c:v>
                </c:pt>
                <c:pt idx="2177">
                  <c:v>2.177</c:v>
                </c:pt>
                <c:pt idx="2178">
                  <c:v>2.1779999999999999</c:v>
                </c:pt>
                <c:pt idx="2179">
                  <c:v>2.1789999999999998</c:v>
                </c:pt>
                <c:pt idx="2180">
                  <c:v>2.1800000000000002</c:v>
                </c:pt>
                <c:pt idx="2181">
                  <c:v>2.181</c:v>
                </c:pt>
                <c:pt idx="2182">
                  <c:v>2.1819999999999999</c:v>
                </c:pt>
                <c:pt idx="2183">
                  <c:v>2.1829999999999998</c:v>
                </c:pt>
                <c:pt idx="2184">
                  <c:v>2.1840000000000002</c:v>
                </c:pt>
                <c:pt idx="2185">
                  <c:v>2.1850000000000001</c:v>
                </c:pt>
                <c:pt idx="2186">
                  <c:v>2.1859999999999999</c:v>
                </c:pt>
                <c:pt idx="2187">
                  <c:v>2.1869999999999998</c:v>
                </c:pt>
                <c:pt idx="2188">
                  <c:v>2.1880000000000002</c:v>
                </c:pt>
                <c:pt idx="2189">
                  <c:v>2.1890000000000001</c:v>
                </c:pt>
                <c:pt idx="2190">
                  <c:v>2.19</c:v>
                </c:pt>
                <c:pt idx="2191">
                  <c:v>2.1909999999999998</c:v>
                </c:pt>
                <c:pt idx="2192">
                  <c:v>2.1920000000000002</c:v>
                </c:pt>
                <c:pt idx="2193">
                  <c:v>2.1930000000000001</c:v>
                </c:pt>
                <c:pt idx="2194">
                  <c:v>2.194</c:v>
                </c:pt>
                <c:pt idx="2195">
                  <c:v>2.1949999999999998</c:v>
                </c:pt>
                <c:pt idx="2196">
                  <c:v>2.1960000000000002</c:v>
                </c:pt>
                <c:pt idx="2197">
                  <c:v>2.1970000000000001</c:v>
                </c:pt>
                <c:pt idx="2198">
                  <c:v>2.198</c:v>
                </c:pt>
                <c:pt idx="2199">
                  <c:v>2.1989999999999998</c:v>
                </c:pt>
                <c:pt idx="2200">
                  <c:v>2.2000000000000002</c:v>
                </c:pt>
                <c:pt idx="2201">
                  <c:v>2.2010000000000001</c:v>
                </c:pt>
                <c:pt idx="2202">
                  <c:v>2.202</c:v>
                </c:pt>
                <c:pt idx="2203">
                  <c:v>2.2029999999999998</c:v>
                </c:pt>
                <c:pt idx="2204">
                  <c:v>2.2040000000000002</c:v>
                </c:pt>
                <c:pt idx="2205">
                  <c:v>2.2050000000000001</c:v>
                </c:pt>
                <c:pt idx="2206">
                  <c:v>2.206</c:v>
                </c:pt>
                <c:pt idx="2207">
                  <c:v>2.2069999999999999</c:v>
                </c:pt>
                <c:pt idx="2208">
                  <c:v>2.2080000000000002</c:v>
                </c:pt>
                <c:pt idx="2209">
                  <c:v>2.2090000000000001</c:v>
                </c:pt>
                <c:pt idx="2210">
                  <c:v>2.21</c:v>
                </c:pt>
                <c:pt idx="2211">
                  <c:v>2.2109999999999999</c:v>
                </c:pt>
                <c:pt idx="2212">
                  <c:v>2.2120000000000002</c:v>
                </c:pt>
                <c:pt idx="2213">
                  <c:v>2.2130000000000001</c:v>
                </c:pt>
                <c:pt idx="2214">
                  <c:v>2.214</c:v>
                </c:pt>
                <c:pt idx="2215">
                  <c:v>2.2149999999999999</c:v>
                </c:pt>
                <c:pt idx="2216">
                  <c:v>2.2160000000000002</c:v>
                </c:pt>
                <c:pt idx="2217">
                  <c:v>2.2170000000000001</c:v>
                </c:pt>
                <c:pt idx="2218">
                  <c:v>2.218</c:v>
                </c:pt>
                <c:pt idx="2219">
                  <c:v>2.2189999999999999</c:v>
                </c:pt>
                <c:pt idx="2220">
                  <c:v>2.2200000000000002</c:v>
                </c:pt>
                <c:pt idx="2221">
                  <c:v>2.2210000000000001</c:v>
                </c:pt>
                <c:pt idx="2222">
                  <c:v>2.222</c:v>
                </c:pt>
                <c:pt idx="2223">
                  <c:v>2.2229999999999999</c:v>
                </c:pt>
                <c:pt idx="2224">
                  <c:v>2.2240000000000002</c:v>
                </c:pt>
                <c:pt idx="2225">
                  <c:v>2.2250000000000001</c:v>
                </c:pt>
                <c:pt idx="2226">
                  <c:v>2.226</c:v>
                </c:pt>
                <c:pt idx="2227">
                  <c:v>2.2269999999999999</c:v>
                </c:pt>
                <c:pt idx="2228">
                  <c:v>2.2280000000000002</c:v>
                </c:pt>
                <c:pt idx="2229">
                  <c:v>2.2290000000000001</c:v>
                </c:pt>
                <c:pt idx="2230">
                  <c:v>2.23</c:v>
                </c:pt>
                <c:pt idx="2231">
                  <c:v>2.2309999999999999</c:v>
                </c:pt>
                <c:pt idx="2232">
                  <c:v>2.2320000000000002</c:v>
                </c:pt>
                <c:pt idx="2233">
                  <c:v>2.2330000000000001</c:v>
                </c:pt>
                <c:pt idx="2234">
                  <c:v>2.234</c:v>
                </c:pt>
                <c:pt idx="2235">
                  <c:v>2.2349999999999999</c:v>
                </c:pt>
                <c:pt idx="2236">
                  <c:v>2.2360000000000002</c:v>
                </c:pt>
                <c:pt idx="2237">
                  <c:v>2.2370000000000001</c:v>
                </c:pt>
                <c:pt idx="2238">
                  <c:v>2.238</c:v>
                </c:pt>
                <c:pt idx="2239">
                  <c:v>2.2389999999999999</c:v>
                </c:pt>
                <c:pt idx="2240">
                  <c:v>2.2400000000000002</c:v>
                </c:pt>
                <c:pt idx="2241">
                  <c:v>2.2410000000000001</c:v>
                </c:pt>
                <c:pt idx="2242">
                  <c:v>2.242</c:v>
                </c:pt>
                <c:pt idx="2243">
                  <c:v>2.2429999999999999</c:v>
                </c:pt>
                <c:pt idx="2244">
                  <c:v>2.2440000000000002</c:v>
                </c:pt>
                <c:pt idx="2245">
                  <c:v>2.2450000000000001</c:v>
                </c:pt>
                <c:pt idx="2246">
                  <c:v>2.246</c:v>
                </c:pt>
                <c:pt idx="2247">
                  <c:v>2.2469999999999999</c:v>
                </c:pt>
                <c:pt idx="2248">
                  <c:v>2.2480000000000002</c:v>
                </c:pt>
                <c:pt idx="2249">
                  <c:v>2.2490000000000001</c:v>
                </c:pt>
                <c:pt idx="2250">
                  <c:v>2.25</c:v>
                </c:pt>
                <c:pt idx="2251">
                  <c:v>2.2509999999999999</c:v>
                </c:pt>
                <c:pt idx="2252">
                  <c:v>2.2519999999999998</c:v>
                </c:pt>
                <c:pt idx="2253">
                  <c:v>2.2530000000000001</c:v>
                </c:pt>
                <c:pt idx="2254">
                  <c:v>2.254</c:v>
                </c:pt>
                <c:pt idx="2255">
                  <c:v>2.2549999999999999</c:v>
                </c:pt>
                <c:pt idx="2256">
                  <c:v>2.2559999999999998</c:v>
                </c:pt>
                <c:pt idx="2257">
                  <c:v>2.2570000000000001</c:v>
                </c:pt>
                <c:pt idx="2258">
                  <c:v>2.258</c:v>
                </c:pt>
                <c:pt idx="2259">
                  <c:v>2.2589999999999999</c:v>
                </c:pt>
                <c:pt idx="2260">
                  <c:v>2.2599999999999998</c:v>
                </c:pt>
                <c:pt idx="2261">
                  <c:v>2.2610000000000001</c:v>
                </c:pt>
                <c:pt idx="2262">
                  <c:v>2.262</c:v>
                </c:pt>
                <c:pt idx="2263">
                  <c:v>2.2629999999999999</c:v>
                </c:pt>
                <c:pt idx="2264">
                  <c:v>2.2639999999999998</c:v>
                </c:pt>
                <c:pt idx="2265">
                  <c:v>2.2650000000000001</c:v>
                </c:pt>
                <c:pt idx="2266">
                  <c:v>2.266</c:v>
                </c:pt>
                <c:pt idx="2267">
                  <c:v>2.2669999999999999</c:v>
                </c:pt>
                <c:pt idx="2268">
                  <c:v>2.2679999999999998</c:v>
                </c:pt>
                <c:pt idx="2269">
                  <c:v>2.2690000000000001</c:v>
                </c:pt>
                <c:pt idx="2270">
                  <c:v>2.27</c:v>
                </c:pt>
                <c:pt idx="2271">
                  <c:v>2.2709999999999999</c:v>
                </c:pt>
                <c:pt idx="2272">
                  <c:v>2.2719999999999998</c:v>
                </c:pt>
                <c:pt idx="2273">
                  <c:v>2.2730000000000001</c:v>
                </c:pt>
                <c:pt idx="2274">
                  <c:v>2.274</c:v>
                </c:pt>
                <c:pt idx="2275">
                  <c:v>2.2749999999999999</c:v>
                </c:pt>
                <c:pt idx="2276">
                  <c:v>2.2759999999999998</c:v>
                </c:pt>
                <c:pt idx="2277">
                  <c:v>2.2770000000000001</c:v>
                </c:pt>
                <c:pt idx="2278">
                  <c:v>2.278</c:v>
                </c:pt>
                <c:pt idx="2279">
                  <c:v>2.2789999999999999</c:v>
                </c:pt>
                <c:pt idx="2280">
                  <c:v>2.2799999999999998</c:v>
                </c:pt>
                <c:pt idx="2281">
                  <c:v>2.2810000000000001</c:v>
                </c:pt>
                <c:pt idx="2282">
                  <c:v>2.282</c:v>
                </c:pt>
                <c:pt idx="2283">
                  <c:v>2.2829999999999999</c:v>
                </c:pt>
                <c:pt idx="2284">
                  <c:v>2.2839999999999998</c:v>
                </c:pt>
                <c:pt idx="2285">
                  <c:v>2.2850000000000001</c:v>
                </c:pt>
                <c:pt idx="2286">
                  <c:v>2.286</c:v>
                </c:pt>
                <c:pt idx="2287">
                  <c:v>2.2869999999999999</c:v>
                </c:pt>
                <c:pt idx="2288">
                  <c:v>2.2879999999999998</c:v>
                </c:pt>
                <c:pt idx="2289">
                  <c:v>2.2890000000000001</c:v>
                </c:pt>
                <c:pt idx="2290">
                  <c:v>2.29</c:v>
                </c:pt>
                <c:pt idx="2291">
                  <c:v>2.2909999999999999</c:v>
                </c:pt>
                <c:pt idx="2292">
                  <c:v>2.2919999999999998</c:v>
                </c:pt>
                <c:pt idx="2293">
                  <c:v>2.2930000000000001</c:v>
                </c:pt>
                <c:pt idx="2294">
                  <c:v>2.294</c:v>
                </c:pt>
                <c:pt idx="2295">
                  <c:v>2.2949999999999999</c:v>
                </c:pt>
                <c:pt idx="2296">
                  <c:v>2.2959999999999998</c:v>
                </c:pt>
                <c:pt idx="2297">
                  <c:v>2.2970000000000002</c:v>
                </c:pt>
                <c:pt idx="2298">
                  <c:v>2.298</c:v>
                </c:pt>
                <c:pt idx="2299">
                  <c:v>2.2989999999999999</c:v>
                </c:pt>
                <c:pt idx="2300">
                  <c:v>2.2999999999999998</c:v>
                </c:pt>
                <c:pt idx="2301">
                  <c:v>2.3010000000000002</c:v>
                </c:pt>
                <c:pt idx="2302">
                  <c:v>2.302</c:v>
                </c:pt>
                <c:pt idx="2303">
                  <c:v>2.3029999999999999</c:v>
                </c:pt>
                <c:pt idx="2304">
                  <c:v>2.3039999999999998</c:v>
                </c:pt>
                <c:pt idx="2305">
                  <c:v>2.3050000000000002</c:v>
                </c:pt>
                <c:pt idx="2306">
                  <c:v>2.306</c:v>
                </c:pt>
                <c:pt idx="2307">
                  <c:v>2.3069999999999999</c:v>
                </c:pt>
                <c:pt idx="2308">
                  <c:v>2.3079999999999998</c:v>
                </c:pt>
                <c:pt idx="2309">
                  <c:v>2.3090000000000002</c:v>
                </c:pt>
                <c:pt idx="2310">
                  <c:v>2.31</c:v>
                </c:pt>
                <c:pt idx="2311">
                  <c:v>2.3109999999999999</c:v>
                </c:pt>
                <c:pt idx="2312">
                  <c:v>2.3119999999999998</c:v>
                </c:pt>
                <c:pt idx="2313">
                  <c:v>2.3130000000000002</c:v>
                </c:pt>
                <c:pt idx="2314">
                  <c:v>2.3140000000000001</c:v>
                </c:pt>
                <c:pt idx="2315">
                  <c:v>2.3149999999999999</c:v>
                </c:pt>
                <c:pt idx="2316">
                  <c:v>2.3159999999999998</c:v>
                </c:pt>
                <c:pt idx="2317">
                  <c:v>2.3170000000000002</c:v>
                </c:pt>
                <c:pt idx="2318">
                  <c:v>2.3180000000000001</c:v>
                </c:pt>
                <c:pt idx="2319">
                  <c:v>2.319</c:v>
                </c:pt>
                <c:pt idx="2320">
                  <c:v>2.3199999999999998</c:v>
                </c:pt>
                <c:pt idx="2321">
                  <c:v>2.3210000000000002</c:v>
                </c:pt>
                <c:pt idx="2322">
                  <c:v>2.3220000000000001</c:v>
                </c:pt>
                <c:pt idx="2323">
                  <c:v>2.323</c:v>
                </c:pt>
                <c:pt idx="2324">
                  <c:v>2.3239999999999998</c:v>
                </c:pt>
                <c:pt idx="2325">
                  <c:v>2.3250000000000002</c:v>
                </c:pt>
                <c:pt idx="2326">
                  <c:v>2.3260000000000001</c:v>
                </c:pt>
                <c:pt idx="2327">
                  <c:v>2.327</c:v>
                </c:pt>
                <c:pt idx="2328">
                  <c:v>2.3279999999999998</c:v>
                </c:pt>
                <c:pt idx="2329">
                  <c:v>2.3290000000000002</c:v>
                </c:pt>
                <c:pt idx="2330">
                  <c:v>2.33</c:v>
                </c:pt>
                <c:pt idx="2331">
                  <c:v>2.331</c:v>
                </c:pt>
                <c:pt idx="2332">
                  <c:v>2.3319999999999999</c:v>
                </c:pt>
                <c:pt idx="2333">
                  <c:v>2.3330000000000002</c:v>
                </c:pt>
                <c:pt idx="2334">
                  <c:v>2.3340000000000001</c:v>
                </c:pt>
                <c:pt idx="2335">
                  <c:v>2.335</c:v>
                </c:pt>
                <c:pt idx="2336">
                  <c:v>2.3359999999999999</c:v>
                </c:pt>
                <c:pt idx="2337">
                  <c:v>2.3370000000000002</c:v>
                </c:pt>
                <c:pt idx="2338">
                  <c:v>2.3380000000000001</c:v>
                </c:pt>
                <c:pt idx="2339">
                  <c:v>2.339</c:v>
                </c:pt>
                <c:pt idx="2340">
                  <c:v>2.34</c:v>
                </c:pt>
                <c:pt idx="2341">
                  <c:v>2.3410000000000002</c:v>
                </c:pt>
                <c:pt idx="2342">
                  <c:v>2.3420000000000001</c:v>
                </c:pt>
                <c:pt idx="2343">
                  <c:v>2.343</c:v>
                </c:pt>
                <c:pt idx="2344">
                  <c:v>2.3439999999999999</c:v>
                </c:pt>
                <c:pt idx="2345">
                  <c:v>2.3450000000000002</c:v>
                </c:pt>
                <c:pt idx="2346">
                  <c:v>2.3460000000000001</c:v>
                </c:pt>
                <c:pt idx="2347">
                  <c:v>2.347</c:v>
                </c:pt>
                <c:pt idx="2348">
                  <c:v>2.3479999999999999</c:v>
                </c:pt>
                <c:pt idx="2349">
                  <c:v>2.3490000000000002</c:v>
                </c:pt>
                <c:pt idx="2350">
                  <c:v>2.35</c:v>
                </c:pt>
                <c:pt idx="2351">
                  <c:v>2.351</c:v>
                </c:pt>
                <c:pt idx="2352">
                  <c:v>2.3519999999999999</c:v>
                </c:pt>
                <c:pt idx="2353">
                  <c:v>2.3530000000000002</c:v>
                </c:pt>
                <c:pt idx="2354">
                  <c:v>2.3540000000000001</c:v>
                </c:pt>
                <c:pt idx="2355">
                  <c:v>2.355</c:v>
                </c:pt>
                <c:pt idx="2356">
                  <c:v>2.3559999999999999</c:v>
                </c:pt>
                <c:pt idx="2357">
                  <c:v>2.3570000000000002</c:v>
                </c:pt>
                <c:pt idx="2358">
                  <c:v>2.3580000000000001</c:v>
                </c:pt>
                <c:pt idx="2359">
                  <c:v>2.359</c:v>
                </c:pt>
                <c:pt idx="2360">
                  <c:v>2.36</c:v>
                </c:pt>
                <c:pt idx="2361">
                  <c:v>2.3610000000000002</c:v>
                </c:pt>
                <c:pt idx="2362">
                  <c:v>2.3620000000000001</c:v>
                </c:pt>
                <c:pt idx="2363">
                  <c:v>2.363</c:v>
                </c:pt>
                <c:pt idx="2364">
                  <c:v>2.3639999999999999</c:v>
                </c:pt>
                <c:pt idx="2365">
                  <c:v>2.3650000000000002</c:v>
                </c:pt>
                <c:pt idx="2366">
                  <c:v>2.3660000000000001</c:v>
                </c:pt>
                <c:pt idx="2367">
                  <c:v>2.367</c:v>
                </c:pt>
                <c:pt idx="2368">
                  <c:v>2.3679999999999999</c:v>
                </c:pt>
                <c:pt idx="2369">
                  <c:v>2.3690000000000002</c:v>
                </c:pt>
                <c:pt idx="2370">
                  <c:v>2.37</c:v>
                </c:pt>
                <c:pt idx="2371">
                  <c:v>2.371</c:v>
                </c:pt>
                <c:pt idx="2372">
                  <c:v>2.3719999999999999</c:v>
                </c:pt>
                <c:pt idx="2373">
                  <c:v>2.3730000000000002</c:v>
                </c:pt>
                <c:pt idx="2374">
                  <c:v>2.3740000000000001</c:v>
                </c:pt>
                <c:pt idx="2375">
                  <c:v>2.375</c:v>
                </c:pt>
                <c:pt idx="2376">
                  <c:v>2.3759999999999999</c:v>
                </c:pt>
                <c:pt idx="2377">
                  <c:v>2.3769999999999998</c:v>
                </c:pt>
                <c:pt idx="2378">
                  <c:v>2.3780000000000001</c:v>
                </c:pt>
                <c:pt idx="2379">
                  <c:v>2.379</c:v>
                </c:pt>
                <c:pt idx="2380">
                  <c:v>2.38</c:v>
                </c:pt>
                <c:pt idx="2381">
                  <c:v>2.3809999999999998</c:v>
                </c:pt>
                <c:pt idx="2382">
                  <c:v>2.3820000000000001</c:v>
                </c:pt>
                <c:pt idx="2383">
                  <c:v>2.383</c:v>
                </c:pt>
                <c:pt idx="2384">
                  <c:v>2.3839999999999999</c:v>
                </c:pt>
                <c:pt idx="2385">
                  <c:v>2.3849999999999998</c:v>
                </c:pt>
                <c:pt idx="2386">
                  <c:v>2.3860000000000001</c:v>
                </c:pt>
                <c:pt idx="2387">
                  <c:v>2.387</c:v>
                </c:pt>
                <c:pt idx="2388">
                  <c:v>2.3879999999999999</c:v>
                </c:pt>
                <c:pt idx="2389">
                  <c:v>2.3889999999999998</c:v>
                </c:pt>
                <c:pt idx="2390">
                  <c:v>2.39</c:v>
                </c:pt>
                <c:pt idx="2391">
                  <c:v>2.391</c:v>
                </c:pt>
                <c:pt idx="2392">
                  <c:v>2.3919999999999999</c:v>
                </c:pt>
                <c:pt idx="2393">
                  <c:v>2.3929999999999998</c:v>
                </c:pt>
                <c:pt idx="2394">
                  <c:v>2.3940000000000001</c:v>
                </c:pt>
                <c:pt idx="2395">
                  <c:v>2.395</c:v>
                </c:pt>
                <c:pt idx="2396">
                  <c:v>2.3959999999999999</c:v>
                </c:pt>
                <c:pt idx="2397">
                  <c:v>2.3969999999999998</c:v>
                </c:pt>
                <c:pt idx="2398">
                  <c:v>2.3980000000000001</c:v>
                </c:pt>
                <c:pt idx="2399">
                  <c:v>2.399</c:v>
                </c:pt>
                <c:pt idx="2400">
                  <c:v>2.4</c:v>
                </c:pt>
                <c:pt idx="2401">
                  <c:v>2.4009999999999998</c:v>
                </c:pt>
                <c:pt idx="2402">
                  <c:v>2.4020000000000001</c:v>
                </c:pt>
                <c:pt idx="2403">
                  <c:v>2.403</c:v>
                </c:pt>
                <c:pt idx="2404">
                  <c:v>2.4039999999999999</c:v>
                </c:pt>
                <c:pt idx="2405">
                  <c:v>2.4049999999999998</c:v>
                </c:pt>
                <c:pt idx="2406">
                  <c:v>2.4060000000000001</c:v>
                </c:pt>
                <c:pt idx="2407">
                  <c:v>2.407</c:v>
                </c:pt>
                <c:pt idx="2408">
                  <c:v>2.4079999999999999</c:v>
                </c:pt>
                <c:pt idx="2409">
                  <c:v>2.4089999999999998</c:v>
                </c:pt>
                <c:pt idx="2410">
                  <c:v>2.41</c:v>
                </c:pt>
                <c:pt idx="2411">
                  <c:v>2.411</c:v>
                </c:pt>
                <c:pt idx="2412">
                  <c:v>2.4119999999999999</c:v>
                </c:pt>
                <c:pt idx="2413">
                  <c:v>2.4129999999999998</c:v>
                </c:pt>
                <c:pt idx="2414">
                  <c:v>2.4140000000000001</c:v>
                </c:pt>
                <c:pt idx="2415">
                  <c:v>2.415</c:v>
                </c:pt>
                <c:pt idx="2416">
                  <c:v>2.4159999999999999</c:v>
                </c:pt>
                <c:pt idx="2417">
                  <c:v>2.4169999999999998</c:v>
                </c:pt>
                <c:pt idx="2418">
                  <c:v>2.4180000000000001</c:v>
                </c:pt>
                <c:pt idx="2419">
                  <c:v>2.419</c:v>
                </c:pt>
                <c:pt idx="2420">
                  <c:v>2.42</c:v>
                </c:pt>
                <c:pt idx="2421">
                  <c:v>2.4209999999999998</c:v>
                </c:pt>
                <c:pt idx="2422">
                  <c:v>2.4220000000000002</c:v>
                </c:pt>
                <c:pt idx="2423">
                  <c:v>2.423</c:v>
                </c:pt>
                <c:pt idx="2424">
                  <c:v>2.4239999999999999</c:v>
                </c:pt>
                <c:pt idx="2425">
                  <c:v>2.4249999999999998</c:v>
                </c:pt>
                <c:pt idx="2426">
                  <c:v>2.4260000000000002</c:v>
                </c:pt>
                <c:pt idx="2427">
                  <c:v>2.427</c:v>
                </c:pt>
                <c:pt idx="2428">
                  <c:v>2.4279999999999999</c:v>
                </c:pt>
                <c:pt idx="2429">
                  <c:v>2.4289999999999998</c:v>
                </c:pt>
                <c:pt idx="2430">
                  <c:v>2.4300000000000002</c:v>
                </c:pt>
                <c:pt idx="2431">
                  <c:v>2.431</c:v>
                </c:pt>
                <c:pt idx="2432">
                  <c:v>2.4319999999999999</c:v>
                </c:pt>
                <c:pt idx="2433">
                  <c:v>2.4329999999999998</c:v>
                </c:pt>
                <c:pt idx="2434">
                  <c:v>2.4340000000000002</c:v>
                </c:pt>
                <c:pt idx="2435">
                  <c:v>2.4350000000000001</c:v>
                </c:pt>
                <c:pt idx="2436">
                  <c:v>2.4359999999999999</c:v>
                </c:pt>
                <c:pt idx="2437">
                  <c:v>2.4369999999999998</c:v>
                </c:pt>
                <c:pt idx="2438">
                  <c:v>2.4380000000000002</c:v>
                </c:pt>
                <c:pt idx="2439">
                  <c:v>2.4390000000000001</c:v>
                </c:pt>
                <c:pt idx="2440">
                  <c:v>2.44</c:v>
                </c:pt>
                <c:pt idx="2441">
                  <c:v>2.4409999999999998</c:v>
                </c:pt>
                <c:pt idx="2442">
                  <c:v>2.4420000000000002</c:v>
                </c:pt>
                <c:pt idx="2443">
                  <c:v>2.4430000000000001</c:v>
                </c:pt>
                <c:pt idx="2444">
                  <c:v>2.444</c:v>
                </c:pt>
                <c:pt idx="2445">
                  <c:v>2.4449999999999998</c:v>
                </c:pt>
                <c:pt idx="2446">
                  <c:v>2.4460000000000002</c:v>
                </c:pt>
                <c:pt idx="2447">
                  <c:v>2.4470000000000001</c:v>
                </c:pt>
                <c:pt idx="2448">
                  <c:v>2.448</c:v>
                </c:pt>
                <c:pt idx="2449">
                  <c:v>2.4489999999999998</c:v>
                </c:pt>
                <c:pt idx="2450">
                  <c:v>2.4500000000000002</c:v>
                </c:pt>
                <c:pt idx="2451">
                  <c:v>2.4510000000000001</c:v>
                </c:pt>
                <c:pt idx="2452">
                  <c:v>2.452</c:v>
                </c:pt>
                <c:pt idx="2453">
                  <c:v>2.4529999999999998</c:v>
                </c:pt>
                <c:pt idx="2454">
                  <c:v>2.4540000000000002</c:v>
                </c:pt>
                <c:pt idx="2455">
                  <c:v>2.4550000000000001</c:v>
                </c:pt>
                <c:pt idx="2456">
                  <c:v>2.456</c:v>
                </c:pt>
                <c:pt idx="2457">
                  <c:v>2.4569999999999999</c:v>
                </c:pt>
                <c:pt idx="2458">
                  <c:v>2.4580000000000002</c:v>
                </c:pt>
                <c:pt idx="2459">
                  <c:v>2.4590000000000001</c:v>
                </c:pt>
                <c:pt idx="2460">
                  <c:v>2.46</c:v>
                </c:pt>
                <c:pt idx="2461">
                  <c:v>2.4609999999999999</c:v>
                </c:pt>
                <c:pt idx="2462">
                  <c:v>2.4620000000000002</c:v>
                </c:pt>
                <c:pt idx="2463">
                  <c:v>2.4630000000000001</c:v>
                </c:pt>
                <c:pt idx="2464">
                  <c:v>2.464</c:v>
                </c:pt>
                <c:pt idx="2465">
                  <c:v>2.4649999999999999</c:v>
                </c:pt>
                <c:pt idx="2466">
                  <c:v>2.4660000000000002</c:v>
                </c:pt>
                <c:pt idx="2467">
                  <c:v>2.4670000000000001</c:v>
                </c:pt>
                <c:pt idx="2468">
                  <c:v>2.468</c:v>
                </c:pt>
                <c:pt idx="2469">
                  <c:v>2.4689999999999999</c:v>
                </c:pt>
                <c:pt idx="2470">
                  <c:v>2.4700000000000002</c:v>
                </c:pt>
                <c:pt idx="2471">
                  <c:v>2.4710000000000001</c:v>
                </c:pt>
                <c:pt idx="2472">
                  <c:v>2.472</c:v>
                </c:pt>
                <c:pt idx="2473">
                  <c:v>2.4729999999999999</c:v>
                </c:pt>
                <c:pt idx="2474">
                  <c:v>2.4740000000000002</c:v>
                </c:pt>
                <c:pt idx="2475">
                  <c:v>2.4750000000000001</c:v>
                </c:pt>
                <c:pt idx="2476">
                  <c:v>2.476</c:v>
                </c:pt>
                <c:pt idx="2477">
                  <c:v>2.4769999999999999</c:v>
                </c:pt>
                <c:pt idx="2478">
                  <c:v>2.4780000000000002</c:v>
                </c:pt>
                <c:pt idx="2479">
                  <c:v>2.4790000000000001</c:v>
                </c:pt>
                <c:pt idx="2480">
                  <c:v>2.48</c:v>
                </c:pt>
                <c:pt idx="2481">
                  <c:v>2.4809999999999999</c:v>
                </c:pt>
                <c:pt idx="2482">
                  <c:v>2.4820000000000002</c:v>
                </c:pt>
                <c:pt idx="2483">
                  <c:v>2.4830000000000001</c:v>
                </c:pt>
                <c:pt idx="2484">
                  <c:v>2.484</c:v>
                </c:pt>
                <c:pt idx="2485">
                  <c:v>2.4849999999999999</c:v>
                </c:pt>
                <c:pt idx="2486">
                  <c:v>2.4860000000000002</c:v>
                </c:pt>
                <c:pt idx="2487">
                  <c:v>2.4870000000000001</c:v>
                </c:pt>
                <c:pt idx="2488">
                  <c:v>2.488</c:v>
                </c:pt>
                <c:pt idx="2489">
                  <c:v>2.4889999999999999</c:v>
                </c:pt>
                <c:pt idx="2490">
                  <c:v>2.4900000000000002</c:v>
                </c:pt>
                <c:pt idx="2491">
                  <c:v>2.4910000000000001</c:v>
                </c:pt>
                <c:pt idx="2492">
                  <c:v>2.492</c:v>
                </c:pt>
                <c:pt idx="2493">
                  <c:v>2.4929999999999999</c:v>
                </c:pt>
                <c:pt idx="2494">
                  <c:v>2.4940000000000002</c:v>
                </c:pt>
                <c:pt idx="2495">
                  <c:v>2.4950000000000001</c:v>
                </c:pt>
                <c:pt idx="2496">
                  <c:v>2.496</c:v>
                </c:pt>
                <c:pt idx="2497">
                  <c:v>2.4969999999999999</c:v>
                </c:pt>
                <c:pt idx="2498">
                  <c:v>2.4980000000000002</c:v>
                </c:pt>
                <c:pt idx="2499">
                  <c:v>2.4990000000000001</c:v>
                </c:pt>
                <c:pt idx="2500">
                  <c:v>2.5</c:v>
                </c:pt>
                <c:pt idx="2501">
                  <c:v>2.5009999999999999</c:v>
                </c:pt>
                <c:pt idx="2502">
                  <c:v>2.5019999999999998</c:v>
                </c:pt>
                <c:pt idx="2503">
                  <c:v>2.5030000000000001</c:v>
                </c:pt>
                <c:pt idx="2504">
                  <c:v>2.504</c:v>
                </c:pt>
                <c:pt idx="2505">
                  <c:v>2.5049999999999999</c:v>
                </c:pt>
                <c:pt idx="2506">
                  <c:v>2.5059999999999998</c:v>
                </c:pt>
                <c:pt idx="2507">
                  <c:v>2.5070000000000001</c:v>
                </c:pt>
                <c:pt idx="2508">
                  <c:v>2.508</c:v>
                </c:pt>
                <c:pt idx="2509">
                  <c:v>2.5089999999999999</c:v>
                </c:pt>
                <c:pt idx="2510">
                  <c:v>2.5099999999999998</c:v>
                </c:pt>
                <c:pt idx="2511">
                  <c:v>2.5110000000000001</c:v>
                </c:pt>
                <c:pt idx="2512">
                  <c:v>2.512</c:v>
                </c:pt>
                <c:pt idx="2513">
                  <c:v>2.5129999999999999</c:v>
                </c:pt>
                <c:pt idx="2514">
                  <c:v>2.5139999999999998</c:v>
                </c:pt>
                <c:pt idx="2515">
                  <c:v>2.5150000000000001</c:v>
                </c:pt>
                <c:pt idx="2516">
                  <c:v>2.516</c:v>
                </c:pt>
                <c:pt idx="2517">
                  <c:v>2.5169999999999999</c:v>
                </c:pt>
                <c:pt idx="2518">
                  <c:v>2.5179999999999998</c:v>
                </c:pt>
                <c:pt idx="2519">
                  <c:v>2.5190000000000001</c:v>
                </c:pt>
                <c:pt idx="2520">
                  <c:v>2.52</c:v>
                </c:pt>
                <c:pt idx="2521">
                  <c:v>2.5209999999999999</c:v>
                </c:pt>
                <c:pt idx="2522">
                  <c:v>2.5219999999999998</c:v>
                </c:pt>
                <c:pt idx="2523">
                  <c:v>2.5230000000000001</c:v>
                </c:pt>
                <c:pt idx="2524">
                  <c:v>2.524</c:v>
                </c:pt>
                <c:pt idx="2525">
                  <c:v>2.5249999999999999</c:v>
                </c:pt>
                <c:pt idx="2526">
                  <c:v>2.5259999999999998</c:v>
                </c:pt>
                <c:pt idx="2527">
                  <c:v>2.5270000000000001</c:v>
                </c:pt>
                <c:pt idx="2528">
                  <c:v>2.528</c:v>
                </c:pt>
                <c:pt idx="2529">
                  <c:v>2.5289999999999999</c:v>
                </c:pt>
                <c:pt idx="2530">
                  <c:v>2.5299999999999998</c:v>
                </c:pt>
                <c:pt idx="2531">
                  <c:v>2.5310000000000001</c:v>
                </c:pt>
                <c:pt idx="2532">
                  <c:v>2.532</c:v>
                </c:pt>
                <c:pt idx="2533">
                  <c:v>2.5329999999999999</c:v>
                </c:pt>
                <c:pt idx="2534">
                  <c:v>2.5339999999999998</c:v>
                </c:pt>
                <c:pt idx="2535">
                  <c:v>2.5350000000000001</c:v>
                </c:pt>
                <c:pt idx="2536">
                  <c:v>2.536</c:v>
                </c:pt>
                <c:pt idx="2537">
                  <c:v>2.5369999999999999</c:v>
                </c:pt>
                <c:pt idx="2538">
                  <c:v>2.5379999999999998</c:v>
                </c:pt>
                <c:pt idx="2539">
                  <c:v>2.5390000000000001</c:v>
                </c:pt>
                <c:pt idx="2540">
                  <c:v>2.54</c:v>
                </c:pt>
                <c:pt idx="2541">
                  <c:v>2.5409999999999999</c:v>
                </c:pt>
                <c:pt idx="2542">
                  <c:v>2.5419999999999998</c:v>
                </c:pt>
                <c:pt idx="2543">
                  <c:v>2.5430000000000001</c:v>
                </c:pt>
                <c:pt idx="2544">
                  <c:v>2.544</c:v>
                </c:pt>
                <c:pt idx="2545">
                  <c:v>2.5449999999999999</c:v>
                </c:pt>
                <c:pt idx="2546">
                  <c:v>2.5459999999999998</c:v>
                </c:pt>
                <c:pt idx="2547">
                  <c:v>2.5470000000000002</c:v>
                </c:pt>
                <c:pt idx="2548">
                  <c:v>2.548</c:v>
                </c:pt>
                <c:pt idx="2549">
                  <c:v>2.5489999999999999</c:v>
                </c:pt>
                <c:pt idx="2550">
                  <c:v>2.5499999999999998</c:v>
                </c:pt>
                <c:pt idx="2551">
                  <c:v>2.5510000000000002</c:v>
                </c:pt>
                <c:pt idx="2552">
                  <c:v>2.552</c:v>
                </c:pt>
                <c:pt idx="2553">
                  <c:v>2.5529999999999999</c:v>
                </c:pt>
                <c:pt idx="2554">
                  <c:v>2.5539999999999998</c:v>
                </c:pt>
                <c:pt idx="2555">
                  <c:v>2.5550000000000002</c:v>
                </c:pt>
                <c:pt idx="2556">
                  <c:v>2.556</c:v>
                </c:pt>
                <c:pt idx="2557">
                  <c:v>2.5569999999999999</c:v>
                </c:pt>
                <c:pt idx="2558">
                  <c:v>2.5579999999999998</c:v>
                </c:pt>
                <c:pt idx="2559">
                  <c:v>2.5590000000000002</c:v>
                </c:pt>
                <c:pt idx="2560">
                  <c:v>2.56</c:v>
                </c:pt>
                <c:pt idx="2561">
                  <c:v>2.5609999999999999</c:v>
                </c:pt>
                <c:pt idx="2562">
                  <c:v>2.5619999999999998</c:v>
                </c:pt>
                <c:pt idx="2563">
                  <c:v>2.5630000000000002</c:v>
                </c:pt>
                <c:pt idx="2564">
                  <c:v>2.5640000000000001</c:v>
                </c:pt>
                <c:pt idx="2565">
                  <c:v>2.5649999999999999</c:v>
                </c:pt>
                <c:pt idx="2566">
                  <c:v>2.5659999999999998</c:v>
                </c:pt>
                <c:pt idx="2567">
                  <c:v>2.5670000000000002</c:v>
                </c:pt>
                <c:pt idx="2568">
                  <c:v>2.5680000000000001</c:v>
                </c:pt>
                <c:pt idx="2569">
                  <c:v>2.569</c:v>
                </c:pt>
                <c:pt idx="2570">
                  <c:v>2.57</c:v>
                </c:pt>
                <c:pt idx="2571">
                  <c:v>2.5710000000000002</c:v>
                </c:pt>
                <c:pt idx="2572">
                  <c:v>2.5720000000000001</c:v>
                </c:pt>
                <c:pt idx="2573">
                  <c:v>2.573</c:v>
                </c:pt>
                <c:pt idx="2574">
                  <c:v>2.5739999999999998</c:v>
                </c:pt>
                <c:pt idx="2575">
                  <c:v>2.5750000000000002</c:v>
                </c:pt>
                <c:pt idx="2576">
                  <c:v>2.5760000000000001</c:v>
                </c:pt>
                <c:pt idx="2577">
                  <c:v>2.577</c:v>
                </c:pt>
                <c:pt idx="2578">
                  <c:v>2.5779999999999998</c:v>
                </c:pt>
                <c:pt idx="2579">
                  <c:v>2.5790000000000002</c:v>
                </c:pt>
                <c:pt idx="2580">
                  <c:v>2.58</c:v>
                </c:pt>
                <c:pt idx="2581">
                  <c:v>2.581</c:v>
                </c:pt>
                <c:pt idx="2582">
                  <c:v>2.5819999999999999</c:v>
                </c:pt>
                <c:pt idx="2583">
                  <c:v>2.5830000000000002</c:v>
                </c:pt>
                <c:pt idx="2584">
                  <c:v>2.5840000000000001</c:v>
                </c:pt>
                <c:pt idx="2585">
                  <c:v>2.585</c:v>
                </c:pt>
                <c:pt idx="2586">
                  <c:v>2.5859999999999999</c:v>
                </c:pt>
                <c:pt idx="2587">
                  <c:v>2.5870000000000002</c:v>
                </c:pt>
                <c:pt idx="2588">
                  <c:v>2.5880000000000001</c:v>
                </c:pt>
                <c:pt idx="2589">
                  <c:v>2.589</c:v>
                </c:pt>
                <c:pt idx="2590">
                  <c:v>2.59</c:v>
                </c:pt>
                <c:pt idx="2591">
                  <c:v>2.5910000000000002</c:v>
                </c:pt>
                <c:pt idx="2592">
                  <c:v>2.5920000000000001</c:v>
                </c:pt>
                <c:pt idx="2593">
                  <c:v>2.593</c:v>
                </c:pt>
                <c:pt idx="2594">
                  <c:v>2.5939999999999999</c:v>
                </c:pt>
                <c:pt idx="2595">
                  <c:v>2.5950000000000002</c:v>
                </c:pt>
                <c:pt idx="2596">
                  <c:v>2.5960000000000001</c:v>
                </c:pt>
                <c:pt idx="2597">
                  <c:v>2.597</c:v>
                </c:pt>
                <c:pt idx="2598">
                  <c:v>2.5979999999999999</c:v>
                </c:pt>
                <c:pt idx="2599">
                  <c:v>2.5990000000000002</c:v>
                </c:pt>
                <c:pt idx="2600">
                  <c:v>2.6</c:v>
                </c:pt>
                <c:pt idx="2601">
                  <c:v>2.601</c:v>
                </c:pt>
                <c:pt idx="2602">
                  <c:v>2.6019999999999999</c:v>
                </c:pt>
                <c:pt idx="2603">
                  <c:v>2.6030000000000002</c:v>
                </c:pt>
                <c:pt idx="2604">
                  <c:v>2.6040000000000001</c:v>
                </c:pt>
                <c:pt idx="2605">
                  <c:v>2.605</c:v>
                </c:pt>
                <c:pt idx="2606">
                  <c:v>2.6059999999999999</c:v>
                </c:pt>
                <c:pt idx="2607">
                  <c:v>2.6070000000000002</c:v>
                </c:pt>
                <c:pt idx="2608">
                  <c:v>2.6080000000000001</c:v>
                </c:pt>
                <c:pt idx="2609">
                  <c:v>2.609</c:v>
                </c:pt>
                <c:pt idx="2610">
                  <c:v>2.61</c:v>
                </c:pt>
                <c:pt idx="2611">
                  <c:v>2.6110000000000002</c:v>
                </c:pt>
                <c:pt idx="2612">
                  <c:v>2.6120000000000001</c:v>
                </c:pt>
                <c:pt idx="2613">
                  <c:v>2.613</c:v>
                </c:pt>
                <c:pt idx="2614">
                  <c:v>2.6139999999999999</c:v>
                </c:pt>
                <c:pt idx="2615">
                  <c:v>2.6150000000000002</c:v>
                </c:pt>
                <c:pt idx="2616">
                  <c:v>2.6160000000000001</c:v>
                </c:pt>
                <c:pt idx="2617">
                  <c:v>2.617</c:v>
                </c:pt>
                <c:pt idx="2618">
                  <c:v>2.6179999999999999</c:v>
                </c:pt>
                <c:pt idx="2619">
                  <c:v>2.6190000000000002</c:v>
                </c:pt>
                <c:pt idx="2620">
                  <c:v>2.62</c:v>
                </c:pt>
                <c:pt idx="2621">
                  <c:v>2.621</c:v>
                </c:pt>
                <c:pt idx="2622">
                  <c:v>2.6219999999999999</c:v>
                </c:pt>
                <c:pt idx="2623">
                  <c:v>2.6230000000000002</c:v>
                </c:pt>
                <c:pt idx="2624">
                  <c:v>2.6240000000000001</c:v>
                </c:pt>
                <c:pt idx="2625">
                  <c:v>2.625</c:v>
                </c:pt>
                <c:pt idx="2626">
                  <c:v>2.6259999999999999</c:v>
                </c:pt>
                <c:pt idx="2627">
                  <c:v>2.6269999999999998</c:v>
                </c:pt>
                <c:pt idx="2628">
                  <c:v>2.6280000000000001</c:v>
                </c:pt>
                <c:pt idx="2629">
                  <c:v>2.629</c:v>
                </c:pt>
                <c:pt idx="2630">
                  <c:v>2.63</c:v>
                </c:pt>
                <c:pt idx="2631">
                  <c:v>2.6309999999999998</c:v>
                </c:pt>
                <c:pt idx="2632">
                  <c:v>2.6320000000000001</c:v>
                </c:pt>
                <c:pt idx="2633">
                  <c:v>2.633</c:v>
                </c:pt>
                <c:pt idx="2634">
                  <c:v>2.6339999999999999</c:v>
                </c:pt>
                <c:pt idx="2635">
                  <c:v>2.6349999999999998</c:v>
                </c:pt>
                <c:pt idx="2636">
                  <c:v>2.6360000000000001</c:v>
                </c:pt>
                <c:pt idx="2637">
                  <c:v>2.637</c:v>
                </c:pt>
                <c:pt idx="2638">
                  <c:v>2.6379999999999999</c:v>
                </c:pt>
                <c:pt idx="2639">
                  <c:v>2.6389999999999998</c:v>
                </c:pt>
                <c:pt idx="2640">
                  <c:v>2.64</c:v>
                </c:pt>
                <c:pt idx="2641">
                  <c:v>2.641</c:v>
                </c:pt>
                <c:pt idx="2642">
                  <c:v>2.6419999999999999</c:v>
                </c:pt>
                <c:pt idx="2643">
                  <c:v>2.6429999999999998</c:v>
                </c:pt>
                <c:pt idx="2644">
                  <c:v>2.6440000000000001</c:v>
                </c:pt>
                <c:pt idx="2645">
                  <c:v>2.645</c:v>
                </c:pt>
                <c:pt idx="2646">
                  <c:v>2.6459999999999999</c:v>
                </c:pt>
                <c:pt idx="2647">
                  <c:v>2.6469999999999998</c:v>
                </c:pt>
                <c:pt idx="2648">
                  <c:v>2.6480000000000001</c:v>
                </c:pt>
                <c:pt idx="2649">
                  <c:v>2.649</c:v>
                </c:pt>
                <c:pt idx="2650">
                  <c:v>2.65</c:v>
                </c:pt>
                <c:pt idx="2651">
                  <c:v>2.6509999999999998</c:v>
                </c:pt>
                <c:pt idx="2652">
                  <c:v>2.6520000000000001</c:v>
                </c:pt>
                <c:pt idx="2653">
                  <c:v>2.653</c:v>
                </c:pt>
                <c:pt idx="2654">
                  <c:v>2.6539999999999999</c:v>
                </c:pt>
                <c:pt idx="2655">
                  <c:v>2.6549999999999998</c:v>
                </c:pt>
                <c:pt idx="2656">
                  <c:v>2.6560000000000001</c:v>
                </c:pt>
                <c:pt idx="2657">
                  <c:v>2.657</c:v>
                </c:pt>
                <c:pt idx="2658">
                  <c:v>2.6579999999999999</c:v>
                </c:pt>
                <c:pt idx="2659">
                  <c:v>2.6589999999999998</c:v>
                </c:pt>
                <c:pt idx="2660">
                  <c:v>2.66</c:v>
                </c:pt>
                <c:pt idx="2661">
                  <c:v>2.661</c:v>
                </c:pt>
                <c:pt idx="2662">
                  <c:v>2.6619999999999999</c:v>
                </c:pt>
                <c:pt idx="2663">
                  <c:v>2.6629999999999998</c:v>
                </c:pt>
                <c:pt idx="2664">
                  <c:v>2.6640000000000001</c:v>
                </c:pt>
                <c:pt idx="2665">
                  <c:v>2.665</c:v>
                </c:pt>
                <c:pt idx="2666">
                  <c:v>2.6659999999999999</c:v>
                </c:pt>
                <c:pt idx="2667">
                  <c:v>2.6669999999999998</c:v>
                </c:pt>
                <c:pt idx="2668">
                  <c:v>2.6680000000000001</c:v>
                </c:pt>
                <c:pt idx="2669">
                  <c:v>2.669</c:v>
                </c:pt>
                <c:pt idx="2670">
                  <c:v>2.67</c:v>
                </c:pt>
                <c:pt idx="2671">
                  <c:v>2.6709999999999998</c:v>
                </c:pt>
                <c:pt idx="2672">
                  <c:v>2.6720000000000002</c:v>
                </c:pt>
                <c:pt idx="2673">
                  <c:v>2.673</c:v>
                </c:pt>
                <c:pt idx="2674">
                  <c:v>2.6739999999999999</c:v>
                </c:pt>
                <c:pt idx="2675">
                  <c:v>2.6749999999999998</c:v>
                </c:pt>
                <c:pt idx="2676">
                  <c:v>2.6760000000000002</c:v>
                </c:pt>
                <c:pt idx="2677">
                  <c:v>2.677</c:v>
                </c:pt>
                <c:pt idx="2678">
                  <c:v>2.6779999999999999</c:v>
                </c:pt>
                <c:pt idx="2679">
                  <c:v>2.6789999999999998</c:v>
                </c:pt>
                <c:pt idx="2680">
                  <c:v>2.68</c:v>
                </c:pt>
                <c:pt idx="2681">
                  <c:v>2.681</c:v>
                </c:pt>
                <c:pt idx="2682">
                  <c:v>2.6819999999999999</c:v>
                </c:pt>
                <c:pt idx="2683">
                  <c:v>2.6829999999999998</c:v>
                </c:pt>
                <c:pt idx="2684">
                  <c:v>2.6840000000000002</c:v>
                </c:pt>
                <c:pt idx="2685">
                  <c:v>2.6850000000000001</c:v>
                </c:pt>
                <c:pt idx="2686">
                  <c:v>2.6859999999999999</c:v>
                </c:pt>
                <c:pt idx="2687">
                  <c:v>2.6869999999999998</c:v>
                </c:pt>
                <c:pt idx="2688">
                  <c:v>2.6880000000000002</c:v>
                </c:pt>
                <c:pt idx="2689">
                  <c:v>2.6890000000000001</c:v>
                </c:pt>
                <c:pt idx="2690">
                  <c:v>2.69</c:v>
                </c:pt>
                <c:pt idx="2691">
                  <c:v>2.6909999999999998</c:v>
                </c:pt>
                <c:pt idx="2692">
                  <c:v>2.6920000000000002</c:v>
                </c:pt>
                <c:pt idx="2693">
                  <c:v>2.6930000000000001</c:v>
                </c:pt>
                <c:pt idx="2694">
                  <c:v>2.694</c:v>
                </c:pt>
                <c:pt idx="2695">
                  <c:v>2.6949999999999998</c:v>
                </c:pt>
                <c:pt idx="2696">
                  <c:v>2.6960000000000002</c:v>
                </c:pt>
                <c:pt idx="2697">
                  <c:v>2.6970000000000001</c:v>
                </c:pt>
                <c:pt idx="2698">
                  <c:v>2.698</c:v>
                </c:pt>
                <c:pt idx="2699">
                  <c:v>2.6989999999999998</c:v>
                </c:pt>
                <c:pt idx="2700">
                  <c:v>2.7</c:v>
                </c:pt>
                <c:pt idx="2701">
                  <c:v>2.7010000000000001</c:v>
                </c:pt>
                <c:pt idx="2702">
                  <c:v>2.702</c:v>
                </c:pt>
                <c:pt idx="2703">
                  <c:v>2.7029999999999998</c:v>
                </c:pt>
                <c:pt idx="2704">
                  <c:v>2.7040000000000002</c:v>
                </c:pt>
                <c:pt idx="2705">
                  <c:v>2.7050000000000001</c:v>
                </c:pt>
                <c:pt idx="2706">
                  <c:v>2.706</c:v>
                </c:pt>
                <c:pt idx="2707">
                  <c:v>2.7069999999999999</c:v>
                </c:pt>
                <c:pt idx="2708">
                  <c:v>2.7080000000000002</c:v>
                </c:pt>
                <c:pt idx="2709">
                  <c:v>2.7090000000000001</c:v>
                </c:pt>
                <c:pt idx="2710">
                  <c:v>2.71</c:v>
                </c:pt>
                <c:pt idx="2711">
                  <c:v>2.7109999999999999</c:v>
                </c:pt>
                <c:pt idx="2712">
                  <c:v>2.7120000000000002</c:v>
                </c:pt>
                <c:pt idx="2713">
                  <c:v>2.7130000000000001</c:v>
                </c:pt>
                <c:pt idx="2714">
                  <c:v>2.714</c:v>
                </c:pt>
                <c:pt idx="2715">
                  <c:v>2.7149999999999999</c:v>
                </c:pt>
                <c:pt idx="2716">
                  <c:v>2.7160000000000002</c:v>
                </c:pt>
                <c:pt idx="2717">
                  <c:v>2.7170000000000001</c:v>
                </c:pt>
                <c:pt idx="2718">
                  <c:v>2.718</c:v>
                </c:pt>
                <c:pt idx="2719">
                  <c:v>2.7189999999999999</c:v>
                </c:pt>
                <c:pt idx="2720">
                  <c:v>2.72</c:v>
                </c:pt>
                <c:pt idx="2721">
                  <c:v>2.7210000000000001</c:v>
                </c:pt>
                <c:pt idx="2722">
                  <c:v>2.722</c:v>
                </c:pt>
                <c:pt idx="2723">
                  <c:v>2.7229999999999999</c:v>
                </c:pt>
                <c:pt idx="2724">
                  <c:v>2.7240000000000002</c:v>
                </c:pt>
                <c:pt idx="2725">
                  <c:v>2.7250000000000001</c:v>
                </c:pt>
                <c:pt idx="2726">
                  <c:v>2.726</c:v>
                </c:pt>
                <c:pt idx="2727">
                  <c:v>2.7269999999999999</c:v>
                </c:pt>
                <c:pt idx="2728">
                  <c:v>2.7280000000000002</c:v>
                </c:pt>
                <c:pt idx="2729">
                  <c:v>2.7290000000000001</c:v>
                </c:pt>
                <c:pt idx="2730">
                  <c:v>2.73</c:v>
                </c:pt>
                <c:pt idx="2731">
                  <c:v>2.7309999999999999</c:v>
                </c:pt>
                <c:pt idx="2732">
                  <c:v>2.7320000000000002</c:v>
                </c:pt>
                <c:pt idx="2733">
                  <c:v>2.7330000000000001</c:v>
                </c:pt>
                <c:pt idx="2734">
                  <c:v>2.734</c:v>
                </c:pt>
                <c:pt idx="2735">
                  <c:v>2.7349999999999999</c:v>
                </c:pt>
                <c:pt idx="2736">
                  <c:v>2.7360000000000002</c:v>
                </c:pt>
                <c:pt idx="2737">
                  <c:v>2.7370000000000001</c:v>
                </c:pt>
                <c:pt idx="2738">
                  <c:v>2.738</c:v>
                </c:pt>
                <c:pt idx="2739">
                  <c:v>2.7389999999999999</c:v>
                </c:pt>
                <c:pt idx="2740">
                  <c:v>2.74</c:v>
                </c:pt>
                <c:pt idx="2741">
                  <c:v>2.7410000000000001</c:v>
                </c:pt>
                <c:pt idx="2742">
                  <c:v>2.742</c:v>
                </c:pt>
                <c:pt idx="2743">
                  <c:v>2.7429999999999999</c:v>
                </c:pt>
                <c:pt idx="2744">
                  <c:v>2.7440000000000002</c:v>
                </c:pt>
                <c:pt idx="2745">
                  <c:v>2.7450000000000001</c:v>
                </c:pt>
                <c:pt idx="2746">
                  <c:v>2.746</c:v>
                </c:pt>
                <c:pt idx="2747">
                  <c:v>2.7469999999999999</c:v>
                </c:pt>
                <c:pt idx="2748">
                  <c:v>2.7480000000000002</c:v>
                </c:pt>
                <c:pt idx="2749">
                  <c:v>2.7490000000000001</c:v>
                </c:pt>
                <c:pt idx="2750">
                  <c:v>2.75</c:v>
                </c:pt>
                <c:pt idx="2751">
                  <c:v>2.7509999999999999</c:v>
                </c:pt>
                <c:pt idx="2752">
                  <c:v>2.7519999999999998</c:v>
                </c:pt>
                <c:pt idx="2753">
                  <c:v>2.7530000000000001</c:v>
                </c:pt>
                <c:pt idx="2754">
                  <c:v>2.754</c:v>
                </c:pt>
                <c:pt idx="2755">
                  <c:v>2.7549999999999999</c:v>
                </c:pt>
                <c:pt idx="2756">
                  <c:v>2.7559999999999998</c:v>
                </c:pt>
                <c:pt idx="2757">
                  <c:v>2.7570000000000001</c:v>
                </c:pt>
                <c:pt idx="2758">
                  <c:v>2.758</c:v>
                </c:pt>
                <c:pt idx="2759">
                  <c:v>2.7589999999999999</c:v>
                </c:pt>
                <c:pt idx="2760">
                  <c:v>2.76</c:v>
                </c:pt>
                <c:pt idx="2761">
                  <c:v>2.7610000000000001</c:v>
                </c:pt>
                <c:pt idx="2762">
                  <c:v>2.762</c:v>
                </c:pt>
                <c:pt idx="2763">
                  <c:v>2.7629999999999999</c:v>
                </c:pt>
                <c:pt idx="2764">
                  <c:v>2.7639999999999998</c:v>
                </c:pt>
                <c:pt idx="2765">
                  <c:v>2.7650000000000001</c:v>
                </c:pt>
                <c:pt idx="2766">
                  <c:v>2.766</c:v>
                </c:pt>
                <c:pt idx="2767">
                  <c:v>2.7669999999999999</c:v>
                </c:pt>
                <c:pt idx="2768">
                  <c:v>2.7679999999999998</c:v>
                </c:pt>
                <c:pt idx="2769">
                  <c:v>2.7690000000000001</c:v>
                </c:pt>
                <c:pt idx="2770">
                  <c:v>2.77</c:v>
                </c:pt>
                <c:pt idx="2771">
                  <c:v>2.7709999999999999</c:v>
                </c:pt>
                <c:pt idx="2772">
                  <c:v>2.7719999999999998</c:v>
                </c:pt>
                <c:pt idx="2773">
                  <c:v>2.7730000000000001</c:v>
                </c:pt>
                <c:pt idx="2774">
                  <c:v>2.774</c:v>
                </c:pt>
                <c:pt idx="2775">
                  <c:v>2.7749999999999999</c:v>
                </c:pt>
                <c:pt idx="2776">
                  <c:v>2.7759999999999998</c:v>
                </c:pt>
                <c:pt idx="2777">
                  <c:v>2.7770000000000001</c:v>
                </c:pt>
                <c:pt idx="2778">
                  <c:v>2.778</c:v>
                </c:pt>
                <c:pt idx="2779">
                  <c:v>2.7789999999999999</c:v>
                </c:pt>
                <c:pt idx="2780">
                  <c:v>2.78</c:v>
                </c:pt>
                <c:pt idx="2781">
                  <c:v>2.7810000000000001</c:v>
                </c:pt>
                <c:pt idx="2782">
                  <c:v>2.782</c:v>
                </c:pt>
                <c:pt idx="2783">
                  <c:v>2.7829999999999999</c:v>
                </c:pt>
                <c:pt idx="2784">
                  <c:v>2.7839999999999998</c:v>
                </c:pt>
                <c:pt idx="2785">
                  <c:v>2.7850000000000001</c:v>
                </c:pt>
                <c:pt idx="2786">
                  <c:v>2.786</c:v>
                </c:pt>
                <c:pt idx="2787">
                  <c:v>2.7869999999999999</c:v>
                </c:pt>
                <c:pt idx="2788">
                  <c:v>2.7879999999999998</c:v>
                </c:pt>
                <c:pt idx="2789">
                  <c:v>2.7890000000000001</c:v>
                </c:pt>
                <c:pt idx="2790">
                  <c:v>2.79</c:v>
                </c:pt>
                <c:pt idx="2791">
                  <c:v>2.7909999999999999</c:v>
                </c:pt>
                <c:pt idx="2792">
                  <c:v>2.7919999999999998</c:v>
                </c:pt>
                <c:pt idx="2793">
                  <c:v>2.7930000000000001</c:v>
                </c:pt>
                <c:pt idx="2794">
                  <c:v>2.794</c:v>
                </c:pt>
                <c:pt idx="2795">
                  <c:v>2.7949999999999999</c:v>
                </c:pt>
                <c:pt idx="2796">
                  <c:v>2.7959999999999998</c:v>
                </c:pt>
                <c:pt idx="2797">
                  <c:v>2.7970000000000002</c:v>
                </c:pt>
                <c:pt idx="2798">
                  <c:v>2.798</c:v>
                </c:pt>
                <c:pt idx="2799">
                  <c:v>2.7989999999999999</c:v>
                </c:pt>
                <c:pt idx="2800">
                  <c:v>2.8</c:v>
                </c:pt>
                <c:pt idx="2801">
                  <c:v>2.8010000000000002</c:v>
                </c:pt>
                <c:pt idx="2802">
                  <c:v>2.802</c:v>
                </c:pt>
                <c:pt idx="2803">
                  <c:v>2.8029999999999999</c:v>
                </c:pt>
                <c:pt idx="2804">
                  <c:v>2.8039999999999998</c:v>
                </c:pt>
                <c:pt idx="2805">
                  <c:v>2.8050000000000002</c:v>
                </c:pt>
                <c:pt idx="2806">
                  <c:v>2.806</c:v>
                </c:pt>
                <c:pt idx="2807">
                  <c:v>2.8069999999999999</c:v>
                </c:pt>
                <c:pt idx="2808">
                  <c:v>2.8079999999999998</c:v>
                </c:pt>
                <c:pt idx="2809">
                  <c:v>2.8090000000000002</c:v>
                </c:pt>
                <c:pt idx="2810">
                  <c:v>2.81</c:v>
                </c:pt>
                <c:pt idx="2811">
                  <c:v>2.8109999999999999</c:v>
                </c:pt>
                <c:pt idx="2812">
                  <c:v>2.8119999999999998</c:v>
                </c:pt>
                <c:pt idx="2813">
                  <c:v>2.8130000000000002</c:v>
                </c:pt>
                <c:pt idx="2814">
                  <c:v>2.8140000000000001</c:v>
                </c:pt>
                <c:pt idx="2815">
                  <c:v>2.8149999999999999</c:v>
                </c:pt>
                <c:pt idx="2816">
                  <c:v>2.8159999999999998</c:v>
                </c:pt>
                <c:pt idx="2817">
                  <c:v>2.8170000000000002</c:v>
                </c:pt>
                <c:pt idx="2818">
                  <c:v>2.8180000000000001</c:v>
                </c:pt>
                <c:pt idx="2819">
                  <c:v>2.819</c:v>
                </c:pt>
                <c:pt idx="2820">
                  <c:v>2.82</c:v>
                </c:pt>
                <c:pt idx="2821">
                  <c:v>2.8210000000000002</c:v>
                </c:pt>
                <c:pt idx="2822">
                  <c:v>2.8220000000000001</c:v>
                </c:pt>
                <c:pt idx="2823">
                  <c:v>2.823</c:v>
                </c:pt>
                <c:pt idx="2824">
                  <c:v>2.8239999999999998</c:v>
                </c:pt>
                <c:pt idx="2825">
                  <c:v>2.8250000000000002</c:v>
                </c:pt>
                <c:pt idx="2826">
                  <c:v>2.8260000000000001</c:v>
                </c:pt>
                <c:pt idx="2827">
                  <c:v>2.827</c:v>
                </c:pt>
                <c:pt idx="2828">
                  <c:v>2.8279999999999998</c:v>
                </c:pt>
                <c:pt idx="2829">
                  <c:v>2.8290000000000002</c:v>
                </c:pt>
                <c:pt idx="2830">
                  <c:v>2.83</c:v>
                </c:pt>
                <c:pt idx="2831">
                  <c:v>2.831</c:v>
                </c:pt>
                <c:pt idx="2832">
                  <c:v>2.8319999999999999</c:v>
                </c:pt>
                <c:pt idx="2833">
                  <c:v>2.8330000000000002</c:v>
                </c:pt>
                <c:pt idx="2834">
                  <c:v>2.8340000000000001</c:v>
                </c:pt>
                <c:pt idx="2835">
                  <c:v>2.835</c:v>
                </c:pt>
                <c:pt idx="2836">
                  <c:v>2.8359999999999999</c:v>
                </c:pt>
                <c:pt idx="2837">
                  <c:v>2.8370000000000002</c:v>
                </c:pt>
                <c:pt idx="2838">
                  <c:v>2.8380000000000001</c:v>
                </c:pt>
                <c:pt idx="2839">
                  <c:v>2.839</c:v>
                </c:pt>
                <c:pt idx="2840">
                  <c:v>2.84</c:v>
                </c:pt>
                <c:pt idx="2841">
                  <c:v>2.8410000000000002</c:v>
                </c:pt>
                <c:pt idx="2842">
                  <c:v>2.8420000000000001</c:v>
                </c:pt>
                <c:pt idx="2843">
                  <c:v>2.843</c:v>
                </c:pt>
                <c:pt idx="2844">
                  <c:v>2.8439999999999999</c:v>
                </c:pt>
                <c:pt idx="2845">
                  <c:v>2.8450000000000002</c:v>
                </c:pt>
                <c:pt idx="2846">
                  <c:v>2.8460000000000001</c:v>
                </c:pt>
                <c:pt idx="2847">
                  <c:v>2.847</c:v>
                </c:pt>
                <c:pt idx="2848">
                  <c:v>2.8479999999999999</c:v>
                </c:pt>
                <c:pt idx="2849">
                  <c:v>2.8490000000000002</c:v>
                </c:pt>
                <c:pt idx="2850">
                  <c:v>2.85</c:v>
                </c:pt>
                <c:pt idx="2851">
                  <c:v>2.851</c:v>
                </c:pt>
                <c:pt idx="2852">
                  <c:v>2.8519999999999999</c:v>
                </c:pt>
                <c:pt idx="2853">
                  <c:v>2.8530000000000002</c:v>
                </c:pt>
                <c:pt idx="2854">
                  <c:v>2.8540000000000001</c:v>
                </c:pt>
                <c:pt idx="2855">
                  <c:v>2.855</c:v>
                </c:pt>
                <c:pt idx="2856">
                  <c:v>2.8559999999999999</c:v>
                </c:pt>
                <c:pt idx="2857">
                  <c:v>2.8570000000000002</c:v>
                </c:pt>
                <c:pt idx="2858">
                  <c:v>2.8580000000000001</c:v>
                </c:pt>
                <c:pt idx="2859">
                  <c:v>2.859</c:v>
                </c:pt>
                <c:pt idx="2860">
                  <c:v>2.86</c:v>
                </c:pt>
                <c:pt idx="2861">
                  <c:v>2.8610000000000002</c:v>
                </c:pt>
                <c:pt idx="2862">
                  <c:v>2.8620000000000001</c:v>
                </c:pt>
                <c:pt idx="2863">
                  <c:v>2.863</c:v>
                </c:pt>
                <c:pt idx="2864">
                  <c:v>2.8639999999999999</c:v>
                </c:pt>
                <c:pt idx="2865">
                  <c:v>2.8650000000000002</c:v>
                </c:pt>
                <c:pt idx="2866">
                  <c:v>2.8660000000000001</c:v>
                </c:pt>
                <c:pt idx="2867">
                  <c:v>2.867</c:v>
                </c:pt>
                <c:pt idx="2868">
                  <c:v>2.8679999999999999</c:v>
                </c:pt>
                <c:pt idx="2869">
                  <c:v>2.8690000000000002</c:v>
                </c:pt>
                <c:pt idx="2870">
                  <c:v>2.87</c:v>
                </c:pt>
                <c:pt idx="2871">
                  <c:v>2.871</c:v>
                </c:pt>
                <c:pt idx="2872">
                  <c:v>2.8719999999999999</c:v>
                </c:pt>
                <c:pt idx="2873">
                  <c:v>2.8730000000000002</c:v>
                </c:pt>
                <c:pt idx="2874">
                  <c:v>2.8740000000000001</c:v>
                </c:pt>
                <c:pt idx="2875">
                  <c:v>2.875</c:v>
                </c:pt>
                <c:pt idx="2876">
                  <c:v>2.8759999999999999</c:v>
                </c:pt>
                <c:pt idx="2877">
                  <c:v>2.8769999999999998</c:v>
                </c:pt>
                <c:pt idx="2878">
                  <c:v>2.8780000000000001</c:v>
                </c:pt>
                <c:pt idx="2879">
                  <c:v>2.879</c:v>
                </c:pt>
                <c:pt idx="2880">
                  <c:v>2.88</c:v>
                </c:pt>
                <c:pt idx="2881">
                  <c:v>2.8809999999999998</c:v>
                </c:pt>
                <c:pt idx="2882">
                  <c:v>2.8820000000000001</c:v>
                </c:pt>
                <c:pt idx="2883">
                  <c:v>2.883</c:v>
                </c:pt>
                <c:pt idx="2884">
                  <c:v>2.8839999999999999</c:v>
                </c:pt>
                <c:pt idx="2885">
                  <c:v>2.8849999999999998</c:v>
                </c:pt>
                <c:pt idx="2886">
                  <c:v>2.8860000000000001</c:v>
                </c:pt>
                <c:pt idx="2887">
                  <c:v>2.887</c:v>
                </c:pt>
                <c:pt idx="2888">
                  <c:v>2.8879999999999999</c:v>
                </c:pt>
                <c:pt idx="2889">
                  <c:v>2.8889999999999998</c:v>
                </c:pt>
                <c:pt idx="2890">
                  <c:v>2.89</c:v>
                </c:pt>
                <c:pt idx="2891">
                  <c:v>2.891</c:v>
                </c:pt>
                <c:pt idx="2892">
                  <c:v>2.8919999999999999</c:v>
                </c:pt>
                <c:pt idx="2893">
                  <c:v>2.8929999999999998</c:v>
                </c:pt>
                <c:pt idx="2894">
                  <c:v>2.8940000000000001</c:v>
                </c:pt>
                <c:pt idx="2895">
                  <c:v>2.895</c:v>
                </c:pt>
                <c:pt idx="2896">
                  <c:v>2.8959999999999999</c:v>
                </c:pt>
                <c:pt idx="2897">
                  <c:v>2.8969999999999998</c:v>
                </c:pt>
                <c:pt idx="2898">
                  <c:v>2.8980000000000001</c:v>
                </c:pt>
                <c:pt idx="2899">
                  <c:v>2.899</c:v>
                </c:pt>
                <c:pt idx="2900">
                  <c:v>2.9</c:v>
                </c:pt>
                <c:pt idx="2901">
                  <c:v>2.9009999999999998</c:v>
                </c:pt>
                <c:pt idx="2902">
                  <c:v>2.9020000000000001</c:v>
                </c:pt>
                <c:pt idx="2903">
                  <c:v>2.903</c:v>
                </c:pt>
                <c:pt idx="2904">
                  <c:v>2.9039999999999999</c:v>
                </c:pt>
                <c:pt idx="2905">
                  <c:v>2.9049999999999998</c:v>
                </c:pt>
                <c:pt idx="2906">
                  <c:v>2.9060000000000001</c:v>
                </c:pt>
                <c:pt idx="2907">
                  <c:v>2.907</c:v>
                </c:pt>
                <c:pt idx="2908">
                  <c:v>2.9079999999999999</c:v>
                </c:pt>
                <c:pt idx="2909">
                  <c:v>2.9089999999999998</c:v>
                </c:pt>
                <c:pt idx="2910">
                  <c:v>2.91</c:v>
                </c:pt>
                <c:pt idx="2911">
                  <c:v>2.911</c:v>
                </c:pt>
                <c:pt idx="2912">
                  <c:v>2.9119999999999999</c:v>
                </c:pt>
                <c:pt idx="2913">
                  <c:v>2.9129999999999998</c:v>
                </c:pt>
                <c:pt idx="2914">
                  <c:v>2.9140000000000001</c:v>
                </c:pt>
                <c:pt idx="2915">
                  <c:v>2.915</c:v>
                </c:pt>
                <c:pt idx="2916">
                  <c:v>2.9159999999999999</c:v>
                </c:pt>
                <c:pt idx="2917">
                  <c:v>2.9169999999999998</c:v>
                </c:pt>
                <c:pt idx="2918">
                  <c:v>2.9180000000000001</c:v>
                </c:pt>
                <c:pt idx="2919">
                  <c:v>2.919</c:v>
                </c:pt>
                <c:pt idx="2920">
                  <c:v>2.92</c:v>
                </c:pt>
                <c:pt idx="2921">
                  <c:v>2.9209999999999998</c:v>
                </c:pt>
                <c:pt idx="2922">
                  <c:v>2.9220000000000002</c:v>
                </c:pt>
                <c:pt idx="2923">
                  <c:v>2.923</c:v>
                </c:pt>
                <c:pt idx="2924">
                  <c:v>2.9239999999999999</c:v>
                </c:pt>
                <c:pt idx="2925">
                  <c:v>2.9249999999999998</c:v>
                </c:pt>
                <c:pt idx="2926">
                  <c:v>2.9260000000000002</c:v>
                </c:pt>
                <c:pt idx="2927">
                  <c:v>2.927</c:v>
                </c:pt>
                <c:pt idx="2928">
                  <c:v>2.9279999999999999</c:v>
                </c:pt>
                <c:pt idx="2929">
                  <c:v>2.9289999999999998</c:v>
                </c:pt>
                <c:pt idx="2930">
                  <c:v>2.93</c:v>
                </c:pt>
                <c:pt idx="2931">
                  <c:v>2.931</c:v>
                </c:pt>
                <c:pt idx="2932">
                  <c:v>2.9319999999999999</c:v>
                </c:pt>
                <c:pt idx="2933">
                  <c:v>2.9329999999999998</c:v>
                </c:pt>
                <c:pt idx="2934">
                  <c:v>2.9340000000000002</c:v>
                </c:pt>
                <c:pt idx="2935">
                  <c:v>2.9350000000000001</c:v>
                </c:pt>
                <c:pt idx="2936">
                  <c:v>2.9359999999999999</c:v>
                </c:pt>
                <c:pt idx="2937">
                  <c:v>2.9369999999999998</c:v>
                </c:pt>
                <c:pt idx="2938">
                  <c:v>2.9380000000000002</c:v>
                </c:pt>
                <c:pt idx="2939">
                  <c:v>2.9390000000000001</c:v>
                </c:pt>
                <c:pt idx="2940">
                  <c:v>2.94</c:v>
                </c:pt>
                <c:pt idx="2941">
                  <c:v>2.9409999999999998</c:v>
                </c:pt>
                <c:pt idx="2942">
                  <c:v>2.9420000000000002</c:v>
                </c:pt>
                <c:pt idx="2943">
                  <c:v>2.9430000000000001</c:v>
                </c:pt>
                <c:pt idx="2944">
                  <c:v>2.944</c:v>
                </c:pt>
                <c:pt idx="2945">
                  <c:v>2.9449999999999998</c:v>
                </c:pt>
                <c:pt idx="2946">
                  <c:v>2.9460000000000002</c:v>
                </c:pt>
                <c:pt idx="2947">
                  <c:v>2.9470000000000001</c:v>
                </c:pt>
                <c:pt idx="2948">
                  <c:v>2.948</c:v>
                </c:pt>
                <c:pt idx="2949">
                  <c:v>2.9489999999999998</c:v>
                </c:pt>
                <c:pt idx="2950">
                  <c:v>2.95</c:v>
                </c:pt>
                <c:pt idx="2951">
                  <c:v>2.9510000000000001</c:v>
                </c:pt>
                <c:pt idx="2952">
                  <c:v>2.952</c:v>
                </c:pt>
                <c:pt idx="2953">
                  <c:v>2.9529999999999998</c:v>
                </c:pt>
                <c:pt idx="2954">
                  <c:v>2.9540000000000002</c:v>
                </c:pt>
                <c:pt idx="2955">
                  <c:v>2.9550000000000001</c:v>
                </c:pt>
                <c:pt idx="2956">
                  <c:v>2.956</c:v>
                </c:pt>
                <c:pt idx="2957">
                  <c:v>2.9569999999999999</c:v>
                </c:pt>
                <c:pt idx="2958">
                  <c:v>2.9580000000000002</c:v>
                </c:pt>
                <c:pt idx="2959">
                  <c:v>2.9590000000000001</c:v>
                </c:pt>
                <c:pt idx="2960">
                  <c:v>2.96</c:v>
                </c:pt>
                <c:pt idx="2961">
                  <c:v>2.9609999999999999</c:v>
                </c:pt>
                <c:pt idx="2962">
                  <c:v>2.9620000000000002</c:v>
                </c:pt>
                <c:pt idx="2963">
                  <c:v>2.9630000000000001</c:v>
                </c:pt>
                <c:pt idx="2964">
                  <c:v>2.964</c:v>
                </c:pt>
                <c:pt idx="2965">
                  <c:v>2.9649999999999999</c:v>
                </c:pt>
                <c:pt idx="2966">
                  <c:v>2.9660000000000002</c:v>
                </c:pt>
                <c:pt idx="2967">
                  <c:v>2.9670000000000001</c:v>
                </c:pt>
                <c:pt idx="2968">
                  <c:v>2.968</c:v>
                </c:pt>
                <c:pt idx="2969">
                  <c:v>2.9689999999999999</c:v>
                </c:pt>
                <c:pt idx="2970">
                  <c:v>2.97</c:v>
                </c:pt>
                <c:pt idx="2971">
                  <c:v>2.9710000000000001</c:v>
                </c:pt>
                <c:pt idx="2972">
                  <c:v>2.972</c:v>
                </c:pt>
                <c:pt idx="2973">
                  <c:v>2.9729999999999999</c:v>
                </c:pt>
                <c:pt idx="2974">
                  <c:v>2.9740000000000002</c:v>
                </c:pt>
                <c:pt idx="2975">
                  <c:v>2.9750000000000001</c:v>
                </c:pt>
                <c:pt idx="2976">
                  <c:v>2.976</c:v>
                </c:pt>
                <c:pt idx="2977">
                  <c:v>2.9769999999999999</c:v>
                </c:pt>
                <c:pt idx="2978">
                  <c:v>2.9780000000000002</c:v>
                </c:pt>
                <c:pt idx="2979">
                  <c:v>2.9790000000000001</c:v>
                </c:pt>
                <c:pt idx="2980">
                  <c:v>2.98</c:v>
                </c:pt>
                <c:pt idx="2981">
                  <c:v>2.9809999999999999</c:v>
                </c:pt>
                <c:pt idx="2982">
                  <c:v>2.9820000000000002</c:v>
                </c:pt>
                <c:pt idx="2983">
                  <c:v>2.9830000000000001</c:v>
                </c:pt>
                <c:pt idx="2984">
                  <c:v>2.984</c:v>
                </c:pt>
                <c:pt idx="2985">
                  <c:v>2.9849999999999999</c:v>
                </c:pt>
                <c:pt idx="2986">
                  <c:v>2.9860000000000002</c:v>
                </c:pt>
                <c:pt idx="2987">
                  <c:v>2.9870000000000001</c:v>
                </c:pt>
                <c:pt idx="2988">
                  <c:v>2.988</c:v>
                </c:pt>
                <c:pt idx="2989">
                  <c:v>2.9889999999999999</c:v>
                </c:pt>
                <c:pt idx="2990">
                  <c:v>2.99</c:v>
                </c:pt>
                <c:pt idx="2991">
                  <c:v>2.9910000000000001</c:v>
                </c:pt>
                <c:pt idx="2992">
                  <c:v>2.992</c:v>
                </c:pt>
                <c:pt idx="2993">
                  <c:v>2.9929999999999999</c:v>
                </c:pt>
                <c:pt idx="2994">
                  <c:v>2.9940000000000002</c:v>
                </c:pt>
                <c:pt idx="2995">
                  <c:v>2.9950000000000001</c:v>
                </c:pt>
                <c:pt idx="2996">
                  <c:v>2.996</c:v>
                </c:pt>
                <c:pt idx="2997">
                  <c:v>2.9969999999999999</c:v>
                </c:pt>
                <c:pt idx="2998">
                  <c:v>2.9980000000000002</c:v>
                </c:pt>
                <c:pt idx="2999">
                  <c:v>2.9990000000000001</c:v>
                </c:pt>
                <c:pt idx="3000">
                  <c:v>3</c:v>
                </c:pt>
                <c:pt idx="3001">
                  <c:v>3.0009999999999999</c:v>
                </c:pt>
                <c:pt idx="3002">
                  <c:v>3.0019999999999998</c:v>
                </c:pt>
                <c:pt idx="3003">
                  <c:v>3.0030000000000001</c:v>
                </c:pt>
                <c:pt idx="3004">
                  <c:v>3.004</c:v>
                </c:pt>
                <c:pt idx="3005">
                  <c:v>3.0049999999999999</c:v>
                </c:pt>
                <c:pt idx="3006">
                  <c:v>3.0059999999999998</c:v>
                </c:pt>
                <c:pt idx="3007">
                  <c:v>3.0070000000000001</c:v>
                </c:pt>
                <c:pt idx="3008">
                  <c:v>3.008</c:v>
                </c:pt>
                <c:pt idx="3009">
                  <c:v>3.0089999999999999</c:v>
                </c:pt>
                <c:pt idx="3010">
                  <c:v>3.01</c:v>
                </c:pt>
                <c:pt idx="3011">
                  <c:v>3.0110000000000001</c:v>
                </c:pt>
                <c:pt idx="3012">
                  <c:v>3.012</c:v>
                </c:pt>
                <c:pt idx="3013">
                  <c:v>3.0129999999999999</c:v>
                </c:pt>
                <c:pt idx="3014">
                  <c:v>3.0139999999999998</c:v>
                </c:pt>
                <c:pt idx="3015">
                  <c:v>3.0150000000000001</c:v>
                </c:pt>
                <c:pt idx="3016">
                  <c:v>3.016</c:v>
                </c:pt>
                <c:pt idx="3017">
                  <c:v>3.0169999999999999</c:v>
                </c:pt>
                <c:pt idx="3018">
                  <c:v>3.0179999999999998</c:v>
                </c:pt>
                <c:pt idx="3019">
                  <c:v>3.0190000000000001</c:v>
                </c:pt>
                <c:pt idx="3020">
                  <c:v>3.02</c:v>
                </c:pt>
                <c:pt idx="3021">
                  <c:v>3.0209999999999999</c:v>
                </c:pt>
                <c:pt idx="3022">
                  <c:v>3.0219999999999998</c:v>
                </c:pt>
                <c:pt idx="3023">
                  <c:v>3.0230000000000001</c:v>
                </c:pt>
                <c:pt idx="3024">
                  <c:v>3.024</c:v>
                </c:pt>
                <c:pt idx="3025">
                  <c:v>3.0249999999999999</c:v>
                </c:pt>
                <c:pt idx="3026">
                  <c:v>3.0259999999999998</c:v>
                </c:pt>
                <c:pt idx="3027">
                  <c:v>3.0270000000000001</c:v>
                </c:pt>
                <c:pt idx="3028">
                  <c:v>3.028</c:v>
                </c:pt>
                <c:pt idx="3029">
                  <c:v>3.0289999999999999</c:v>
                </c:pt>
                <c:pt idx="3030">
                  <c:v>3.03</c:v>
                </c:pt>
                <c:pt idx="3031">
                  <c:v>3.0310000000000001</c:v>
                </c:pt>
                <c:pt idx="3032">
                  <c:v>3.032</c:v>
                </c:pt>
                <c:pt idx="3033">
                  <c:v>3.0329999999999999</c:v>
                </c:pt>
                <c:pt idx="3034">
                  <c:v>3.0339999999999998</c:v>
                </c:pt>
                <c:pt idx="3035">
                  <c:v>3.0350000000000001</c:v>
                </c:pt>
                <c:pt idx="3036">
                  <c:v>3.036</c:v>
                </c:pt>
                <c:pt idx="3037">
                  <c:v>3.0369999999999999</c:v>
                </c:pt>
                <c:pt idx="3038">
                  <c:v>3.0379999999999998</c:v>
                </c:pt>
                <c:pt idx="3039">
                  <c:v>3.0390000000000001</c:v>
                </c:pt>
                <c:pt idx="3040">
                  <c:v>3.04</c:v>
                </c:pt>
                <c:pt idx="3041">
                  <c:v>3.0409999999999999</c:v>
                </c:pt>
                <c:pt idx="3042">
                  <c:v>3.0419999999999998</c:v>
                </c:pt>
                <c:pt idx="3043">
                  <c:v>3.0430000000000001</c:v>
                </c:pt>
                <c:pt idx="3044">
                  <c:v>3.044</c:v>
                </c:pt>
                <c:pt idx="3045">
                  <c:v>3.0449999999999999</c:v>
                </c:pt>
                <c:pt idx="3046">
                  <c:v>3.0459999999999998</c:v>
                </c:pt>
                <c:pt idx="3047">
                  <c:v>3.0470000000000002</c:v>
                </c:pt>
                <c:pt idx="3048">
                  <c:v>3.048</c:v>
                </c:pt>
                <c:pt idx="3049">
                  <c:v>3.0489999999999999</c:v>
                </c:pt>
                <c:pt idx="3050">
                  <c:v>3.05</c:v>
                </c:pt>
                <c:pt idx="3051">
                  <c:v>3.0510000000000002</c:v>
                </c:pt>
                <c:pt idx="3052">
                  <c:v>3.052</c:v>
                </c:pt>
                <c:pt idx="3053">
                  <c:v>3.0529999999999999</c:v>
                </c:pt>
                <c:pt idx="3054">
                  <c:v>3.0539999999999998</c:v>
                </c:pt>
                <c:pt idx="3055">
                  <c:v>3.0550000000000002</c:v>
                </c:pt>
                <c:pt idx="3056">
                  <c:v>3.056</c:v>
                </c:pt>
                <c:pt idx="3057">
                  <c:v>3.0569999999999999</c:v>
                </c:pt>
                <c:pt idx="3058">
                  <c:v>3.0579999999999998</c:v>
                </c:pt>
                <c:pt idx="3059">
                  <c:v>3.0590000000000002</c:v>
                </c:pt>
                <c:pt idx="3060">
                  <c:v>3.06</c:v>
                </c:pt>
                <c:pt idx="3061">
                  <c:v>3.0609999999999999</c:v>
                </c:pt>
                <c:pt idx="3062">
                  <c:v>3.0619999999999998</c:v>
                </c:pt>
                <c:pt idx="3063">
                  <c:v>3.0630000000000002</c:v>
                </c:pt>
                <c:pt idx="3064">
                  <c:v>3.0640000000000001</c:v>
                </c:pt>
                <c:pt idx="3065">
                  <c:v>3.0649999999999999</c:v>
                </c:pt>
                <c:pt idx="3066">
                  <c:v>3.0659999999999998</c:v>
                </c:pt>
                <c:pt idx="3067">
                  <c:v>3.0670000000000002</c:v>
                </c:pt>
                <c:pt idx="3068">
                  <c:v>3.0680000000000001</c:v>
                </c:pt>
                <c:pt idx="3069">
                  <c:v>3.069</c:v>
                </c:pt>
                <c:pt idx="3070">
                  <c:v>3.07</c:v>
                </c:pt>
                <c:pt idx="3071">
                  <c:v>3.0710000000000002</c:v>
                </c:pt>
                <c:pt idx="3072">
                  <c:v>3.0720000000000001</c:v>
                </c:pt>
                <c:pt idx="3073">
                  <c:v>3.073</c:v>
                </c:pt>
                <c:pt idx="3074">
                  <c:v>3.0739999999999998</c:v>
                </c:pt>
                <c:pt idx="3075">
                  <c:v>3.0750000000000002</c:v>
                </c:pt>
                <c:pt idx="3076">
                  <c:v>3.0760000000000001</c:v>
                </c:pt>
                <c:pt idx="3077">
                  <c:v>3.077</c:v>
                </c:pt>
                <c:pt idx="3078">
                  <c:v>3.0779999999999998</c:v>
                </c:pt>
                <c:pt idx="3079">
                  <c:v>3.0790000000000002</c:v>
                </c:pt>
                <c:pt idx="3080">
                  <c:v>3.08</c:v>
                </c:pt>
                <c:pt idx="3081">
                  <c:v>3.081</c:v>
                </c:pt>
                <c:pt idx="3082">
                  <c:v>3.0819999999999999</c:v>
                </c:pt>
                <c:pt idx="3083">
                  <c:v>3.0830000000000002</c:v>
                </c:pt>
                <c:pt idx="3084">
                  <c:v>3.0840000000000001</c:v>
                </c:pt>
                <c:pt idx="3085">
                  <c:v>3.085</c:v>
                </c:pt>
                <c:pt idx="3086">
                  <c:v>3.0859999999999999</c:v>
                </c:pt>
                <c:pt idx="3087">
                  <c:v>3.0870000000000002</c:v>
                </c:pt>
                <c:pt idx="3088">
                  <c:v>3.0880000000000001</c:v>
                </c:pt>
                <c:pt idx="3089">
                  <c:v>3.089</c:v>
                </c:pt>
                <c:pt idx="3090">
                  <c:v>3.09</c:v>
                </c:pt>
                <c:pt idx="3091">
                  <c:v>3.0910000000000002</c:v>
                </c:pt>
                <c:pt idx="3092">
                  <c:v>3.0920000000000001</c:v>
                </c:pt>
                <c:pt idx="3093">
                  <c:v>3.093</c:v>
                </c:pt>
                <c:pt idx="3094">
                  <c:v>3.0939999999999999</c:v>
                </c:pt>
                <c:pt idx="3095">
                  <c:v>3.0950000000000002</c:v>
                </c:pt>
                <c:pt idx="3096">
                  <c:v>3.0960000000000001</c:v>
                </c:pt>
                <c:pt idx="3097">
                  <c:v>3.097</c:v>
                </c:pt>
                <c:pt idx="3098">
                  <c:v>3.0979999999999999</c:v>
                </c:pt>
                <c:pt idx="3099">
                  <c:v>3.0990000000000002</c:v>
                </c:pt>
                <c:pt idx="3100">
                  <c:v>3.1</c:v>
                </c:pt>
                <c:pt idx="3101">
                  <c:v>3.101</c:v>
                </c:pt>
                <c:pt idx="3102">
                  <c:v>3.1019999999999999</c:v>
                </c:pt>
                <c:pt idx="3103">
                  <c:v>3.1030000000000002</c:v>
                </c:pt>
                <c:pt idx="3104">
                  <c:v>3.1040000000000001</c:v>
                </c:pt>
                <c:pt idx="3105">
                  <c:v>3.105</c:v>
                </c:pt>
                <c:pt idx="3106">
                  <c:v>3.1059999999999999</c:v>
                </c:pt>
                <c:pt idx="3107">
                  <c:v>3.1070000000000002</c:v>
                </c:pt>
                <c:pt idx="3108">
                  <c:v>3.1080000000000001</c:v>
                </c:pt>
                <c:pt idx="3109">
                  <c:v>3.109</c:v>
                </c:pt>
                <c:pt idx="3110">
                  <c:v>3.11</c:v>
                </c:pt>
                <c:pt idx="3111">
                  <c:v>3.1110000000000002</c:v>
                </c:pt>
                <c:pt idx="3112">
                  <c:v>3.1120000000000001</c:v>
                </c:pt>
                <c:pt idx="3113">
                  <c:v>3.113</c:v>
                </c:pt>
                <c:pt idx="3114">
                  <c:v>3.1139999999999999</c:v>
                </c:pt>
                <c:pt idx="3115">
                  <c:v>3.1150000000000002</c:v>
                </c:pt>
                <c:pt idx="3116">
                  <c:v>3.1160000000000001</c:v>
                </c:pt>
                <c:pt idx="3117">
                  <c:v>3.117</c:v>
                </c:pt>
                <c:pt idx="3118">
                  <c:v>3.1179999999999999</c:v>
                </c:pt>
                <c:pt idx="3119">
                  <c:v>3.1190000000000002</c:v>
                </c:pt>
                <c:pt idx="3120">
                  <c:v>3.12</c:v>
                </c:pt>
                <c:pt idx="3121">
                  <c:v>3.121</c:v>
                </c:pt>
                <c:pt idx="3122">
                  <c:v>3.1219999999999999</c:v>
                </c:pt>
                <c:pt idx="3123">
                  <c:v>3.1230000000000002</c:v>
                </c:pt>
                <c:pt idx="3124">
                  <c:v>3.1240000000000001</c:v>
                </c:pt>
                <c:pt idx="3125">
                  <c:v>3.125</c:v>
                </c:pt>
                <c:pt idx="3126">
                  <c:v>3.1259999999999999</c:v>
                </c:pt>
                <c:pt idx="3127">
                  <c:v>3.1269999999999998</c:v>
                </c:pt>
                <c:pt idx="3128">
                  <c:v>3.1280000000000001</c:v>
                </c:pt>
                <c:pt idx="3129">
                  <c:v>3.129</c:v>
                </c:pt>
                <c:pt idx="3130">
                  <c:v>3.13</c:v>
                </c:pt>
                <c:pt idx="3131">
                  <c:v>3.1309999999999998</c:v>
                </c:pt>
                <c:pt idx="3132">
                  <c:v>3.1320000000000001</c:v>
                </c:pt>
                <c:pt idx="3133">
                  <c:v>3.133</c:v>
                </c:pt>
                <c:pt idx="3134">
                  <c:v>3.1339999999999999</c:v>
                </c:pt>
                <c:pt idx="3135">
                  <c:v>3.1349999999999998</c:v>
                </c:pt>
                <c:pt idx="3136">
                  <c:v>3.1360000000000001</c:v>
                </c:pt>
                <c:pt idx="3137">
                  <c:v>3.137</c:v>
                </c:pt>
                <c:pt idx="3138">
                  <c:v>3.1379999999999999</c:v>
                </c:pt>
                <c:pt idx="3139">
                  <c:v>3.1389999999999998</c:v>
                </c:pt>
                <c:pt idx="3140">
                  <c:v>3.14</c:v>
                </c:pt>
                <c:pt idx="3141">
                  <c:v>3.141</c:v>
                </c:pt>
                <c:pt idx="3142">
                  <c:v>3.1419999999999999</c:v>
                </c:pt>
                <c:pt idx="3143">
                  <c:v>3.1429999999999998</c:v>
                </c:pt>
                <c:pt idx="3144">
                  <c:v>3.1440000000000001</c:v>
                </c:pt>
                <c:pt idx="3145">
                  <c:v>3.145</c:v>
                </c:pt>
                <c:pt idx="3146">
                  <c:v>3.1459999999999999</c:v>
                </c:pt>
                <c:pt idx="3147">
                  <c:v>3.1469999999999998</c:v>
                </c:pt>
                <c:pt idx="3148">
                  <c:v>3.1480000000000001</c:v>
                </c:pt>
                <c:pt idx="3149">
                  <c:v>3.149</c:v>
                </c:pt>
                <c:pt idx="3150">
                  <c:v>3.15</c:v>
                </c:pt>
                <c:pt idx="3151">
                  <c:v>3.1509999999999998</c:v>
                </c:pt>
                <c:pt idx="3152">
                  <c:v>3.1520000000000001</c:v>
                </c:pt>
                <c:pt idx="3153">
                  <c:v>3.153</c:v>
                </c:pt>
                <c:pt idx="3154">
                  <c:v>3.1539999999999999</c:v>
                </c:pt>
                <c:pt idx="3155">
                  <c:v>3.1549999999999998</c:v>
                </c:pt>
                <c:pt idx="3156">
                  <c:v>3.1560000000000001</c:v>
                </c:pt>
                <c:pt idx="3157">
                  <c:v>3.157</c:v>
                </c:pt>
                <c:pt idx="3158">
                  <c:v>3.1579999999999999</c:v>
                </c:pt>
                <c:pt idx="3159">
                  <c:v>3.1589999999999998</c:v>
                </c:pt>
                <c:pt idx="3160">
                  <c:v>3.16</c:v>
                </c:pt>
                <c:pt idx="3161">
                  <c:v>3.161</c:v>
                </c:pt>
                <c:pt idx="3162">
                  <c:v>3.1619999999999999</c:v>
                </c:pt>
                <c:pt idx="3163">
                  <c:v>3.1629999999999998</c:v>
                </c:pt>
                <c:pt idx="3164">
                  <c:v>3.1640000000000001</c:v>
                </c:pt>
                <c:pt idx="3165">
                  <c:v>3.165</c:v>
                </c:pt>
                <c:pt idx="3166">
                  <c:v>3.1659999999999999</c:v>
                </c:pt>
                <c:pt idx="3167">
                  <c:v>3.1669999999999998</c:v>
                </c:pt>
                <c:pt idx="3168">
                  <c:v>3.1680000000000001</c:v>
                </c:pt>
                <c:pt idx="3169">
                  <c:v>3.169</c:v>
                </c:pt>
                <c:pt idx="3170">
                  <c:v>3.17</c:v>
                </c:pt>
                <c:pt idx="3171">
                  <c:v>3.1709999999999998</c:v>
                </c:pt>
                <c:pt idx="3172">
                  <c:v>3.1720000000000002</c:v>
                </c:pt>
                <c:pt idx="3173">
                  <c:v>3.173</c:v>
                </c:pt>
                <c:pt idx="3174">
                  <c:v>3.1739999999999999</c:v>
                </c:pt>
                <c:pt idx="3175">
                  <c:v>3.1749999999999998</c:v>
                </c:pt>
                <c:pt idx="3176">
                  <c:v>3.1760000000000002</c:v>
                </c:pt>
                <c:pt idx="3177">
                  <c:v>3.177</c:v>
                </c:pt>
                <c:pt idx="3178">
                  <c:v>3.1779999999999999</c:v>
                </c:pt>
                <c:pt idx="3179">
                  <c:v>3.1789999999999998</c:v>
                </c:pt>
                <c:pt idx="3180">
                  <c:v>3.18</c:v>
                </c:pt>
                <c:pt idx="3181">
                  <c:v>3.181</c:v>
                </c:pt>
                <c:pt idx="3182">
                  <c:v>3.1819999999999999</c:v>
                </c:pt>
                <c:pt idx="3183">
                  <c:v>3.1829999999999998</c:v>
                </c:pt>
                <c:pt idx="3184">
                  <c:v>3.1840000000000002</c:v>
                </c:pt>
                <c:pt idx="3185">
                  <c:v>3.1850000000000001</c:v>
                </c:pt>
                <c:pt idx="3186">
                  <c:v>3.1859999999999999</c:v>
                </c:pt>
                <c:pt idx="3187">
                  <c:v>3.1869999999999998</c:v>
                </c:pt>
                <c:pt idx="3188">
                  <c:v>3.1880000000000002</c:v>
                </c:pt>
                <c:pt idx="3189">
                  <c:v>3.1890000000000001</c:v>
                </c:pt>
                <c:pt idx="3190">
                  <c:v>3.19</c:v>
                </c:pt>
                <c:pt idx="3191">
                  <c:v>3.1909999999999998</c:v>
                </c:pt>
                <c:pt idx="3192">
                  <c:v>3.1920000000000002</c:v>
                </c:pt>
                <c:pt idx="3193">
                  <c:v>3.1930000000000001</c:v>
                </c:pt>
                <c:pt idx="3194">
                  <c:v>3.194</c:v>
                </c:pt>
                <c:pt idx="3195">
                  <c:v>3.1949999999999998</c:v>
                </c:pt>
                <c:pt idx="3196">
                  <c:v>3.1960000000000002</c:v>
                </c:pt>
                <c:pt idx="3197">
                  <c:v>3.1970000000000001</c:v>
                </c:pt>
                <c:pt idx="3198">
                  <c:v>3.198</c:v>
                </c:pt>
                <c:pt idx="3199">
                  <c:v>3.1989999999999998</c:v>
                </c:pt>
                <c:pt idx="3200">
                  <c:v>3.2</c:v>
                </c:pt>
                <c:pt idx="3201">
                  <c:v>3.2010000000000001</c:v>
                </c:pt>
                <c:pt idx="3202">
                  <c:v>3.202</c:v>
                </c:pt>
                <c:pt idx="3203">
                  <c:v>3.2029999999999998</c:v>
                </c:pt>
                <c:pt idx="3204">
                  <c:v>3.2040000000000002</c:v>
                </c:pt>
                <c:pt idx="3205">
                  <c:v>3.2050000000000001</c:v>
                </c:pt>
                <c:pt idx="3206">
                  <c:v>3.206</c:v>
                </c:pt>
                <c:pt idx="3207">
                  <c:v>3.2069999999999999</c:v>
                </c:pt>
                <c:pt idx="3208">
                  <c:v>3.2080000000000002</c:v>
                </c:pt>
                <c:pt idx="3209">
                  <c:v>3.2090000000000001</c:v>
                </c:pt>
                <c:pt idx="3210">
                  <c:v>3.21</c:v>
                </c:pt>
                <c:pt idx="3211">
                  <c:v>3.2109999999999999</c:v>
                </c:pt>
                <c:pt idx="3212">
                  <c:v>3.2120000000000002</c:v>
                </c:pt>
                <c:pt idx="3213">
                  <c:v>3.2130000000000001</c:v>
                </c:pt>
                <c:pt idx="3214">
                  <c:v>3.214</c:v>
                </c:pt>
                <c:pt idx="3215">
                  <c:v>3.2149999999999999</c:v>
                </c:pt>
                <c:pt idx="3216">
                  <c:v>3.2160000000000002</c:v>
                </c:pt>
                <c:pt idx="3217">
                  <c:v>3.2170000000000001</c:v>
                </c:pt>
                <c:pt idx="3218">
                  <c:v>3.218</c:v>
                </c:pt>
                <c:pt idx="3219">
                  <c:v>3.2189999999999999</c:v>
                </c:pt>
                <c:pt idx="3220">
                  <c:v>3.22</c:v>
                </c:pt>
                <c:pt idx="3221">
                  <c:v>3.2210000000000001</c:v>
                </c:pt>
                <c:pt idx="3222">
                  <c:v>3.222</c:v>
                </c:pt>
                <c:pt idx="3223">
                  <c:v>3.2229999999999999</c:v>
                </c:pt>
                <c:pt idx="3224">
                  <c:v>3.2240000000000002</c:v>
                </c:pt>
                <c:pt idx="3225">
                  <c:v>3.2250000000000001</c:v>
                </c:pt>
                <c:pt idx="3226">
                  <c:v>3.226</c:v>
                </c:pt>
                <c:pt idx="3227">
                  <c:v>3.2269999999999999</c:v>
                </c:pt>
                <c:pt idx="3228">
                  <c:v>3.2280000000000002</c:v>
                </c:pt>
                <c:pt idx="3229">
                  <c:v>3.2290000000000001</c:v>
                </c:pt>
              </c:numCache>
            </c:numRef>
          </c:xVal>
          <c:yVal>
            <c:numRef>
              <c:f>Sheet2!$S$2:$S$3231</c:f>
              <c:numCache>
                <c:formatCode>General</c:formatCode>
                <c:ptCount val="3230"/>
                <c:pt idx="0">
                  <c:v>20</c:v>
                </c:pt>
                <c:pt idx="1">
                  <c:v>19.996735159366516</c:v>
                </c:pt>
                <c:pt idx="2">
                  <c:v>19.986949565236689</c:v>
                </c:pt>
                <c:pt idx="3">
                  <c:v>19.970658186818465</c:v>
                </c:pt>
                <c:pt idx="4">
                  <c:v>19.947878089683286</c:v>
                </c:pt>
                <c:pt idx="5">
                  <c:v>19.918628426410425</c:v>
                </c:pt>
                <c:pt idx="6">
                  <c:v>19.882930426567139</c:v>
                </c:pt>
                <c:pt idx="7">
                  <c:v>19.840807386028931</c:v>
                </c:pt>
                <c:pt idx="8">
                  <c:v>19.792284655644739</c:v>
                </c:pt>
                <c:pt idx="9">
                  <c:v>19.737389629251851</c:v>
                </c:pt>
                <c:pt idx="10">
                  <c:v>19.676151731045685</c:v>
                </c:pt>
                <c:pt idx="11">
                  <c:v>19.608602402309668</c:v>
                </c:pt>
                <c:pt idx="12">
                  <c:v>19.534775087510745</c:v>
                </c:pt>
                <c:pt idx="13">
                  <c:v>19.454705219766204</c:v>
                </c:pt>
                <c:pt idx="14">
                  <c:v>19.368430205687638</c:v>
                </c:pt>
                <c:pt idx="15">
                  <c:v>19.275989409608187</c:v>
                </c:pt>
                <c:pt idx="16">
                  <c:v>19.177424137199289</c:v>
                </c:pt>
                <c:pt idx="17">
                  <c:v>19.072777618483375</c:v>
                </c:pt>
                <c:pt idx="18">
                  <c:v>18.962094990249163</c:v>
                </c:pt>
                <c:pt idx="19">
                  <c:v>18.845423277876385</c:v>
                </c:pt>
                <c:pt idx="20">
                  <c:v>18.72281137657691</c:v>
                </c:pt>
                <c:pt idx="21">
                  <c:v>18.594310032059429</c:v>
                </c:pt>
                <c:pt idx="22">
                  <c:v>18.459971820625157</c:v>
                </c:pt>
                <c:pt idx="23">
                  <c:v>18.319851128701906</c:v>
                </c:pt>
                <c:pt idx="24">
                  <c:v>18.174004131824386</c:v>
                </c:pt>
                <c:pt idx="25">
                  <c:v>18.022488773068503</c:v>
                </c:pt>
                <c:pt idx="26">
                  <c:v>17.865364740947683</c:v>
                </c:pt>
                <c:pt idx="27">
                  <c:v>17.702693446779445</c:v>
                </c:pt>
                <c:pt idx="28">
                  <c:v>17.534538001530546</c:v>
                </c:pt>
                <c:pt idx="29">
                  <c:v>17.360963192149196</c:v>
                </c:pt>
                <c:pt idx="30">
                  <c:v>17.182035457392988</c:v>
                </c:pt>
                <c:pt idx="31">
                  <c:v>16.997822863161371</c:v>
                </c:pt>
                <c:pt idx="32">
                  <c:v>16.808395077341569</c:v>
                </c:pt>
                <c:pt idx="33">
                  <c:v>16.613823344177064</c:v>
                </c:pt>
                <c:pt idx="34">
                  <c:v>16.414180458167891</c:v>
                </c:pt>
                <c:pt idx="35">
                  <c:v>16.20954073751205</c:v>
                </c:pt>
                <c:pt idx="36">
                  <c:v>15.999979997097563</c:v>
                </c:pt>
                <c:pt idx="37">
                  <c:v>15.785575521054831</c:v>
                </c:pt>
                <c:pt idx="38">
                  <c:v>15.566406034879016</c:v>
                </c:pt>
                <c:pt idx="39">
                  <c:v>15.342551677132292</c:v>
                </c:pt>
                <c:pt idx="40">
                  <c:v>15.114093970736004</c:v>
                </c:pt>
                <c:pt idx="41">
                  <c:v>14.881115793862872</c:v>
                </c:pt>
                <c:pt idx="42">
                  <c:v>14.643701350439361</c:v>
                </c:pt>
                <c:pt idx="43">
                  <c:v>14.401936140268672</c:v>
                </c:pt>
                <c:pt idx="44">
                  <c:v>14.15590692878467</c:v>
                </c:pt>
                <c:pt idx="45">
                  <c:v>13.9057017164474</c:v>
                </c:pt>
                <c:pt idx="46">
                  <c:v>13.651409707790744</c:v>
                </c:pt>
                <c:pt idx="47">
                  <c:v>13.393121280132995</c:v>
                </c:pt>
                <c:pt idx="48">
                  <c:v>13.130927951961132</c:v>
                </c:pt>
                <c:pt idx="49">
                  <c:v>12.864922350999763</c:v>
                </c:pt>
                <c:pt idx="50">
                  <c:v>12.595198181975654</c:v>
                </c:pt>
                <c:pt idx="51">
                  <c:v>12.321850194088972</c:v>
                </c:pt>
                <c:pt idx="52">
                  <c:v>12.044974148202353</c:v>
                </c:pt>
                <c:pt idx="53">
                  <c:v>11.764666783759058</c:v>
                </c:pt>
                <c:pt idx="54">
                  <c:v>11.481025785441437</c:v>
                </c:pt>
                <c:pt idx="55">
                  <c:v>11.194149749581111</c:v>
                </c:pt>
                <c:pt idx="56">
                  <c:v>10.904138150332265</c:v>
                </c:pt>
                <c:pt idx="57">
                  <c:v>10.6110913056195</c:v>
                </c:pt>
                <c:pt idx="58">
                  <c:v>10.315110342871789</c:v>
                </c:pt>
                <c:pt idx="59">
                  <c:v>10.016297164554134</c:v>
                </c:pt>
                <c:pt idx="60">
                  <c:v>9.7147544135084249</c:v>
                </c:pt>
                <c:pt idx="61">
                  <c:v>9.4105854381153318</c:v>
                </c:pt>
                <c:pt idx="62">
                  <c:v>9.103894257288788</c:v>
                </c:pt>
                <c:pt idx="63">
                  <c:v>8.7947855253147988</c:v>
                </c:pt>
                <c:pt idx="64">
                  <c:v>8.4833644965464465</c:v>
                </c:pt>
                <c:pt idx="65">
                  <c:v>8.169736989966724</c:v>
                </c:pt>
                <c:pt idx="66">
                  <c:v>7.8540093536311302</c:v>
                </c:pt>
                <c:pt idx="67">
                  <c:v>7.5362884290017549</c:v>
                </c:pt>
                <c:pt idx="68">
                  <c:v>7.2166815151847423</c:v>
                </c:pt>
                <c:pt idx="69">
                  <c:v>6.8952963330829746</c:v>
                </c:pt>
                <c:pt idx="70">
                  <c:v>6.5722409894758229</c:v>
                </c:pt>
                <c:pt idx="71">
                  <c:v>6.2476239410377934</c:v>
                </c:pt>
                <c:pt idx="72">
                  <c:v>5.921553958307971</c:v>
                </c:pt>
                <c:pt idx="73">
                  <c:v>5.5941400896220941</c:v>
                </c:pt>
                <c:pt idx="74">
                  <c:v>5.265491625019064</c:v>
                </c:pt>
                <c:pt idx="75">
                  <c:v>4.9357180601337891</c:v>
                </c:pt>
                <c:pt idx="76">
                  <c:v>4.6049290600880601</c:v>
                </c:pt>
                <c:pt idx="77">
                  <c:v>4.2732344233913908</c:v>
                </c:pt>
                <c:pt idx="78">
                  <c:v>3.9407440458634544</c:v>
                </c:pt>
                <c:pt idx="79">
                  <c:v>3.6075678845899368</c:v>
                </c:pt>
                <c:pt idx="80">
                  <c:v>3.2738159219234868</c:v>
                </c:pt>
                <c:pt idx="81">
                  <c:v>2.9395981295413929</c:v>
                </c:pt>
                <c:pt idx="82">
                  <c:v>2.6050244325716929</c:v>
                </c:pt>
                <c:pt idx="83">
                  <c:v>2.2702046737992299</c:v>
                </c:pt>
                <c:pt idx="84">
                  <c:v>1.9352485779632449</c:v>
                </c:pt>
                <c:pt idx="85">
                  <c:v>1.6002657161579348</c:v>
                </c:pt>
                <c:pt idx="86">
                  <c:v>1.265365470347483</c:v>
                </c:pt>
                <c:pt idx="87">
                  <c:v>0.93065699800686319</c:v>
                </c:pt>
                <c:pt idx="88">
                  <c:v>0.59624919689980349</c:v>
                </c:pt>
                <c:pt idx="89">
                  <c:v>0.26225067000510061</c:v>
                </c:pt>
                <c:pt idx="90">
                  <c:v>-7.1230309397532651E-2</c:v>
                </c:pt>
                <c:pt idx="91">
                  <c:v>-0.40408583247092855</c:v>
                </c:pt>
                <c:pt idx="92">
                  <c:v>-0.73620838938225919</c:v>
                </c:pt>
                <c:pt idx="93">
                  <c:v>-1.0674909036721658</c:v>
                </c:pt>
                <c:pt idx="94">
                  <c:v>-1.397826766420416</c:v>
                </c:pt>
                <c:pt idx="95">
                  <c:v>-1.7271098701972261</c:v>
                </c:pt>
                <c:pt idx="96">
                  <c:v>-2.0552346427896171</c:v>
                </c:pt>
                <c:pt idx="97">
                  <c:v>-2.3820960806921594</c:v>
                </c:pt>
                <c:pt idx="98">
                  <c:v>-2.7075897823516537</c:v>
                </c:pt>
                <c:pt idx="99">
                  <c:v>-3.0316119811552813</c:v>
                </c:pt>
                <c:pt idx="100">
                  <c:v>-3.3540595781519507</c:v>
                </c:pt>
                <c:pt idx="101">
                  <c:v>-3.6748301744966585</c:v>
                </c:pt>
                <c:pt idx="102">
                  <c:v>-3.9938221036077191</c:v>
                </c:pt>
                <c:pt idx="103">
                  <c:v>-4.3109344630269923</c:v>
                </c:pt>
                <c:pt idx="104">
                  <c:v>-4.6260671459730931</c:v>
                </c:pt>
                <c:pt idx="105">
                  <c:v>-4.9391208725779849</c:v>
                </c:pt>
                <c:pt idx="106">
                  <c:v>-5.2499972207972565</c:v>
                </c:pt>
                <c:pt idx="107">
                  <c:v>-5.5585986569845778</c:v>
                </c:pt>
                <c:pt idx="108">
                  <c:v>-5.8648285661210249</c:v>
                </c:pt>
                <c:pt idx="109">
                  <c:v>-6.1685912816899471</c:v>
                </c:pt>
                <c:pt idx="110">
                  <c:v>-6.4697921151883415</c:v>
                </c:pt>
                <c:pt idx="111">
                  <c:v>-6.7683373852656894</c:v>
                </c:pt>
                <c:pt idx="112">
                  <c:v>-7.0641344464814999</c:v>
                </c:pt>
                <c:pt idx="113">
                  <c:v>-7.3570917176727662</c:v>
                </c:pt>
                <c:pt idx="114">
                  <c:v>-7.6471187099228706</c:v>
                </c:pt>
                <c:pt idx="115">
                  <c:v>-7.9341260541234613</c:v>
                </c:pt>
                <c:pt idx="116">
                  <c:v>-8.2180255281210997</c:v>
                </c:pt>
                <c:pt idx="117">
                  <c:v>-8.4987300834404671</c:v>
                </c:pt>
                <c:pt idx="118">
                  <c:v>-8.7761538715763425</c:v>
                </c:pt>
                <c:pt idx="119">
                  <c:v>-9.0502122698463943</c:v>
                </c:pt>
                <c:pt idx="120">
                  <c:v>-9.3208219067971534</c:v>
                </c:pt>
                <c:pt idx="121">
                  <c:v>-9.5879006871558072</c:v>
                </c:pt>
                <c:pt idx="122">
                  <c:v>-9.8513678163203444</c:v>
                </c:pt>
                <c:pt idx="123">
                  <c:v>-10.111143824381003</c:v>
                </c:pt>
                <c:pt idx="124">
                  <c:v>-10.367150589665947</c:v>
                </c:pt>
                <c:pt idx="125">
                  <c:v>-10.619311361804369</c:v>
                </c:pt>
                <c:pt idx="126">
                  <c:v>-10.867550784300422</c:v>
                </c:pt>
                <c:pt idx="127">
                  <c:v>-11.111794916611377</c:v>
                </c:pt>
                <c:pt idx="128">
                  <c:v>-11.351971255723832</c:v>
                </c:pt>
                <c:pt idx="129">
                  <c:v>-11.588008757221715</c:v>
                </c:pt>
                <c:pt idx="130">
                  <c:v>-11.81983785584022</c:v>
                </c:pt>
                <c:pt idx="131">
                  <c:v>-12.047390485499797</c:v>
                </c:pt>
                <c:pt idx="132">
                  <c:v>-12.270600098814729</c:v>
                </c:pt>
                <c:pt idx="133">
                  <c:v>-12.489401686070732</c:v>
                </c:pt>
                <c:pt idx="134">
                  <c:v>-12.70373179366643</c:v>
                </c:pt>
                <c:pt idx="135">
                  <c:v>-12.913528542013662</c:v>
                </c:pt>
                <c:pt idx="136">
                  <c:v>-13.118731642891694</c:v>
                </c:pt>
                <c:pt idx="137">
                  <c:v>-13.319282416250699</c:v>
                </c:pt>
                <c:pt idx="138">
                  <c:v>-13.515123806460039</c:v>
                </c:pt>
                <c:pt idx="139">
                  <c:v>-13.706200397996962</c:v>
                </c:pt>
                <c:pt idx="140">
                  <c:v>-13.892458430571729</c:v>
                </c:pt>
                <c:pt idx="141">
                  <c:v>-14.073845813685113</c:v>
                </c:pt>
                <c:pt idx="142">
                  <c:v>-14.250312140614678</c:v>
                </c:pt>
                <c:pt idx="143">
                  <c:v>-14.421808701826212</c:v>
                </c:pt>
                <c:pt idx="144">
                  <c:v>-14.588288497806948</c:v>
                </c:pt>
                <c:pt idx="145">
                  <c:v>-14.749706251317615</c:v>
                </c:pt>
                <c:pt idx="146">
                  <c:v>-14.906018419060105</c:v>
                </c:pt>
                <c:pt idx="147">
                  <c:v>-15.057183202758226</c:v>
                </c:pt>
                <c:pt idx="148">
                  <c:v>-15.203160559648843</c:v>
                </c:pt>
                <c:pt idx="149">
                  <c:v>-15.343912212381118</c:v>
                </c:pt>
                <c:pt idx="150">
                  <c:v>-15.479401658321677</c:v>
                </c:pt>
                <c:pt idx="151">
                  <c:v>-15.609594178263725</c:v>
                </c:pt>
                <c:pt idx="152">
                  <c:v>-15.734456844538339</c:v>
                </c:pt>
                <c:pt idx="153">
                  <c:v>-15.853958528526395</c:v>
                </c:pt>
                <c:pt idx="154">
                  <c:v>-15.968069907569729</c:v>
                </c:pt>
                <c:pt idx="155">
                  <c:v>-16.076763471280394</c:v>
                </c:pt>
                <c:pt idx="156">
                  <c:v>-16.180013527247024</c:v>
                </c:pt>
                <c:pt idx="157">
                  <c:v>-16.27779620613752</c:v>
                </c:pt>
                <c:pt idx="158">
                  <c:v>-16.370089466197495</c:v>
                </c:pt>
                <c:pt idx="159">
                  <c:v>-16.456873097144118</c:v>
                </c:pt>
                <c:pt idx="160">
                  <c:v>-16.538128723455134</c:v>
                </c:pt>
                <c:pt idx="161">
                  <c:v>-16.613839807053132</c:v>
                </c:pt>
                <c:pt idx="162">
                  <c:v>-16.683991649385227</c:v>
                </c:pt>
                <c:pt idx="163">
                  <c:v>-16.748571392898615</c:v>
                </c:pt>
                <c:pt idx="164">
                  <c:v>-16.807568021912548</c:v>
                </c:pt>
                <c:pt idx="165">
                  <c:v>-16.860972362887626</c:v>
                </c:pt>
                <c:pt idx="166">
                  <c:v>-16.908777084093316</c:v>
                </c:pt>
                <c:pt idx="167">
                  <c:v>-16.950976694674942</c:v>
                </c:pt>
                <c:pt idx="168">
                  <c:v>-16.987567543121521</c:v>
                </c:pt>
                <c:pt idx="169">
                  <c:v>-17.018547815136053</c:v>
                </c:pt>
                <c:pt idx="170">
                  <c:v>-17.043917530909969</c:v>
                </c:pt>
                <c:pt idx="171">
                  <c:v>-17.063678541803807</c:v>
                </c:pt>
                <c:pt idx="172">
                  <c:v>-17.077834526436167</c:v>
                </c:pt>
                <c:pt idx="173">
                  <c:v>-17.08639098618336</c:v>
                </c:pt>
                <c:pt idx="174">
                  <c:v>-17.089355240092264</c:v>
                </c:pt>
                <c:pt idx="175">
                  <c:v>-17.086736419209096</c:v>
                </c:pt>
                <c:pt idx="176">
                  <c:v>-17.078545460327028</c:v>
                </c:pt>
                <c:pt idx="177">
                  <c:v>-17.064795099155685</c:v>
                </c:pt>
                <c:pt idx="178">
                  <c:v>-17.045499862915896</c:v>
                </c:pt>
                <c:pt idx="179">
                  <c:v>-17.020676062363059</c:v>
                </c:pt>
                <c:pt idx="180">
                  <c:v>-16.990341783242769</c:v>
                </c:pt>
                <c:pt idx="181">
                  <c:v>-16.954516877182606</c:v>
                </c:pt>
                <c:pt idx="182">
                  <c:v>-16.913222952023943</c:v>
                </c:pt>
                <c:pt idx="183">
                  <c:v>-16.866483361598071</c:v>
                </c:pt>
                <c:pt idx="184">
                  <c:v>-16.81432319495087</c:v>
                </c:pt>
                <c:pt idx="185">
                  <c:v>-16.756769265020612</c:v>
                </c:pt>
                <c:pt idx="186">
                  <c:v>-16.693850096773584</c:v>
                </c:pt>
                <c:pt idx="187">
                  <c:v>-16.625595914802282</c:v>
                </c:pt>
                <c:pt idx="188">
                  <c:v>-16.552038630391344</c:v>
                </c:pt>
                <c:pt idx="189">
                  <c:v>-16.473211828056272</c:v>
                </c:pt>
                <c:pt idx="190">
                  <c:v>-16.389150751560376</c:v>
                </c:pt>
                <c:pt idx="191">
                  <c:v>-16.299892289415421</c:v>
                </c:pt>
                <c:pt idx="192">
                  <c:v>-16.205474959871566</c:v>
                </c:pt>
                <c:pt idx="193">
                  <c:v>-16.105938895402605</c:v>
                </c:pt>
                <c:pt idx="194">
                  <c:v>-16.001325826692231</c:v>
                </c:pt>
                <c:pt idx="195">
                  <c:v>-15.891679066127699</c:v>
                </c:pt>
                <c:pt idx="196">
                  <c:v>-15.777043490806975</c:v>
                </c:pt>
                <c:pt idx="197">
                  <c:v>-15.65746552506592</c:v>
                </c:pt>
                <c:pt idx="198">
                  <c:v>-15.532993122531993</c:v>
                </c:pt>
                <c:pt idx="199">
                  <c:v>-15.403675747711249</c:v>
                </c:pt>
                <c:pt idx="200">
                  <c:v>-15.269564357115442</c:v>
                </c:pt>
                <c:pt idx="201">
                  <c:v>-15.130711379936267</c:v>
                </c:pt>
                <c:pt idx="202">
                  <c:v>-14.9871706982738</c:v>
                </c:pt>
                <c:pt idx="203">
                  <c:v>-14.838997626926458</c:v>
                </c:pt>
                <c:pt idx="204">
                  <c:v>-14.68624889274983</c:v>
                </c:pt>
                <c:pt idx="205">
                  <c:v>-14.528982613591939</c:v>
                </c:pt>
                <c:pt idx="206">
                  <c:v>-14.367258276812475</c:v>
                </c:pt>
                <c:pt idx="207">
                  <c:v>-14.201136717393929</c:v>
                </c:pt>
                <c:pt idx="208">
                  <c:v>-14.030680095652302</c:v>
                </c:pt>
                <c:pt idx="209">
                  <c:v>-13.855951874555585</c:v>
                </c:pt>
                <c:pt idx="210">
                  <c:v>-13.677016796657949</c:v>
                </c:pt>
                <c:pt idx="211">
                  <c:v>-13.493940860658046</c:v>
                </c:pt>
                <c:pt idx="212">
                  <c:v>-13.306791297589555</c:v>
                </c:pt>
                <c:pt idx="213">
                  <c:v>-13.115636546652558</c:v>
                </c:pt>
                <c:pt idx="214">
                  <c:v>-12.920546230694262</c:v>
                </c:pt>
                <c:pt idx="215">
                  <c:v>-12.72159113134758</c:v>
                </c:pt>
                <c:pt idx="216">
                  <c:v>-12.518843163836504</c:v>
                </c:pt>
                <c:pt idx="217">
                  <c:v>-12.3123753514569</c:v>
                </c:pt>
                <c:pt idx="218">
                  <c:v>-12.102261799741788</c:v>
                </c:pt>
                <c:pt idx="219">
                  <c:v>-11.888577670320007</c:v>
                </c:pt>
                <c:pt idx="220">
                  <c:v>-11.671399154477424</c:v>
                </c:pt>
                <c:pt idx="221">
                  <c:v>-11.450803446429784</c:v>
                </c:pt>
                <c:pt idx="222">
                  <c:v>-11.226868716316526</c:v>
                </c:pt>
                <c:pt idx="223">
                  <c:v>-10.999674082924804</c:v>
                </c:pt>
                <c:pt idx="224">
                  <c:v>-10.769299586153164</c:v>
                </c:pt>
                <c:pt idx="225">
                  <c:v>-10.535826159224285</c:v>
                </c:pt>
                <c:pt idx="226">
                  <c:v>-10.299335600656358</c:v>
                </c:pt>
                <c:pt idx="227">
                  <c:v>-10.059910546002628</c:v>
                </c:pt>
                <c:pt idx="228">
                  <c:v>-9.8176344393688115</c:v>
                </c:pt>
                <c:pt idx="229">
                  <c:v>-9.5725915047180052</c:v>
                </c:pt>
                <c:pt idx="230">
                  <c:v>-9.3248667169729131</c:v>
                </c:pt>
                <c:pt idx="231">
                  <c:v>-9.0745457729251484</c:v>
                </c:pt>
                <c:pt idx="232">
                  <c:v>-8.821715061961422</c:v>
                </c:pt>
                <c:pt idx="233">
                  <c:v>-8.5664616366166459</c:v>
                </c:pt>
                <c:pt idx="234">
                  <c:v>-8.308873182963616</c:v>
                </c:pt>
                <c:pt idx="235">
                  <c:v>-8.04903799084952</c:v>
                </c:pt>
                <c:pt idx="236">
                  <c:v>-7.7870449239890416</c:v>
                </c:pt>
                <c:pt idx="237">
                  <c:v>-7.5229833899242644</c:v>
                </c:pt>
                <c:pt idx="238">
                  <c:v>-7.2569433098612226</c:v>
                </c:pt>
                <c:pt idx="239">
                  <c:v>-6.9890150883933364</c:v>
                </c:pt>
                <c:pt idx="240">
                  <c:v>-6.7192895831217179</c:v>
                </c:pt>
                <c:pt idx="241">
                  <c:v>-6.447858074182502</c:v>
                </c:pt>
                <c:pt idx="242">
                  <c:v>-6.1748122336912674</c:v>
                </c:pt>
                <c:pt idx="243">
                  <c:v>-5.9002440951147799</c:v>
                </c:pt>
                <c:pt idx="244">
                  <c:v>-5.6242460225799613</c:v>
                </c:pt>
                <c:pt idx="245">
                  <c:v>-5.3469106801304935</c:v>
                </c:pt>
                <c:pt idx="246">
                  <c:v>-5.0683310009409883</c:v>
                </c:pt>
                <c:pt idx="247">
                  <c:v>-4.7886001564989229</c:v>
                </c:pt>
                <c:pt idx="248">
                  <c:v>-4.5078115257644384</c:v>
                </c:pt>
                <c:pt idx="249">
                  <c:v>-4.2260586643181242</c:v>
                </c:pt>
                <c:pt idx="250">
                  <c:v>-3.9434352735068638</c:v>
                </c:pt>
                <c:pt idx="251">
                  <c:v>-3.6600351695978248</c:v>
                </c:pt>
                <c:pt idx="252">
                  <c:v>-3.3759522529506385</c:v>
                </c:pt>
                <c:pt idx="253">
                  <c:v>-3.0912804772178055</c:v>
                </c:pt>
                <c:pt idx="254">
                  <c:v>-2.8061138185833285</c:v>
                </c:pt>
                <c:pt idx="255">
                  <c:v>-2.5205462450495353</c:v>
                </c:pt>
                <c:pt idx="256">
                  <c:v>-2.2346716857820383</c:v>
                </c:pt>
                <c:pt idx="257">
                  <c:v>-1.9485840005227262</c:v>
                </c:pt>
                <c:pt idx="258">
                  <c:v>-1.6623769490806506</c:v>
                </c:pt>
                <c:pt idx="259">
                  <c:v>-1.3761441609106067</c:v>
                </c:pt>
                <c:pt idx="260">
                  <c:v>-1.089979104789268</c:v>
                </c:pt>
                <c:pt idx="261">
                  <c:v>-0.80397505859838303</c:v>
                </c:pt>
                <c:pt idx="262">
                  <c:v>-0.5182250792249824</c:v>
                </c:pt>
                <c:pt idx="263">
                  <c:v>-0.23282197258800166</c:v>
                </c:pt>
                <c:pt idx="264">
                  <c:v>5.2141736199042894E-2</c:v>
                </c:pt>
                <c:pt idx="265">
                  <c:v>0.33657383251984724</c:v>
                </c:pt>
                <c:pt idx="266">
                  <c:v>0.62038244179215329</c:v>
                </c:pt>
                <c:pt idx="267">
                  <c:v>0.90347605884025917</c:v>
                </c:pt>
                <c:pt idx="268">
                  <c:v>1.1857635770939221</c:v>
                </c:pt>
                <c:pt idx="269">
                  <c:v>1.4671543176044319</c:v>
                </c:pt>
                <c:pt idx="270">
                  <c:v>1.7475580578687193</c:v>
                </c:pt>
                <c:pt idx="271">
                  <c:v>2.0268850604524329</c:v>
                </c:pt>
                <c:pt idx="272">
                  <c:v>2.3050461014030099</c:v>
                </c:pt>
                <c:pt idx="273">
                  <c:v>2.5819524984438447</c:v>
                </c:pt>
                <c:pt idx="274">
                  <c:v>2.8575161389407486</c:v>
                </c:pt>
                <c:pt idx="275">
                  <c:v>3.131649507631983</c:v>
                </c:pt>
                <c:pt idx="276">
                  <c:v>3.4042657141132566</c:v>
                </c:pt>
                <c:pt idx="277">
                  <c:v>3.6752785200690821</c:v>
                </c:pt>
                <c:pt idx="278">
                  <c:v>3.9446023662422491</c:v>
                </c:pt>
                <c:pt idx="279">
                  <c:v>4.2121523991328429</c:v>
                </c:pt>
                <c:pt idx="280">
                  <c:v>4.4778444974187428</c:v>
                </c:pt>
                <c:pt idx="281">
                  <c:v>4.7415952980894556</c:v>
                </c:pt>
                <c:pt idx="282">
                  <c:v>5.0033222222852078</c:v>
                </c:pt>
                <c:pt idx="283">
                  <c:v>5.2629435008335301</c:v>
                </c:pt>
                <c:pt idx="284">
                  <c:v>5.5203781994753234</c:v>
                </c:pt>
                <c:pt idx="285">
                  <c:v>5.7755462437729816</c:v>
                </c:pt>
                <c:pt idx="286">
                  <c:v>6.0283684436928553</c:v>
                </c:pt>
                <c:pt idx="287">
                  <c:v>6.2787665178546694</c:v>
                </c:pt>
                <c:pt idx="288">
                  <c:v>6.5266631174405809</c:v>
                </c:pt>
                <c:pt idx="289">
                  <c:v>6.7719818497566981</c:v>
                </c:pt>
                <c:pt idx="290">
                  <c:v>7.0146473014399522</c:v>
                </c:pt>
                <c:pt idx="291">
                  <c:v>7.2545850613034668</c:v>
                </c:pt>
                <c:pt idx="292">
                  <c:v>7.4917217428135494</c:v>
                </c:pt>
                <c:pt idx="293">
                  <c:v>7.7259850061916593</c:v>
                </c:pt>
                <c:pt idx="294">
                  <c:v>7.9573035801348331</c:v>
                </c:pt>
                <c:pt idx="295">
                  <c:v>8.1856072831481406</c:v>
                </c:pt>
                <c:pt idx="296">
                  <c:v>8.4108270444829323</c:v>
                </c:pt>
                <c:pt idx="297">
                  <c:v>8.632894924674698</c:v>
                </c:pt>
                <c:pt idx="298">
                  <c:v>8.8517441356746911</c:v>
                </c:pt>
                <c:pt idx="299">
                  <c:v>9.0673090605693165</c:v>
                </c:pt>
                <c:pt idx="300">
                  <c:v>9.2795252728816902</c:v>
                </c:pt>
                <c:pt idx="301">
                  <c:v>9.4883295554498126</c:v>
                </c:pt>
                <c:pt idx="302">
                  <c:v>9.693659918875932</c:v>
                </c:pt>
                <c:pt idx="303">
                  <c:v>9.8954556195418721</c:v>
                </c:pt>
                <c:pt idx="304">
                  <c:v>10.093657177185246</c:v>
                </c:pt>
                <c:pt idx="305">
                  <c:v>10.288206392031535</c:v>
                </c:pt>
                <c:pt idx="306">
                  <c:v>10.47904636147736</c:v>
                </c:pt>
                <c:pt idx="307">
                  <c:v>10.666121496320205</c:v>
                </c:pt>
                <c:pt idx="308">
                  <c:v>10.849377536530167</c:v>
                </c:pt>
                <c:pt idx="309">
                  <c:v>11.028761566559405</c:v>
                </c:pt>
                <c:pt idx="310">
                  <c:v>11.204222030185136</c:v>
                </c:pt>
                <c:pt idx="311">
                  <c:v>11.375708744882138</c:v>
                </c:pt>
                <c:pt idx="312">
                  <c:v>11.543172915720957</c:v>
                </c:pt>
                <c:pt idx="313">
                  <c:v>11.70656714878813</c:v>
                </c:pt>
                <c:pt idx="314">
                  <c:v>11.86584546412487</c:v>
                </c:pt>
                <c:pt idx="315">
                  <c:v>12.020963308180958</c:v>
                </c:pt>
                <c:pt idx="316">
                  <c:v>12.171877565780514</c:v>
                </c:pt>
                <c:pt idx="317">
                  <c:v>12.318546571596737</c:v>
                </c:pt>
                <c:pt idx="318">
                  <c:v>12.460930121132693</c:v>
                </c:pt>
                <c:pt idx="319">
                  <c:v>12.5989894812055</c:v>
                </c:pt>
                <c:pt idx="320">
                  <c:v>12.732687399931345</c:v>
                </c:pt>
                <c:pt idx="321">
                  <c:v>12.861988116209011</c:v>
                </c:pt>
                <c:pt idx="322">
                  <c:v>12.986857368699685</c:v>
                </c:pt>
                <c:pt idx="323">
                  <c:v>13.107262404301084</c:v>
                </c:pt>
                <c:pt idx="324">
                  <c:v>13.223171986113982</c:v>
                </c:pt>
                <c:pt idx="325">
                  <c:v>13.334556400899489</c:v>
                </c:pt>
                <c:pt idx="326">
                  <c:v>13.441387466025578</c:v>
                </c:pt>
                <c:pt idx="327">
                  <c:v>13.543638535901474</c:v>
                </c:pt>
                <c:pt idx="328">
                  <c:v>13.641284507898781</c:v>
                </c:pt>
                <c:pt idx="329">
                  <c:v>13.734301827758308</c:v>
                </c:pt>
                <c:pt idx="330">
                  <c:v>13.82266849448175</c:v>
                </c:pt>
                <c:pt idx="331">
                  <c:v>13.906364064707587</c:v>
                </c:pt>
                <c:pt idx="332">
                  <c:v>13.98536965657069</c:v>
                </c:pt>
                <c:pt idx="333">
                  <c:v>14.059667953045327</c:v>
                </c:pt>
                <c:pt idx="334">
                  <c:v>14.129243204771322</c:v>
                </c:pt>
                <c:pt idx="335">
                  <c:v>14.194081232363551</c:v>
                </c:pt>
                <c:pt idx="336">
                  <c:v>14.254169428204747</c:v>
                </c:pt>
                <c:pt idx="337">
                  <c:v>14.309496757722135</c:v>
                </c:pt>
                <c:pt idx="338">
                  <c:v>14.360053760148309</c:v>
                </c:pt>
                <c:pt idx="339">
                  <c:v>14.405832548767085</c:v>
                </c:pt>
                <c:pt idx="340">
                  <c:v>14.446826810645154</c:v>
                </c:pt>
                <c:pt idx="341">
                  <c:v>14.483031805850549</c:v>
                </c:pt>
                <c:pt idx="342">
                  <c:v>14.514444366159138</c:v>
                </c:pt>
                <c:pt idx="343">
                  <c:v>14.54106289325045</c:v>
                </c:pt>
                <c:pt idx="344">
                  <c:v>14.562887356394397</c:v>
                </c:pt>
                <c:pt idx="345">
                  <c:v>14.579919289630487</c:v>
                </c:pt>
                <c:pt idx="346">
                  <c:v>14.592161788441453</c:v>
                </c:pt>
                <c:pt idx="347">
                  <c:v>14.599619505923227</c:v>
                </c:pt>
                <c:pt idx="348">
                  <c:v>14.602298648453488</c:v>
                </c:pt>
                <c:pt idx="349">
                  <c:v>14.600206970861</c:v>
                </c:pt>
                <c:pt idx="350">
                  <c:v>14.593353771098357</c:v>
                </c:pt>
                <c:pt idx="351">
                  <c:v>14.581749884420613</c:v>
                </c:pt>
                <c:pt idx="352">
                  <c:v>14.565407677072749</c:v>
                </c:pt>
                <c:pt idx="353">
                  <c:v>14.54434103948878</c:v>
                </c:pt>
                <c:pt idx="354">
                  <c:v>14.518565379005731</c:v>
                </c:pt>
                <c:pt idx="355">
                  <c:v>14.488097612095604</c:v>
                </c:pt>
                <c:pt idx="356">
                  <c:v>14.452956156118892</c:v>
                </c:pt>
                <c:pt idx="357">
                  <c:v>14.413160920603039</c:v>
                </c:pt>
                <c:pt idx="358">
                  <c:v>14.368733298049694</c:v>
                </c:pt>
                <c:pt idx="359">
                  <c:v>14.319696154274485</c:v>
                </c:pt>
                <c:pt idx="360">
                  <c:v>14.266073818283434</c:v>
                </c:pt>
                <c:pt idx="361">
                  <c:v>14.20789207169001</c:v>
                </c:pt>
                <c:pt idx="362">
                  <c:v>14.14517813767727</c:v>
                </c:pt>
                <c:pt idx="363">
                  <c:v>14.07796066950934</c:v>
                </c:pt>
                <c:pt idx="364">
                  <c:v>14.00626973859695</c:v>
                </c:pt>
                <c:pt idx="365">
                  <c:v>13.930136822121625</c:v>
                </c:pt>
                <c:pt idx="366">
                  <c:v>13.849594790223403</c:v>
                </c:pt>
                <c:pt idx="367">
                  <c:v>13.764677892757057</c:v>
                </c:pt>
                <c:pt idx="368">
                  <c:v>13.675421745621916</c:v>
                </c:pt>
                <c:pt idx="369">
                  <c:v>13.581863316670493</c:v>
                </c:pt>
                <c:pt idx="370">
                  <c:v>13.484040911201326</c:v>
                </c:pt>
                <c:pt idx="371">
                  <c:v>13.381994157041493</c:v>
                </c:pt>
                <c:pt idx="372">
                  <c:v>13.275763989224368</c:v>
                </c:pt>
                <c:pt idx="373">
                  <c:v>13.165392634268471</c:v>
                </c:pt>
                <c:pt idx="374">
                  <c:v>13.050923594063102</c:v>
                </c:pt>
                <c:pt idx="375">
                  <c:v>12.932401629366881</c:v>
                </c:pt>
                <c:pt idx="376">
                  <c:v>12.80987274292514</c:v>
                </c:pt>
                <c:pt idx="377">
                  <c:v>12.683384162212521</c:v>
                </c:pt>
                <c:pt idx="378">
                  <c:v>12.552984321806925</c:v>
                </c:pt>
                <c:pt idx="379">
                  <c:v>12.418722845401343</c:v>
                </c:pt>
                <c:pt idx="380">
                  <c:v>12.280650527460081</c:v>
                </c:pt>
                <c:pt idx="381">
                  <c:v>12.138819314525932</c:v>
                </c:pt>
                <c:pt idx="382">
                  <c:v>11.993282286185135</c:v>
                </c:pt>
                <c:pt idx="383">
                  <c:v>11.844093635696888</c:v>
                </c:pt>
                <c:pt idx="384">
                  <c:v>11.691308650294305</c:v>
                </c:pt>
                <c:pt idx="385">
                  <c:v>11.53498369116399</c:v>
                </c:pt>
                <c:pt idx="386">
                  <c:v>11.375176173111116</c:v>
                </c:pt>
                <c:pt idx="387">
                  <c:v>11.211944543917433</c:v>
                </c:pt>
                <c:pt idx="388">
                  <c:v>11.045348263399376</c:v>
                </c:pt>
                <c:pt idx="389">
                  <c:v>10.875447782173657</c:v>
                </c:pt>
                <c:pt idx="390">
                  <c:v>10.702304520137849</c:v>
                </c:pt>
                <c:pt idx="391">
                  <c:v>10.525980844673445</c:v>
                </c:pt>
                <c:pt idx="392">
                  <c:v>10.34654004857906</c:v>
                </c:pt>
                <c:pt idx="393">
                  <c:v>10.164046327741408</c:v>
                </c:pt>
                <c:pt idx="394">
                  <c:v>9.9785647585518742</c:v>
                </c:pt>
                <c:pt idx="395">
                  <c:v>9.7901612750764695</c:v>
                </c:pt>
                <c:pt idx="396">
                  <c:v>9.5989026459870779</c:v>
                </c:pt>
                <c:pt idx="397">
                  <c:v>9.4048564512619706</c:v>
                </c:pt>
                <c:pt idx="398">
                  <c:v>9.2080910586635802</c:v>
                </c:pt>
                <c:pt idx="399">
                  <c:v>9.0086756000016504</c:v>
                </c:pt>
                <c:pt idx="400">
                  <c:v>8.8066799471898527</c:v>
                </c:pt>
                <c:pt idx="401">
                  <c:v>8.602174688104089</c:v>
                </c:pt>
                <c:pt idx="402">
                  <c:v>8.3952311022507526</c:v>
                </c:pt>
                <c:pt idx="403">
                  <c:v>8.1859211362530946</c:v>
                </c:pt>
                <c:pt idx="404">
                  <c:v>7.974317379164213</c:v>
                </c:pt>
                <c:pt idx="405">
                  <c:v>7.7604930376148875</c:v>
                </c:pt>
                <c:pt idx="406">
                  <c:v>7.5445219108047663</c:v>
                </c:pt>
                <c:pt idx="407">
                  <c:v>7.326478365345273</c:v>
                </c:pt>
                <c:pt idx="408">
                  <c:v>7.1064373099627254</c:v>
                </c:pt>
                <c:pt idx="409">
                  <c:v>6.8844741700702965</c:v>
                </c:pt>
                <c:pt idx="410">
                  <c:v>6.6606648622171498</c:v>
                </c:pt>
                <c:pt idx="411">
                  <c:v>6.4350857684234519</c:v>
                </c:pt>
                <c:pt idx="412">
                  <c:v>6.207813710409833</c:v>
                </c:pt>
                <c:pt idx="413">
                  <c:v>5.9789259237298324</c:v>
                </c:pt>
                <c:pt idx="414">
                  <c:v>5.7485000318140189</c:v>
                </c:pt>
                <c:pt idx="415">
                  <c:v>5.5166140199343641</c:v>
                </c:pt>
                <c:pt idx="416">
                  <c:v>5.2833462090975445</c:v>
                </c:pt>
                <c:pt idx="417">
                  <c:v>5.0487752298758046</c:v>
                </c:pt>
                <c:pt idx="418">
                  <c:v>4.8129799961840334</c:v>
                </c:pt>
                <c:pt idx="419">
                  <c:v>4.5760396790117266</c:v>
                </c:pt>
                <c:pt idx="420">
                  <c:v>4.3380336801184702</c:v>
                </c:pt>
                <c:pt idx="421">
                  <c:v>4.099041605701597</c:v>
                </c:pt>
                <c:pt idx="422">
                  <c:v>3.8591432400447294</c:v>
                </c:pt>
                <c:pt idx="423">
                  <c:v>3.6184185191556604</c:v>
                </c:pt>
                <c:pt idx="424">
                  <c:v>3.3769475044024437</c:v>
                </c:pt>
                <c:pt idx="425">
                  <c:v>3.1348103561561134</c:v>
                </c:pt>
                <c:pt idx="426">
                  <c:v>2.8920873074486968</c:v>
                </c:pt>
                <c:pt idx="427">
                  <c:v>2.6488586376550907</c:v>
                </c:pt>
                <c:pt idx="428">
                  <c:v>2.4052046462073253</c:v>
                </c:pt>
                <c:pt idx="429">
                  <c:v>2.1612056263497568</c:v>
                </c:pt>
                <c:pt idx="430">
                  <c:v>1.9169418389436719</c:v>
                </c:pt>
                <c:pt idx="431">
                  <c:v>1.6724934863297642</c:v>
                </c:pt>
                <c:pt idx="432">
                  <c:v>1.4279406862569122</c:v>
                </c:pt>
                <c:pt idx="433">
                  <c:v>1.1833634458856459</c:v>
                </c:pt>
                <c:pt idx="434">
                  <c:v>0.93884163587465386</c:v>
                </c:pt>
                <c:pt idx="435">
                  <c:v>0.69445496455863776</c:v>
                </c:pt>
                <c:pt idx="436">
                  <c:v>0.45028295222577525</c:v>
                </c:pt>
                <c:pt idx="437">
                  <c:v>0.20640490550301288</c:v>
                </c:pt>
                <c:pt idx="438">
                  <c:v>-3.71001081426654E-2</c:v>
                </c:pt>
                <c:pt idx="439">
                  <c:v>-0.2801532857788025</c:v>
                </c:pt>
                <c:pt idx="440">
                  <c:v>-0.52267611424999116</c:v>
                </c:pt>
                <c:pt idx="441">
                  <c:v>-0.76459039528011474</c:v>
                </c:pt>
                <c:pt idx="442">
                  <c:v>-1.0058182704265441</c:v>
                </c:pt>
                <c:pt idx="443">
                  <c:v>-1.2462822458783447</c:v>
                </c:pt>
                <c:pt idx="444">
                  <c:v>-1.4859052170906906</c:v>
                </c:pt>
                <c:pt idx="445">
                  <c:v>-1.7246104932477313</c:v>
                </c:pt>
                <c:pt idx="446">
                  <c:v>-1.9623218215463156</c:v>
                </c:pt>
                <c:pt idx="447">
                  <c:v>-2.1989634112927443</c:v>
                </c:pt>
                <c:pt idx="448">
                  <c:v>-2.4344599578053394</c:v>
                </c:pt>
                <c:pt idx="449">
                  <c:v>-2.668736666115235</c:v>
                </c:pt>
                <c:pt idx="450">
                  <c:v>-2.9017192744577796</c:v>
                </c:pt>
                <c:pt idx="451">
                  <c:v>-3.1333340775478233</c:v>
                </c:pt>
                <c:pt idx="452">
                  <c:v>-3.3635079496309914</c:v>
                </c:pt>
                <c:pt idx="453">
                  <c:v>-3.5921683673045339</c:v>
                </c:pt>
                <c:pt idx="454">
                  <c:v>-3.8192434321000102</c:v>
                </c:pt>
                <c:pt idx="455">
                  <c:v>-4.0446618928215843</c:v>
                </c:pt>
                <c:pt idx="456">
                  <c:v>-4.2683531676323607</c:v>
                </c:pt>
                <c:pt idx="457">
                  <c:v>-4.4902473658827171</c:v>
                </c:pt>
                <c:pt idx="458">
                  <c:v>-4.710275309673289</c:v>
                </c:pt>
                <c:pt idx="459">
                  <c:v>-4.9283685551467107</c:v>
                </c:pt>
                <c:pt idx="460">
                  <c:v>-5.1444594135009973</c:v>
                </c:pt>
                <c:pt idx="461">
                  <c:v>-5.3584809717188833</c:v>
                </c:pt>
                <c:pt idx="462">
                  <c:v>-5.5703671130061663</c:v>
                </c:pt>
                <c:pt idx="463">
                  <c:v>-5.7800525369336233</c:v>
                </c:pt>
                <c:pt idx="464">
                  <c:v>-5.9874727792757874</c:v>
                </c:pt>
                <c:pt idx="465">
                  <c:v>-6.1925642315411631</c:v>
                </c:pt>
                <c:pt idx="466">
                  <c:v>-6.395264160187903</c:v>
                </c:pt>
                <c:pt idx="467">
                  <c:v>-6.5955107255189844</c:v>
                </c:pt>
                <c:pt idx="468">
                  <c:v>-6.793243000251846</c:v>
                </c:pt>
                <c:pt idx="469">
                  <c:v>-6.9884009877563571</c:v>
                </c:pt>
                <c:pt idx="470">
                  <c:v>-7.1809256399564205</c:v>
                </c:pt>
                <c:pt idx="471">
                  <c:v>-7.3707588748894262</c:v>
                </c:pt>
                <c:pt idx="472">
                  <c:v>-7.5578435939186992</c:v>
                </c:pt>
                <c:pt idx="473">
                  <c:v>-7.7421236985940931</c:v>
                </c:pt>
                <c:pt idx="474">
                  <c:v>-7.9235441071554247</c:v>
                </c:pt>
                <c:pt idx="475">
                  <c:v>-8.1020507706745502</c:v>
                </c:pt>
                <c:pt idx="476">
                  <c:v>-8.2775906888309052</c:v>
                </c:pt>
                <c:pt idx="477">
                  <c:v>-8.450111925316607</c:v>
                </c:pt>
                <c:pt idx="478">
                  <c:v>-8.6195636228661616</c:v>
                </c:pt>
                <c:pt idx="479">
                  <c:v>-8.7858960179071151</c:v>
                </c:pt>
                <c:pt idx="480">
                  <c:v>-8.9490604548270465</c:v>
                </c:pt>
                <c:pt idx="481">
                  <c:v>-9.1090093998533987</c:v>
                </c:pt>
                <c:pt idx="482">
                  <c:v>-9.2656964545418532</c:v>
                </c:pt>
                <c:pt idx="483">
                  <c:v>-9.4190763688700514</c:v>
                </c:pt>
                <c:pt idx="484">
                  <c:v>-9.5691050539325975</c:v>
                </c:pt>
                <c:pt idx="485">
                  <c:v>-9.7157395942343179</c:v>
                </c:pt>
                <c:pt idx="486">
                  <c:v>-9.8589382595783501</c:v>
                </c:pt>
                <c:pt idx="487">
                  <c:v>-9.9986605165457281</c:v>
                </c:pt>
                <c:pt idx="488">
                  <c:v>-10.13486703956387</c:v>
                </c:pt>
                <c:pt idx="489">
                  <c:v>-10.267519721560609</c:v>
                </c:pt>
                <c:pt idx="490">
                  <c:v>-10.396581684201513</c:v>
                </c:pt>
                <c:pt idx="491">
                  <c:v>-10.522017287707449</c:v>
                </c:pt>
                <c:pt idx="492">
                  <c:v>-10.643792140250405</c:v>
                </c:pt>
                <c:pt idx="493">
                  <c:v>-10.761873106924797</c:v>
                </c:pt>
                <c:pt idx="494">
                  <c:v>-10.876228318292572</c:v>
                </c:pt>
                <c:pt idx="495">
                  <c:v>-10.986827178499588</c:v>
                </c:pt>
                <c:pt idx="496">
                  <c:v>-11.093640372961939</c:v>
                </c:pt>
                <c:pt idx="497">
                  <c:v>-11.196639875619949</c:v>
                </c:pt>
                <c:pt idx="498">
                  <c:v>-11.295798955758723</c:v>
                </c:pt>
                <c:pt idx="499">
                  <c:v>-11.391092184393429</c:v>
                </c:pt>
                <c:pt idx="500">
                  <c:v>-11.482495440218345</c:v>
                </c:pt>
                <c:pt idx="501">
                  <c:v>-11.569985915118183</c:v>
                </c:pt>
                <c:pt idx="502">
                  <c:v>-11.653542119241001</c:v>
                </c:pt>
                <c:pt idx="503">
                  <c:v>-11.733143885631634</c:v>
                </c:pt>
                <c:pt idx="504">
                  <c:v>-11.80877237442494</c:v>
                </c:pt>
                <c:pt idx="505">
                  <c:v>-11.880410076598436</c:v>
                </c:pt>
                <c:pt idx="506">
                  <c:v>-11.948040817283644</c:v>
                </c:pt>
                <c:pt idx="507">
                  <c:v>-12.011649758636183</c:v>
                </c:pt>
                <c:pt idx="508">
                  <c:v>-12.071223402264113</c:v>
                </c:pt>
                <c:pt idx="509">
                  <c:v>-12.126749591214885</c:v>
                </c:pt>
                <c:pt idx="510">
                  <c:v>-12.178217511520717</c:v>
                </c:pt>
                <c:pt idx="511">
                  <c:v>-12.225617693302992</c:v>
                </c:pt>
                <c:pt idx="512">
                  <c:v>-12.268942011435847</c:v>
                </c:pt>
                <c:pt idx="513">
                  <c:v>-12.30818368576977</c:v>
                </c:pt>
                <c:pt idx="514">
                  <c:v>-12.343337280915689</c:v>
                </c:pt>
                <c:pt idx="515">
                  <c:v>-12.374398705590675</c:v>
                </c:pt>
                <c:pt idx="516">
                  <c:v>-12.401365211525992</c:v>
                </c:pt>
                <c:pt idx="517">
                  <c:v>-12.424235391938902</c:v>
                </c:pt>
                <c:pt idx="518">
                  <c:v>-12.443009179569305</c:v>
                </c:pt>
                <c:pt idx="519">
                  <c:v>-12.457687844282745</c:v>
                </c:pt>
                <c:pt idx="520">
                  <c:v>-12.46827399024135</c:v>
                </c:pt>
                <c:pt idx="521">
                  <c:v>-12.474771552644356</c:v>
                </c:pt>
                <c:pt idx="522">
                  <c:v>-12.477185794040091</c:v>
                </c:pt>
                <c:pt idx="523">
                  <c:v>-12.47552330021141</c:v>
                </c:pt>
                <c:pt idx="524">
                  <c:v>-12.469791975636653</c:v>
                </c:pt>
                <c:pt idx="525">
                  <c:v>-12.4600010385284</c:v>
                </c:pt>
                <c:pt idx="526">
                  <c:v>-12.446161015452413</c:v>
                </c:pt>
                <c:pt idx="527">
                  <c:v>-12.428283735529268</c:v>
                </c:pt>
                <c:pt idx="528">
                  <c:v>-12.406382324221294</c:v>
                </c:pt>
                <c:pt idx="529">
                  <c:v>-12.380471196707658</c:v>
                </c:pt>
                <c:pt idx="530">
                  <c:v>-12.350566050850457</c:v>
                </c:pt>
                <c:pt idx="531">
                  <c:v>-12.316683859754859</c:v>
                </c:pt>
                <c:pt idx="532">
                  <c:v>-12.278842863926444</c:v>
                </c:pt>
                <c:pt idx="533">
                  <c:v>-12.237062563029099</c:v>
                </c:pt>
                <c:pt idx="534">
                  <c:v>-12.19136370724674</c:v>
                </c:pt>
                <c:pt idx="535">
                  <c:v>-12.141768288252569</c:v>
                </c:pt>
                <c:pt idx="536">
                  <c:v>-12.088299529789385</c:v>
                </c:pt>
                <c:pt idx="537">
                  <c:v>-12.030981877864752</c:v>
                </c:pt>
                <c:pt idx="538">
                  <c:v>-11.969840990565048</c:v>
                </c:pt>
                <c:pt idx="539">
                  <c:v>-11.904903727492144</c:v>
                </c:pt>
                <c:pt idx="540">
                  <c:v>-11.836198138827168</c:v>
                </c:pt>
                <c:pt idx="541">
                  <c:v>-11.763753454025284</c:v>
                </c:pt>
                <c:pt idx="542">
                  <c:v>-11.687600070146107</c:v>
                </c:pt>
                <c:pt idx="543">
                  <c:v>-11.607769539824012</c:v>
                </c:pt>
                <c:pt idx="544">
                  <c:v>-11.524294558883065</c:v>
                </c:pt>
                <c:pt idx="545">
                  <c:v>-11.437208953601138</c:v>
                </c:pt>
                <c:pt idx="546">
                  <c:v>-11.346547667628155</c:v>
                </c:pt>
                <c:pt idx="547">
                  <c:v>-11.252346748563129</c:v>
                </c:pt>
                <c:pt idx="548">
                  <c:v>-11.154643334195285</c:v>
                </c:pt>
                <c:pt idx="549">
                  <c:v>-11.053475638414037</c:v>
                </c:pt>
                <c:pt idx="550">
                  <c:v>-10.948882936793366</c:v>
                </c:pt>
                <c:pt idx="551">
                  <c:v>-10.840905551855515</c:v>
                </c:pt>
                <c:pt idx="552">
                  <c:v>-10.729584838019793</c:v>
                </c:pt>
                <c:pt idx="553">
                  <c:v>-10.614963166241589</c:v>
                </c:pt>
                <c:pt idx="554">
                  <c:v>-10.497083908347417</c:v>
                </c:pt>
                <c:pt idx="555">
                  <c:v>-10.375991421071616</c:v>
                </c:pt>
                <c:pt idx="556">
                  <c:v>-10.251731029800318</c:v>
                </c:pt>
                <c:pt idx="557">
                  <c:v>-10.12434901202873</c:v>
                </c:pt>
                <c:pt idx="558">
                  <c:v>-9.9938925805374268</c:v>
                </c:pt>
                <c:pt idx="559">
                  <c:v>-9.8604098662938604</c:v>
                </c:pt>
                <c:pt idx="560">
                  <c:v>-9.7239499010849642</c:v>
                </c:pt>
                <c:pt idx="561">
                  <c:v>-9.584562599887219</c:v>
                </c:pt>
                <c:pt idx="562">
                  <c:v>-9.442298742980153</c:v>
                </c:pt>
                <c:pt idx="563">
                  <c:v>-9.2972099578099048</c:v>
                </c:pt>
                <c:pt idx="564">
                  <c:v>-9.1493487006087708</c:v>
                </c:pt>
                <c:pt idx="565">
                  <c:v>-8.9987682377777887</c:v>
                </c:pt>
                <c:pt idx="566">
                  <c:v>-8.845522627038152</c:v>
                </c:pt>
                <c:pt idx="567">
                  <c:v>-8.6896666983586837</c:v>
                </c:pt>
                <c:pt idx="568">
                  <c:v>-8.5312560346654642</c:v>
                </c:pt>
                <c:pt idx="569">
                  <c:v>-8.3703469523407676</c:v>
                </c:pt>
                <c:pt idx="570">
                  <c:v>-8.2069964815175673</c:v>
                </c:pt>
                <c:pt idx="571">
                  <c:v>-8.0412623461769517</c:v>
                </c:pt>
                <c:pt idx="572">
                  <c:v>-7.8732029440547331</c:v>
                </c:pt>
                <c:pt idx="573">
                  <c:v>-7.702877326364713</c:v>
                </c:pt>
                <c:pt idx="574">
                  <c:v>-7.5303451773449988</c:v>
                </c:pt>
                <c:pt idx="575">
                  <c:v>-7.3556667936349278</c:v>
                </c:pt>
                <c:pt idx="576">
                  <c:v>-7.1789030634891375</c:v>
                </c:pt>
                <c:pt idx="577">
                  <c:v>-7.0001154458361317</c:v>
                </c:pt>
                <c:pt idx="578">
                  <c:v>-6.8193659491885183</c:v>
                </c:pt>
                <c:pt idx="579">
                  <c:v>-6.6367171104117553</c:v>
                </c:pt>
                <c:pt idx="580">
                  <c:v>-6.4522319733590061</c:v>
                </c:pt>
                <c:pt idx="581">
                  <c:v>-6.2659740673788775</c:v>
                </c:pt>
                <c:pt idx="582">
                  <c:v>-6.0780073857037582</c:v>
                </c:pt>
                <c:pt idx="583">
                  <c:v>-5.8883963637255041</c:v>
                </c:pt>
                <c:pt idx="584">
                  <c:v>-5.6972058571663338</c:v>
                </c:pt>
                <c:pt idx="585">
                  <c:v>-5.5045011201516534</c:v>
                </c:pt>
                <c:pt idx="586">
                  <c:v>-5.310347783192741</c:v>
                </c:pt>
                <c:pt idx="587">
                  <c:v>-5.114811831086052</c:v>
                </c:pt>
                <c:pt idx="588">
                  <c:v>-4.9179595807370919</c:v>
                </c:pt>
                <c:pt idx="589">
                  <c:v>-4.7198576589156476</c:v>
                </c:pt>
                <c:pt idx="590">
                  <c:v>-4.5205729799503445</c:v>
                </c:pt>
                <c:pt idx="591">
                  <c:v>-4.3201727233693381</c:v>
                </c:pt>
                <c:pt idx="592">
                  <c:v>-4.1187243114950984</c:v>
                </c:pt>
                <c:pt idx="593">
                  <c:v>-3.9162953870002317</c:v>
                </c:pt>
                <c:pt idx="594">
                  <c:v>-3.7129537904318926</c:v>
                </c:pt>
                <c:pt idx="595">
                  <c:v>-3.5087675377124188</c:v>
                </c:pt>
                <c:pt idx="596">
                  <c:v>-3.3038047976230471</c:v>
                </c:pt>
                <c:pt idx="597">
                  <c:v>-3.0981338692787102</c:v>
                </c:pt>
                <c:pt idx="598">
                  <c:v>-2.8918231596006718</c:v>
                </c:pt>
                <c:pt idx="599">
                  <c:v>-2.684941160794954</c:v>
                </c:pt>
                <c:pt idx="600">
                  <c:v>-2.4775564278432949</c:v>
                </c:pt>
                <c:pt idx="601">
                  <c:v>-2.2697375560145736</c:v>
                </c:pt>
                <c:pt idx="602">
                  <c:v>-2.0615531584033855</c:v>
                </c:pt>
                <c:pt idx="603">
                  <c:v>-1.8530718435036744</c:v>
                </c:pt>
                <c:pt idx="604">
                  <c:v>-1.6443621928240431</c:v>
                </c:pt>
                <c:pt idx="605">
                  <c:v>-1.4354927385526248</c:v>
                </c:pt>
                <c:pt idx="606">
                  <c:v>-1.2265319412780515</c:v>
                </c:pt>
                <c:pt idx="607">
                  <c:v>-1.0175481677743543</c:v>
                </c:pt>
                <c:pt idx="608">
                  <c:v>-0.80860966885627283</c:v>
                </c:pt>
                <c:pt idx="609">
                  <c:v>-0.59978455731270719</c:v>
                </c:pt>
                <c:pt idx="610">
                  <c:v>-0.39114078592486429</c:v>
                </c:pt>
                <c:pt idx="611">
                  <c:v>-0.18274612557632247</c:v>
                </c:pt>
                <c:pt idx="612">
                  <c:v>2.5331856537799565E-2</c:v>
                </c:pt>
                <c:pt idx="613">
                  <c:v>0.2330258185961506</c:v>
                </c:pt>
                <c:pt idx="614">
                  <c:v>0.44026866572340756</c:v>
                </c:pt>
                <c:pt idx="615">
                  <c:v>0.64699357144331016</c:v>
                </c:pt>
                <c:pt idx="616">
                  <c:v>0.85313399900502318</c:v>
                </c:pt>
                <c:pt idx="617">
                  <c:v>1.0586237225767547</c:v>
                </c:pt>
                <c:pt idx="618">
                  <c:v>1.2633968482992965</c:v>
                </c:pt>
                <c:pt idx="619">
                  <c:v>1.4673878351935161</c:v>
                </c:pt>
                <c:pt idx="620">
                  <c:v>1.6705315159145979</c:v>
                </c:pt>
                <c:pt idx="621">
                  <c:v>1.8727631173471804</c:v>
                </c:pt>
                <c:pt idx="622">
                  <c:v>2.0740182810343062</c:v>
                </c:pt>
                <c:pt idx="623">
                  <c:v>2.2742330834344657</c:v>
                </c:pt>
                <c:pt idx="624">
                  <c:v>2.4733440559997883</c:v>
                </c:pt>
                <c:pt idx="625">
                  <c:v>2.6712882050697955</c:v>
                </c:pt>
                <c:pt idx="626">
                  <c:v>2.8680030315739264</c:v>
                </c:pt>
                <c:pt idx="627">
                  <c:v>3.0634265505372689</c:v>
                </c:pt>
                <c:pt idx="628">
                  <c:v>3.2574973103832523</c:v>
                </c:pt>
                <c:pt idx="629">
                  <c:v>3.4501544120272185</c:v>
                </c:pt>
                <c:pt idx="630">
                  <c:v>3.6413375277554603</c:v>
                </c:pt>
                <c:pt idx="631">
                  <c:v>3.8309869198833759</c:v>
                </c:pt>
                <c:pt idx="632">
                  <c:v>4.0190434591876691</c:v>
                </c:pt>
                <c:pt idx="633">
                  <c:v>4.2054486431063536</c:v>
                </c:pt>
                <c:pt idx="634">
                  <c:v>4.3901446137016658</c:v>
                </c:pt>
                <c:pt idx="635">
                  <c:v>4.5730741753798458</c:v>
                </c:pt>
                <c:pt idx="636">
                  <c:v>4.7541808123630389</c:v>
                </c:pt>
                <c:pt idx="637">
                  <c:v>4.9334087059074569</c:v>
                </c:pt>
                <c:pt idx="638">
                  <c:v>5.1107027512632506</c:v>
                </c:pt>
                <c:pt idx="639">
                  <c:v>5.2860085743704248</c:v>
                </c:pt>
                <c:pt idx="640">
                  <c:v>5.4592725482863944</c:v>
                </c:pt>
                <c:pt idx="641">
                  <c:v>5.6304418093397643</c:v>
                </c:pt>
                <c:pt idx="642">
                  <c:v>5.7994642730060688</c:v>
                </c:pt>
                <c:pt idx="643">
                  <c:v>5.966288649500302</c:v>
                </c:pt>
                <c:pt idx="644">
                  <c:v>6.1308644590820673</c:v>
                </c:pt>
                <c:pt idx="645">
                  <c:v>6.2931420470686978</c:v>
                </c:pt>
                <c:pt idx="646">
                  <c:v>6.4530725985518034</c:v>
                </c:pt>
                <c:pt idx="647">
                  <c:v>6.6106081528134171</c:v>
                </c:pt>
                <c:pt idx="648">
                  <c:v>6.7657016174370384</c:v>
                </c:pt>
                <c:pt idx="649">
                  <c:v>6.9183067821100561</c:v>
                </c:pt>
                <c:pt idx="650">
                  <c:v>7.0683783321130882</c:v>
                </c:pt>
                <c:pt idx="651">
                  <c:v>7.2158718614928912</c:v>
                </c:pt>
                <c:pt idx="652">
                  <c:v>7.3607438859146521</c:v>
                </c:pt>
                <c:pt idx="653">
                  <c:v>7.5029518551904841</c:v>
                </c:pt>
                <c:pt idx="654">
                  <c:v>7.6424541654801788</c:v>
                </c:pt>
                <c:pt idx="655">
                  <c:v>7.7792101711612949</c:v>
                </c:pt>
                <c:pt idx="656">
                  <c:v>7.9131801963648085</c:v>
                </c:pt>
                <c:pt idx="657">
                  <c:v>8.0443255461736793</c:v>
                </c:pt>
                <c:pt idx="658">
                  <c:v>8.1726085174807626</c:v>
                </c:pt>
                <c:pt idx="659">
                  <c:v>8.2979924095036566</c:v>
                </c:pt>
                <c:pt idx="660">
                  <c:v>8.4204415339531877</c:v>
                </c:pt>
                <c:pt idx="661">
                  <c:v>8.539921224853229</c:v>
                </c:pt>
                <c:pt idx="662">
                  <c:v>8.6563978480090888</c:v>
                </c:pt>
                <c:pt idx="663">
                  <c:v>8.7698388101219305</c:v>
                </c:pt>
                <c:pt idx="664">
                  <c:v>8.880212567547197</c:v>
                </c:pt>
                <c:pt idx="665">
                  <c:v>8.9874886346944045</c:v>
                </c:pt>
                <c:pt idx="666">
                  <c:v>9.0916375920666468</c:v>
                </c:pt>
                <c:pt idx="667">
                  <c:v>9.1926310939374325</c:v>
                </c:pt>
                <c:pt idx="668">
                  <c:v>9.2904418756633778</c:v>
                </c:pt>
                <c:pt idx="669">
                  <c:v>9.3850437606306549</c:v>
                </c:pt>
                <c:pt idx="670">
                  <c:v>9.4764116668339646</c:v>
                </c:pt>
                <c:pt idx="671">
                  <c:v>9.5645216130862085</c:v>
                </c:pt>
                <c:pt idx="672">
                  <c:v>9.6493507248577775</c:v>
                </c:pt>
                <c:pt idx="673">
                  <c:v>9.7308772397439789</c:v>
                </c:pt>
                <c:pt idx="674">
                  <c:v>9.8090805125597651</c:v>
                </c:pt>
                <c:pt idx="675">
                  <c:v>9.8839410200604156</c:v>
                </c:pt>
                <c:pt idx="676">
                  <c:v>9.9554403652877266</c:v>
                </c:pt>
                <c:pt idx="677">
                  <c:v>10.023561281540566</c:v>
                </c:pt>
                <c:pt idx="678">
                  <c:v>10.088287635969449</c:v>
                </c:pt>
                <c:pt idx="679">
                  <c:v>10.149604432794588</c:v>
                </c:pt>
                <c:pt idx="680">
                  <c:v>10.207497816146855</c:v>
                </c:pt>
                <c:pt idx="681">
                  <c:v>10.261955072531771</c:v>
                </c:pt>
                <c:pt idx="682">
                  <c:v>10.312964632915991</c:v>
                </c:pt>
                <c:pt idx="683">
                  <c:v>10.360516074436637</c:v>
                </c:pt>
                <c:pt idx="684">
                  <c:v>10.404600121733356</c:v>
                </c:pt>
                <c:pt idx="685">
                  <c:v>10.445208647903504</c:v>
                </c:pt>
                <c:pt idx="686">
                  <c:v>10.482334675080713</c:v>
                </c:pt>
                <c:pt idx="687">
                  <c:v>10.515972374637442</c:v>
                </c:pt>
                <c:pt idx="688">
                  <c:v>10.546117067011991</c:v>
                </c:pt>
                <c:pt idx="689">
                  <c:v>10.572765221160891</c:v>
                </c:pt>
                <c:pt idx="690">
                  <c:v>10.595914453637304</c:v>
                </c:pt>
                <c:pt idx="691">
                  <c:v>10.615563527296644</c:v>
                </c:pt>
                <c:pt idx="692">
                  <c:v>10.631712349630298</c:v>
                </c:pt>
                <c:pt idx="693">
                  <c:v>10.644361970728841</c:v>
                </c:pt>
                <c:pt idx="694">
                  <c:v>10.65351458087596</c:v>
                </c:pt>
                <c:pt idx="695">
                  <c:v>10.659173507774581</c:v>
                </c:pt>
                <c:pt idx="696">
                  <c:v>10.661343213406781</c:v>
                </c:pt>
                <c:pt idx="697">
                  <c:v>10.66002929052916</c:v>
                </c:pt>
                <c:pt idx="698">
                  <c:v>10.655238458805451</c:v>
                </c:pt>
                <c:pt idx="699">
                  <c:v>10.646978560578338</c:v>
                </c:pt>
                <c:pt idx="700">
                  <c:v>10.635258556282459</c:v>
                </c:pt>
                <c:pt idx="701">
                  <c:v>10.620088519500769</c:v>
                </c:pt>
                <c:pt idx="702">
                  <c:v>10.601479631666518</c:v>
                </c:pt>
                <c:pt idx="703">
                  <c:v>10.579444176413221</c:v>
                </c:pt>
                <c:pt idx="704">
                  <c:v>10.553995533575053</c:v>
                </c:pt>
                <c:pt idx="705">
                  <c:v>10.525148172840339</c:v>
                </c:pt>
                <c:pt idx="706">
                  <c:v>10.49291764706075</c:v>
                </c:pt>
                <c:pt idx="707">
                  <c:v>10.457320585219099</c:v>
                </c:pt>
                <c:pt idx="708">
                  <c:v>10.418374685058541</c:v>
                </c:pt>
                <c:pt idx="709">
                  <c:v>10.376098705376327</c:v>
                </c:pt>
                <c:pt idx="710">
                  <c:v>10.330512457985082</c:v>
                </c:pt>
                <c:pt idx="711">
                  <c:v>10.281636799344996</c:v>
                </c:pt>
                <c:pt idx="712">
                  <c:v>10.229493621870082</c:v>
                </c:pt>
                <c:pt idx="713">
                  <c:v>10.174105844912093</c:v>
                </c:pt>
                <c:pt idx="714">
                  <c:v>10.115497405425469</c:v>
                </c:pt>
                <c:pt idx="715">
                  <c:v>10.05369324831708</c:v>
                </c:pt>
                <c:pt idx="716">
                  <c:v>9.9887193164843406</c:v>
                </c:pt>
                <c:pt idx="717">
                  <c:v>9.9206025405456657</c:v>
                </c:pt>
                <c:pt idx="718">
                  <c:v>9.8493708282670234</c:v>
                </c:pt>
                <c:pt idx="719">
                  <c:v>9.7750530536886782</c:v>
                </c:pt>
                <c:pt idx="720">
                  <c:v>9.6976790459562263</c:v>
                </c:pt>
                <c:pt idx="721">
                  <c:v>9.6172795778599909</c:v>
                </c:pt>
                <c:pt idx="722">
                  <c:v>9.5338863540872225</c:v>
                </c:pt>
                <c:pt idx="723">
                  <c:v>9.4475319991912325</c:v>
                </c:pt>
                <c:pt idx="724">
                  <c:v>9.3582500452821602</c:v>
                </c:pt>
                <c:pt idx="725">
                  <c:v>9.2660749194436178</c:v>
                </c:pt>
                <c:pt idx="726">
                  <c:v>9.1710419308800777</c:v>
                </c:pt>
                <c:pt idx="727">
                  <c:v>9.0731872577994217</c:v>
                </c:pt>
                <c:pt idx="728">
                  <c:v>8.9725479340357222</c:v>
                </c:pt>
                <c:pt idx="729">
                  <c:v>8.8691618354167137</c:v>
                </c:pt>
                <c:pt idx="730">
                  <c:v>8.7630676658812519</c:v>
                </c:pt>
                <c:pt idx="731">
                  <c:v>8.6543049433514199</c:v>
                </c:pt>
                <c:pt idx="732">
                  <c:v>8.5429139853645868</c:v>
                </c:pt>
                <c:pt idx="733">
                  <c:v>8.4289358944703086</c:v>
                </c:pt>
                <c:pt idx="734">
                  <c:v>8.3124125433975102</c:v>
                </c:pt>
                <c:pt idx="735">
                  <c:v>8.1933865599969966</c:v>
                </c:pt>
                <c:pt idx="736">
                  <c:v>8.0719013119646732</c:v>
                </c:pt>
                <c:pt idx="737">
                  <c:v>7.9480008913509899</c:v>
                </c:pt>
                <c:pt idx="738">
                  <c:v>7.8217300988617957</c:v>
                </c:pt>
                <c:pt idx="739">
                  <c:v>7.6931344279563927</c:v>
                </c:pt>
                <c:pt idx="740">
                  <c:v>7.5622600487480529</c:v>
                </c:pt>
                <c:pt idx="741">
                  <c:v>7.4291537917129116</c:v>
                </c:pt>
                <c:pt idx="742">
                  <c:v>7.2938631312125937</c:v>
                </c:pt>
                <c:pt idx="743">
                  <c:v>7.1564361688365894</c:v>
                </c:pt>
                <c:pt idx="744">
                  <c:v>7.0169216165698396</c:v>
                </c:pt>
                <c:pt idx="745">
                  <c:v>6.8753687797916614</c:v>
                </c:pt>
                <c:pt idx="746">
                  <c:v>6.731827540111512</c:v>
                </c:pt>
                <c:pt idx="747">
                  <c:v>6.5863483380478751</c:v>
                </c:pt>
                <c:pt idx="748">
                  <c:v>6.4389821555557987</c:v>
                </c:pt>
                <c:pt idx="749">
                  <c:v>6.2897804984094821</c:v>
                </c:pt>
                <c:pt idx="750">
                  <c:v>6.1387953784454865</c:v>
                </c:pt>
                <c:pt idx="751">
                  <c:v>5.9860792956730533</c:v>
                </c:pt>
                <c:pt idx="752">
                  <c:v>5.8316852202572615</c:v>
                </c:pt>
                <c:pt idx="753">
                  <c:v>5.6756665743812507</c:v>
                </c:pt>
                <c:pt idx="754">
                  <c:v>5.5180772139938181</c:v>
                </c:pt>
                <c:pt idx="755">
                  <c:v>5.358971410448186</c:v>
                </c:pt>
                <c:pt idx="756">
                  <c:v>5.1984038320385846</c:v>
                </c:pt>
                <c:pt idx="757">
                  <c:v>5.0364295254403606</c:v>
                </c:pt>
                <c:pt idx="758">
                  <c:v>4.8731038970603731</c:v>
                </c:pt>
                <c:pt idx="759">
                  <c:v>4.7084826943033882</c:v>
                </c:pt>
                <c:pt idx="760">
                  <c:v>4.5426219867612669</c:v>
                </c:pt>
                <c:pt idx="761">
                  <c:v>4.375578147330712</c:v>
                </c:pt>
                <c:pt idx="762">
                  <c:v>4.2074078332663722</c:v>
                </c:pt>
                <c:pt idx="763">
                  <c:v>4.0381679671750845</c:v>
                </c:pt>
                <c:pt idx="764">
                  <c:v>3.8679157179581076</c:v>
                </c:pt>
                <c:pt idx="765">
                  <c:v>3.6967084817071116</c:v>
                </c:pt>
                <c:pt idx="766">
                  <c:v>3.5246038625607685</c:v>
                </c:pt>
                <c:pt idx="767">
                  <c:v>3.3516596535277672</c:v>
                </c:pt>
                <c:pt idx="768">
                  <c:v>3.1779338172830403</c:v>
                </c:pt>
                <c:pt idx="769">
                  <c:v>3.0034844669431404</c:v>
                </c:pt>
                <c:pt idx="770">
                  <c:v>2.8283698468272234</c:v>
                </c:pt>
                <c:pt idx="771">
                  <c:v>2.6526483132101286</c:v>
                </c:pt>
                <c:pt idx="772">
                  <c:v>2.4763783150734069</c:v>
                </c:pt>
                <c:pt idx="773">
                  <c:v>2.299618374861137</c:v>
                </c:pt>
                <c:pt idx="774">
                  <c:v>2.1224270692462328</c:v>
                </c:pt>
                <c:pt idx="775">
                  <c:v>1.9448630099140654</c:v>
                </c:pt>
                <c:pt idx="776">
                  <c:v>1.7669848243690796</c:v>
                </c:pt>
                <c:pt idx="777">
                  <c:v>1.5888511367711828</c:v>
                </c:pt>
                <c:pt idx="778">
                  <c:v>1.4105205488075581</c:v>
                </c:pt>
                <c:pt idx="779">
                  <c:v>1.232051620606629</c:v>
                </c:pt>
                <c:pt idx="780">
                  <c:v>1.0535028516997773</c:v>
                </c:pt>
                <c:pt idx="781">
                  <c:v>0.87493266203749653</c:v>
                </c:pt>
                <c:pt idx="782">
                  <c:v>0.6963993730655238</c:v>
                </c:pt>
                <c:pt idx="783">
                  <c:v>0.51796118886757236</c:v>
                </c:pt>
                <c:pt idx="784">
                  <c:v>0.3396761773801445</c:v>
                </c:pt>
                <c:pt idx="785">
                  <c:v>0.16160225168596476</c:v>
                </c:pt>
                <c:pt idx="786">
                  <c:v>-1.6202848608437983E-2</c:v>
                </c:pt>
                <c:pt idx="787">
                  <c:v>-0.19368157590489948</c:v>
                </c:pt>
                <c:pt idx="788">
                  <c:v>-0.37077659304948124</c:v>
                </c:pt>
                <c:pt idx="789">
                  <c:v>-0.5474307916666129</c:v>
                </c:pt>
                <c:pt idx="790">
                  <c:v>-0.72358731038518076</c:v>
                </c:pt>
                <c:pt idx="791">
                  <c:v>-0.89918955295135916</c:v>
                </c:pt>
                <c:pt idx="792">
                  <c:v>-1.0741812062219298</c:v>
                </c:pt>
                <c:pt idx="793">
                  <c:v>-1.248506258032976</c:v>
                </c:pt>
                <c:pt idx="794">
                  <c:v>-1.4221090149378026</c:v>
                </c:pt>
                <c:pt idx="795">
                  <c:v>-1.5949341198090741</c:v>
                </c:pt>
                <c:pt idx="796">
                  <c:v>-1.7669265692991196</c:v>
                </c:pt>
                <c:pt idx="797">
                  <c:v>-1.9380317311535145</c:v>
                </c:pt>
                <c:pt idx="798">
                  <c:v>-2.1081953613720055</c:v>
                </c:pt>
                <c:pt idx="799">
                  <c:v>-2.2773636212119959</c:v>
                </c:pt>
                <c:pt idx="800">
                  <c:v>-2.4454830940287815</c:v>
                </c:pt>
                <c:pt idx="801">
                  <c:v>-2.6125008019478861</c:v>
                </c:pt>
                <c:pt idx="802">
                  <c:v>-2.778364222363825</c:v>
                </c:pt>
                <c:pt idx="803">
                  <c:v>-2.9430213042606446</c:v>
                </c:pt>
                <c:pt idx="804">
                  <c:v>-3.1064204843490804</c:v>
                </c:pt>
                <c:pt idx="805">
                  <c:v>-3.2685107030152118</c:v>
                </c:pt>
                <c:pt idx="806">
                  <c:v>-3.4292414200761758</c:v>
                </c:pt>
                <c:pt idx="807">
                  <c:v>-3.5885626303376275</c:v>
                </c:pt>
                <c:pt idx="808">
                  <c:v>-3.746424878948766</c:v>
                </c:pt>
                <c:pt idx="809">
                  <c:v>-3.9027792765497287</c:v>
                </c:pt>
                <c:pt idx="810">
                  <c:v>-4.0575775142073436</c:v>
                </c:pt>
                <c:pt idx="811">
                  <c:v>-4.2107718781341896</c:v>
                </c:pt>
                <c:pt idx="812">
                  <c:v>-4.3623152641871075</c:v>
                </c:pt>
                <c:pt idx="813">
                  <c:v>-4.5121611921402582</c:v>
                </c:pt>
                <c:pt idx="814">
                  <c:v>-4.6602638197291153</c:v>
                </c:pt>
                <c:pt idx="815">
                  <c:v>-4.8065779564604583</c:v>
                </c:pt>
                <c:pt idx="816">
                  <c:v>-4.9510590771851124</c:v>
                </c:pt>
                <c:pt idx="817">
                  <c:v>-5.0936633354286887</c:v>
                </c:pt>
                <c:pt idx="818">
                  <c:v>-5.2343475764769973</c:v>
                </c:pt>
                <c:pt idx="819">
                  <c:v>-5.3730693502118223</c:v>
                </c:pt>
                <c:pt idx="820">
                  <c:v>-5.509786923693774</c:v>
                </c:pt>
                <c:pt idx="821">
                  <c:v>-5.644459293488107</c:v>
                </c:pt>
                <c:pt idx="822">
                  <c:v>-5.7770461977304191</c:v>
                </c:pt>
                <c:pt idx="823">
                  <c:v>-5.9075081279282902</c:v>
                </c:pt>
                <c:pt idx="824">
                  <c:v>-6.0358063404959479</c:v>
                </c:pt>
                <c:pt idx="825">
                  <c:v>-6.1619028680182319</c:v>
                </c:pt>
                <c:pt idx="826">
                  <c:v>-6.2857605302410393</c:v>
                </c:pt>
                <c:pt idx="827">
                  <c:v>-6.4073429447849897</c:v>
                </c:pt>
                <c:pt idx="828">
                  <c:v>-6.5266145375792037</c:v>
                </c:pt>
                <c:pt idx="829">
                  <c:v>-6.643540553012615</c:v>
                </c:pt>
                <c:pt idx="830">
                  <c:v>-6.7580870637996062</c:v>
                </c:pt>
                <c:pt idx="831">
                  <c:v>-6.8702209805576873</c:v>
                </c:pt>
                <c:pt idx="832">
                  <c:v>-6.9799100610941913</c:v>
                </c:pt>
                <c:pt idx="833">
                  <c:v>-7.0871229193998886</c:v>
                </c:pt>
                <c:pt idx="834">
                  <c:v>-7.1918290343467213</c:v>
                </c:pt>
                <c:pt idx="835">
                  <c:v>-7.2939987580877359</c:v>
                </c:pt>
                <c:pt idx="836">
                  <c:v>-7.3936033241566301</c:v>
                </c:pt>
                <c:pt idx="837">
                  <c:v>-7.4906148552651981</c:v>
                </c:pt>
                <c:pt idx="838">
                  <c:v>-7.5850063707962869</c:v>
                </c:pt>
                <c:pt idx="839">
                  <c:v>-7.6767517939907401</c:v>
                </c:pt>
                <c:pt idx="840">
                  <c:v>-7.7658259588261922</c:v>
                </c:pt>
                <c:pt idx="841">
                  <c:v>-7.8522046165863513</c:v>
                </c:pt>
                <c:pt idx="842">
                  <c:v>-7.9358644421188682</c:v>
                </c:pt>
                <c:pt idx="843">
                  <c:v>-8.0167830397805773</c:v>
                </c:pt>
                <c:pt idx="844">
                  <c:v>-8.0949389490686041</c:v>
                </c:pt>
                <c:pt idx="845">
                  <c:v>-8.1703116499360053</c:v>
                </c:pt>
                <c:pt idx="846">
                  <c:v>-8.2428815677910041</c:v>
                </c:pt>
                <c:pt idx="847">
                  <c:v>-8.3126300781784543</c:v>
                </c:pt>
                <c:pt idx="848">
                  <c:v>-8.3795395111428874</c:v>
                </c:pt>
                <c:pt idx="849">
                  <c:v>-8.443593155272012</c:v>
                </c:pt>
                <c:pt idx="850">
                  <c:v>-8.5047752614201837</c:v>
                </c:pt>
                <c:pt idx="851">
                  <c:v>-8.5630710461109487</c:v>
                </c:pt>
                <c:pt idx="852">
                  <c:v>-8.6184666946184088</c:v>
                </c:pt>
                <c:pt idx="853">
                  <c:v>-8.6709493637266863</c:v>
                </c:pt>
                <c:pt idx="854">
                  <c:v>-8.7205071841674489</c:v>
                </c:pt>
                <c:pt idx="855">
                  <c:v>-8.7671292627350415</c:v>
                </c:pt>
                <c:pt idx="856">
                  <c:v>-8.8108056840793321</c:v>
                </c:pt>
                <c:pt idx="857">
                  <c:v>-8.8515275121760411</c:v>
                </c:pt>
                <c:pt idx="858">
                  <c:v>-8.8892867914749125</c:v>
                </c:pt>
                <c:pt idx="859">
                  <c:v>-8.9240765477256687</c:v>
                </c:pt>
                <c:pt idx="860">
                  <c:v>-8.9558907884822823</c:v>
                </c:pt>
                <c:pt idx="861">
                  <c:v>-8.984724503285868</c:v>
                </c:pt>
                <c:pt idx="862">
                  <c:v>-9.0105736635266975</c:v>
                </c:pt>
                <c:pt idx="863">
                  <c:v>-9.0334352219860676</c:v>
                </c:pt>
                <c:pt idx="864">
                  <c:v>-9.0533071120586275</c:v>
                </c:pt>
                <c:pt idx="865">
                  <c:v>-9.0701882466560857</c:v>
                </c:pt>
                <c:pt idx="866">
                  <c:v>-9.0840785167931788</c:v>
                </c:pt>
                <c:pt idx="867">
                  <c:v>-9.0949787898569685</c:v>
                </c:pt>
                <c:pt idx="868">
                  <c:v>-9.1028909075605782</c:v>
                </c:pt>
                <c:pt idx="869">
                  <c:v>-9.1078176835826206</c:v>
                </c:pt>
                <c:pt idx="870">
                  <c:v>-9.1097629008936636</c:v>
                </c:pt>
                <c:pt idx="871">
                  <c:v>-9.1087313087711408</c:v>
                </c:pt>
                <c:pt idx="872">
                  <c:v>-9.1047286195042876</c:v>
                </c:pt>
                <c:pt idx="873">
                  <c:v>-9.097761504790693</c:v>
                </c:pt>
                <c:pt idx="874">
                  <c:v>-9.0878375918262382</c:v>
                </c:pt>
                <c:pt idx="875">
                  <c:v>-9.0749654590902189</c:v>
                </c:pt>
                <c:pt idx="876">
                  <c:v>-9.0591546318276084</c:v>
                </c:pt>
                <c:pt idx="877">
                  <c:v>-9.040415577230462</c:v>
                </c:pt>
                <c:pt idx="878">
                  <c:v>-9.0187596993205741</c:v>
                </c:pt>
                <c:pt idx="879">
                  <c:v>-8.9941993335356401</c:v>
                </c:pt>
                <c:pt idx="880">
                  <c:v>-8.9667477410211482</c:v>
                </c:pt>
                <c:pt idx="881">
                  <c:v>-8.936419102630488</c:v>
                </c:pt>
                <c:pt idx="882">
                  <c:v>-8.9032285126356694</c:v>
                </c:pt>
                <c:pt idx="883">
                  <c:v>-8.8671919721513213</c:v>
                </c:pt>
                <c:pt idx="884">
                  <c:v>-8.8283263822745326</c:v>
                </c:pt>
                <c:pt idx="885">
                  <c:v>-8.786649536943381</c:v>
                </c:pt>
                <c:pt idx="886">
                  <c:v>-8.7421801155169288</c:v>
                </c:pt>
                <c:pt idx="887">
                  <c:v>-8.6949376750796272</c:v>
                </c:pt>
                <c:pt idx="888">
                  <c:v>-8.644942642473163</c:v>
                </c:pt>
                <c:pt idx="889">
                  <c:v>-8.5922163060587753</c:v>
                </c:pt>
                <c:pt idx="890">
                  <c:v>-8.5367808072133009</c:v>
                </c:pt>
                <c:pt idx="891">
                  <c:v>-8.4786591315621394</c:v>
                </c:pt>
                <c:pt idx="892">
                  <c:v>-8.4178750999525427</c:v>
                </c:pt>
                <c:pt idx="893">
                  <c:v>-8.3544533591705186</c:v>
                </c:pt>
                <c:pt idx="894">
                  <c:v>-8.2884193724049791</c:v>
                </c:pt>
                <c:pt idx="895">
                  <c:v>-8.2197994094626985</c:v>
                </c:pt>
                <c:pt idx="896">
                  <c:v>-8.1486205367375319</c:v>
                </c:pt>
                <c:pt idx="897">
                  <c:v>-8.0749106069378787</c:v>
                </c:pt>
                <c:pt idx="898">
                  <c:v>-7.9986982485759981</c:v>
                </c:pt>
                <c:pt idx="899">
                  <c:v>-7.920012855223141</c:v>
                </c:pt>
                <c:pt idx="900">
                  <c:v>-7.8388845745342826</c:v>
                </c:pt>
                <c:pt idx="901">
                  <c:v>-7.7553442970466584</c:v>
                </c:pt>
                <c:pt idx="902">
                  <c:v>-7.6694236447560016</c:v>
                </c:pt>
                <c:pt idx="903">
                  <c:v>-7.5811549594747376</c:v>
                </c:pt>
                <c:pt idx="904">
                  <c:v>-7.4905712909761322</c:v>
                </c:pt>
                <c:pt idx="905">
                  <c:v>-7.3977063849289184</c:v>
                </c:pt>
                <c:pt idx="906">
                  <c:v>-7.3025946706265126</c:v>
                </c:pt>
                <c:pt idx="907">
                  <c:v>-7.205271248515321</c:v>
                </c:pt>
                <c:pt idx="908">
                  <c:v>-7.1057718775263901</c:v>
                </c:pt>
                <c:pt idx="909">
                  <c:v>-7.0041329622151487</c:v>
                </c:pt>
                <c:pt idx="910">
                  <c:v>-6.9003915397135671</c:v>
                </c:pt>
                <c:pt idx="911">
                  <c:v>-6.7945852664995261</c:v>
                </c:pt>
                <c:pt idx="912">
                  <c:v>-6.6867524049877147</c:v>
                </c:pt>
                <c:pt idx="913">
                  <c:v>-6.5769318099471867</c:v>
                </c:pt>
                <c:pt idx="914">
                  <c:v>-6.4651629147500858</c:v>
                </c:pt>
                <c:pt idx="915">
                  <c:v>-6.3514857174561747</c:v>
                </c:pt>
                <c:pt idx="916">
                  <c:v>-6.2359407667383939</c:v>
                </c:pt>
                <c:pt idx="917">
                  <c:v>-6.1185691476540045</c:v>
                </c:pt>
                <c:pt idx="918">
                  <c:v>-5.9994124672664819</c:v>
                </c:pt>
                <c:pt idx="919">
                  <c:v>-5.8785128401227844</c:v>
                </c:pt>
                <c:pt idx="920">
                  <c:v>-5.7559128735914182</c:v>
                </c:pt>
                <c:pt idx="921">
                  <c:v>-5.6316556530660176</c:v>
                </c:pt>
                <c:pt idx="922">
                  <c:v>-5.5057847270397398</c:v>
                </c:pt>
                <c:pt idx="923">
                  <c:v>-5.3783440920552552</c:v>
                </c:pt>
                <c:pt idx="924">
                  <c:v>-5.2493781775358839</c:v>
                </c:pt>
                <c:pt idx="925">
                  <c:v>-5.1189318305027216</c:v>
                </c:pt>
                <c:pt idx="926">
                  <c:v>-4.9870503001831965</c:v>
                </c:pt>
                <c:pt idx="927">
                  <c:v>-4.85377922251591</c:v>
                </c:pt>
                <c:pt idx="928">
                  <c:v>-4.7191646045574505</c:v>
                </c:pt>
                <c:pt idx="929">
                  <c:v>-4.5832528087962627</c:v>
                </c:pt>
                <c:pt idx="930">
                  <c:v>-4.446090537378578</c:v>
                </c:pt>
                <c:pt idx="931">
                  <c:v>-4.3077248162522483</c:v>
                </c:pt>
                <c:pt idx="932">
                  <c:v>-4.1682029792333655</c:v>
                </c:pt>
                <c:pt idx="933">
                  <c:v>-4.027572652001326</c:v>
                </c:pt>
                <c:pt idx="934">
                  <c:v>-3.8858817360272804</c:v>
                </c:pt>
                <c:pt idx="935">
                  <c:v>-3.7431783924418451</c:v>
                </c:pt>
                <c:pt idx="936">
                  <c:v>-3.5995110258470504</c:v>
                </c:pt>
                <c:pt idx="937">
                  <c:v>-3.4549282680782052</c:v>
                </c:pt>
                <c:pt idx="938">
                  <c:v>-3.3094789619206533</c:v>
                </c:pt>
                <c:pt idx="939">
                  <c:v>-3.1632121447873609</c:v>
                </c:pt>
                <c:pt idx="940">
                  <c:v>-3.0161770323623065</c:v>
                </c:pt>
                <c:pt idx="941">
                  <c:v>-2.8684230022152577</c:v>
                </c:pt>
                <c:pt idx="942">
                  <c:v>-2.7199995773932808</c:v>
                </c:pt>
                <c:pt idx="943">
                  <c:v>-2.5709564099945208</c:v>
                </c:pt>
                <c:pt idx="944">
                  <c:v>-2.4213432647292539</c:v>
                </c:pt>
                <c:pt idx="945">
                  <c:v>-2.2712100024741533</c:v>
                </c:pt>
                <c:pt idx="946">
                  <c:v>-2.1206065638246927</c:v>
                </c:pt>
                <c:pt idx="947">
                  <c:v>-1.969582952651405</c:v>
                </c:pt>
                <c:pt idx="948">
                  <c:v>-1.8181892196648946</c:v>
                </c:pt>
                <c:pt idx="949">
                  <c:v>-1.6664754459954991</c:v>
                </c:pt>
                <c:pt idx="950">
                  <c:v>-1.514491726792685</c:v>
                </c:pt>
                <c:pt idx="951">
                  <c:v>-1.362288154849203</c:v>
                </c:pt>
                <c:pt idx="952">
                  <c:v>-1.2099148042558963</c:v>
                </c:pt>
                <c:pt idx="953">
                  <c:v>-1.0574217140919402</c:v>
                </c:pt>
                <c:pt idx="954">
                  <c:v>-0.9048588721561458</c:v>
                </c:pt>
                <c:pt idx="955">
                  <c:v>-0.75227619874407881</c:v>
                </c:pt>
                <c:pt idx="956">
                  <c:v>-0.59972353047680615</c:v>
                </c:pt>
                <c:pt idx="957">
                  <c:v>-0.44725060418597423</c:v>
                </c:pt>
                <c:pt idx="958">
                  <c:v>-0.29490704086073855</c:v>
                </c:pt>
                <c:pt idx="959">
                  <c:v>-0.14274232966119152</c:v>
                </c:pt>
                <c:pt idx="960">
                  <c:v>9.1941879960135506E-3</c:v>
                </c:pt>
                <c:pt idx="961">
                  <c:v>0.16085333427525889</c:v>
                </c:pt>
                <c:pt idx="962">
                  <c:v>0.31218611067738861</c:v>
                </c:pt>
                <c:pt idx="963">
                  <c:v>0.46314371370844915</c:v>
                </c:pt>
                <c:pt idx="964">
                  <c:v>0.6136775504561891</c:v>
                </c:pt>
                <c:pt idx="965">
                  <c:v>0.76373925406988008</c:v>
                </c:pt>
                <c:pt idx="966">
                  <c:v>0.9132806991382203</c:v>
                </c:pt>
                <c:pt idx="967">
                  <c:v>1.0622540169609644</c:v>
                </c:pt>
                <c:pt idx="968">
                  <c:v>1.2106116107089193</c:v>
                </c:pt>
                <c:pt idx="969">
                  <c:v>1.3583061704678325</c:v>
                </c:pt>
                <c:pt idx="970">
                  <c:v>1.5052906881617323</c:v>
                </c:pt>
                <c:pt idx="971">
                  <c:v>1.6515184723505099</c:v>
                </c:pt>
                <c:pt idx="972">
                  <c:v>1.7969431628976056</c:v>
                </c:pt>
                <c:pt idx="973">
                  <c:v>1.9415187455029108</c:v>
                </c:pt>
                <c:pt idx="974">
                  <c:v>2.0851995660968297</c:v>
                </c:pt>
                <c:pt idx="975">
                  <c:v>2.227940345090488</c:v>
                </c:pt>
                <c:pt idx="976">
                  <c:v>2.369696191478158</c:v>
                </c:pt>
                <c:pt idx="977">
                  <c:v>2.5104226167872166</c:v>
                </c:pt>
                <c:pt idx="978">
                  <c:v>2.650075548871814</c:v>
                </c:pt>
                <c:pt idx="979">
                  <c:v>2.7886113455454664</c:v>
                </c:pt>
                <c:pt idx="980">
                  <c:v>2.9259868080488727</c:v>
                </c:pt>
                <c:pt idx="981">
                  <c:v>3.0621591943485087</c:v>
                </c:pt>
                <c:pt idx="982">
                  <c:v>3.1970862322624152</c:v>
                </c:pt>
                <c:pt idx="983">
                  <c:v>3.3307261324086879</c:v>
                </c:pt>
                <c:pt idx="984">
                  <c:v>3.4630376009729997</c:v>
                </c:pt>
                <c:pt idx="985">
                  <c:v>3.5939798522915725</c:v>
                </c:pt>
                <c:pt idx="986">
                  <c:v>3.7235126212452889</c:v>
                </c:pt>
                <c:pt idx="987">
                  <c:v>3.8515961754617041</c:v>
                </c:pt>
                <c:pt idx="988">
                  <c:v>3.9781913273209666</c:v>
                </c:pt>
                <c:pt idx="989">
                  <c:v>4.1032594457625393</c:v>
                </c:pt>
                <c:pt idx="990">
                  <c:v>4.2267624678886575</c:v>
                </c:pt>
                <c:pt idx="991">
                  <c:v>4.3486629103615853</c:v>
                </c:pt>
                <c:pt idx="992">
                  <c:v>4.4689238805909435</c:v>
                </c:pt>
                <c:pt idx="993">
                  <c:v>4.5875090877082982</c:v>
                </c:pt>
                <c:pt idx="994">
                  <c:v>4.7043828533252734</c:v>
                </c:pt>
                <c:pt idx="995">
                  <c:v>4.8195101220724927</c:v>
                </c:pt>
                <c:pt idx="996">
                  <c:v>4.9328564719159935</c:v>
                </c:pt>
                <c:pt idx="997">
                  <c:v>5.0443881242485302</c:v>
                </c:pt>
                <c:pt idx="998">
                  <c:v>5.1540719537524264</c:v>
                </c:pt>
                <c:pt idx="999">
                  <c:v>5.2618754980315368</c:v>
                </c:pt>
                <c:pt idx="1000">
                  <c:v>5.3677669670092785</c:v>
                </c:pt>
                <c:pt idx="1001">
                  <c:v>5.4717152520905241</c:v>
                </c:pt>
                <c:pt idx="1002">
                  <c:v>5.5736899350842872</c:v>
                </c:pt>
                <c:pt idx="1003">
                  <c:v>5.6736612968849611</c:v>
                </c:pt>
                <c:pt idx="1004">
                  <c:v>5.771600325910013</c:v>
                </c:pt>
                <c:pt idx="1005">
                  <c:v>5.8674787262910053</c:v>
                </c:pt>
                <c:pt idx="1006">
                  <c:v>5.9612689258167455</c:v>
                </c:pt>
                <c:pt idx="1007">
                  <c:v>6.0529440836254755</c:v>
                </c:pt>
                <c:pt idx="1008">
                  <c:v>6.1424780976448865</c:v>
                </c:pt>
                <c:pt idx="1009">
                  <c:v>6.2298456117770717</c:v>
                </c:pt>
                <c:pt idx="1010">
                  <c:v>6.3150220228275256</c:v>
                </c:pt>
                <c:pt idx="1011">
                  <c:v>6.3979834871754848</c:v>
                </c:pt>
                <c:pt idx="1012">
                  <c:v>6.4787069271846915</c:v>
                </c:pt>
                <c:pt idx="1013">
                  <c:v>6.5571700373521429</c:v>
                </c:pt>
                <c:pt idx="1014">
                  <c:v>6.633351290194148</c:v>
                </c:pt>
                <c:pt idx="1015">
                  <c:v>6.7072299418674612</c:v>
                </c:pt>
                <c:pt idx="1016">
                  <c:v>6.7787860375248599</c:v>
                </c:pt>
                <c:pt idx="1017">
                  <c:v>6.8480004164031056</c:v>
                </c:pt>
                <c:pt idx="1018">
                  <c:v>6.9148547166429628</c:v>
                </c:pt>
                <c:pt idx="1019">
                  <c:v>6.9793313798394063</c:v>
                </c:pt>
                <c:pt idx="1020">
                  <c:v>7.0414136553217199</c:v>
                </c:pt>
                <c:pt idx="1021">
                  <c:v>7.1010856041618604</c:v>
                </c:pt>
                <c:pt idx="1022">
                  <c:v>7.1583321029109799</c:v>
                </c:pt>
                <c:pt idx="1023">
                  <c:v>7.2131388470627851</c:v>
                </c:pt>
                <c:pt idx="1024">
                  <c:v>7.2654923542435492</c:v>
                </c:pt>
                <c:pt idx="1025">
                  <c:v>7.3153799671278827</c:v>
                </c:pt>
                <c:pt idx="1026">
                  <c:v>7.362789856080032</c:v>
                </c:pt>
                <c:pt idx="1027">
                  <c:v>7.4077110215202238</c:v>
                </c:pt>
                <c:pt idx="1028">
                  <c:v>7.450133296015867</c:v>
                </c:pt>
                <c:pt idx="1029">
                  <c:v>7.4900473460973291</c:v>
                </c:pt>
                <c:pt idx="1030">
                  <c:v>7.527444673798267</c:v>
                </c:pt>
                <c:pt idx="1031">
                  <c:v>7.562317617920435</c:v>
                </c:pt>
                <c:pt idx="1032">
                  <c:v>7.5946593550231949</c:v>
                </c:pt>
                <c:pt idx="1033">
                  <c:v>7.6244639001377026</c:v>
                </c:pt>
                <c:pt idx="1034">
                  <c:v>7.6517261072062048</c:v>
                </c:pt>
                <c:pt idx="1035">
                  <c:v>7.6764416692466897</c:v>
                </c:pt>
                <c:pt idx="1036">
                  <c:v>7.6986071182434435</c:v>
                </c:pt>
                <c:pt idx="1037">
                  <c:v>7.7182198247638869</c:v>
                </c:pt>
                <c:pt idx="1038">
                  <c:v>7.735277997302501</c:v>
                </c:pt>
                <c:pt idx="1039">
                  <c:v>7.7497806813523589</c:v>
                </c:pt>
                <c:pt idx="1040">
                  <c:v>7.7617277582052147</c:v>
                </c:pt>
                <c:pt idx="1041">
                  <c:v>7.7711199434809322</c:v>
                </c:pt>
                <c:pt idx="1042">
                  <c:v>7.7779587853872831</c:v>
                </c:pt>
                <c:pt idx="1043">
                  <c:v>7.7822466627111107</c:v>
                </c:pt>
                <c:pt idx="1044">
                  <c:v>7.7839867825420486</c:v>
                </c:pt>
                <c:pt idx="1045">
                  <c:v>7.7831831777300202</c:v>
                </c:pt>
                <c:pt idx="1046">
                  <c:v>7.7798407040777802</c:v>
                </c:pt>
                <c:pt idx="1047">
                  <c:v>7.7739650372699503</c:v>
                </c:pt>
                <c:pt idx="1048">
                  <c:v>7.7655626695399906</c:v>
                </c:pt>
                <c:pt idx="1049">
                  <c:v>7.7546409060766974</c:v>
                </c:pt>
                <c:pt idx="1050">
                  <c:v>7.7412078611718105</c:v>
                </c:pt>
                <c:pt idx="1051">
                  <c:v>7.7252724541105611</c:v>
                </c:pt>
                <c:pt idx="1052">
                  <c:v>7.7068444048068407</c:v>
                </c:pt>
                <c:pt idx="1053">
                  <c:v>7.6859342291849995</c:v>
                </c:pt>
                <c:pt idx="1054">
                  <c:v>7.6625532343100851</c:v>
                </c:pt>
                <c:pt idx="1055">
                  <c:v>7.6367135132687913</c:v>
                </c:pt>
                <c:pt idx="1056">
                  <c:v>7.6084279398029713</c:v>
                </c:pt>
                <c:pt idx="1057">
                  <c:v>7.5777101626981471</c:v>
                </c:pt>
                <c:pt idx="1058">
                  <c:v>7.5445745999291125</c:v>
                </c:pt>
                <c:pt idx="1059">
                  <c:v>7.5090364325651215</c:v>
                </c:pt>
                <c:pt idx="1060">
                  <c:v>7.4711115984369671</c:v>
                </c:pt>
                <c:pt idx="1061">
                  <c:v>7.4308167855685578</c:v>
                </c:pt>
                <c:pt idx="1062">
                  <c:v>7.3881694253754171</c:v>
                </c:pt>
                <c:pt idx="1063">
                  <c:v>7.3431876856329259</c:v>
                </c:pt>
                <c:pt idx="1064">
                  <c:v>7.2958904632168577</c:v>
                </c:pt>
                <c:pt idx="1065">
                  <c:v>7.2462973766191183</c:v>
                </c:pt>
                <c:pt idx="1066">
                  <c:v>7.1944287582413855</c:v>
                </c:pt>
                <c:pt idx="1067">
                  <c:v>7.1403056464697485</c:v>
                </c:pt>
                <c:pt idx="1068">
                  <c:v>7.0839497775331699</c:v>
                </c:pt>
                <c:pt idx="1069">
                  <c:v>7.0253835771489497</c:v>
                </c:pt>
                <c:pt idx="1070">
                  <c:v>6.9646301519581328</c:v>
                </c:pt>
                <c:pt idx="1071">
                  <c:v>6.90171328075429</c:v>
                </c:pt>
                <c:pt idx="1072">
                  <c:v>6.8366574055085421</c:v>
                </c:pt>
                <c:pt idx="1073">
                  <c:v>6.7694876221946254</c:v>
                </c:pt>
                <c:pt idx="1074">
                  <c:v>6.7002296714167668</c:v>
                </c:pt>
                <c:pt idx="1075">
                  <c:v>6.6289099288443563</c:v>
                </c:pt>
                <c:pt idx="1076">
                  <c:v>6.5555553954563397</c:v>
                </c:pt>
                <c:pt idx="1077">
                  <c:v>6.4801936875994501</c:v>
                </c:pt>
                <c:pt idx="1078">
                  <c:v>6.4028530268632418</c:v>
                </c:pt>
                <c:pt idx="1079">
                  <c:v>6.3235622297761305</c:v>
                </c:pt>
                <c:pt idx="1080">
                  <c:v>6.2423506973255671</c:v>
                </c:pt>
                <c:pt idx="1081">
                  <c:v>6.159248404306747</c:v>
                </c:pt>
                <c:pt idx="1082">
                  <c:v>6.0742858885028888</c:v>
                </c:pt>
                <c:pt idx="1083">
                  <c:v>5.9874942397016424</c:v>
                </c:pt>
                <c:pt idx="1084">
                  <c:v>5.8989050885507996</c:v>
                </c:pt>
                <c:pt idx="1085">
                  <c:v>5.808550595258045</c:v>
                </c:pt>
                <c:pt idx="1086">
                  <c:v>5.7164634381378168</c:v>
                </c:pt>
                <c:pt idx="1087">
                  <c:v>5.6226768020101474</c:v>
                </c:pt>
                <c:pt idx="1088">
                  <c:v>5.5272243664547318</c:v>
                </c:pt>
                <c:pt idx="1089">
                  <c:v>5.4301402939251977</c:v>
                </c:pt>
                <c:pt idx="1090">
                  <c:v>5.3314592177267617</c:v>
                </c:pt>
                <c:pt idx="1091">
                  <c:v>5.2312162298623095</c:v>
                </c:pt>
                <c:pt idx="1092">
                  <c:v>5.129446868750402</c:v>
                </c:pt>
                <c:pt idx="1093">
                  <c:v>5.026187106819977</c:v>
                </c:pt>
                <c:pt idx="1094">
                  <c:v>4.9214733379856668</c:v>
                </c:pt>
                <c:pt idx="1095">
                  <c:v>4.8153423650083056</c:v>
                </c:pt>
                <c:pt idx="1096">
                  <c:v>4.7078313867445987</c:v>
                </c:pt>
                <c:pt idx="1097">
                  <c:v>4.5989779852907535</c:v>
                </c:pt>
                <c:pt idx="1098">
                  <c:v>4.488820113024115</c:v>
                </c:pt>
                <c:pt idx="1099">
                  <c:v>4.3773960795474709</c:v>
                </c:pt>
                <c:pt idx="1100">
                  <c:v>4.2647445385401275</c:v>
                </c:pt>
                <c:pt idx="1101">
                  <c:v>4.1509044745206518</c:v>
                </c:pt>
                <c:pt idx="1102">
                  <c:v>4.0359151895253911</c:v>
                </c:pt>
                <c:pt idx="1103">
                  <c:v>3.9198162897075646</c:v>
                </c:pt>
                <c:pt idx="1104">
                  <c:v>3.8026476718610334</c:v>
                </c:pt>
                <c:pt idx="1105">
                  <c:v>3.6844495098739189</c:v>
                </c:pt>
                <c:pt idx="1106">
                  <c:v>3.5652622411157626</c:v>
                </c:pt>
                <c:pt idx="1107">
                  <c:v>3.4451265527638615</c:v>
                </c:pt>
                <c:pt idx="1108">
                  <c:v>3.3240833680721691</c:v>
                </c:pt>
                <c:pt idx="1109">
                  <c:v>3.2021738325884508</c:v>
                </c:pt>
                <c:pt idx="1110">
                  <c:v>3.079439300323259</c:v>
                </c:pt>
                <c:pt idx="1111">
                  <c:v>2.955921319876452</c:v>
                </c:pt>
                <c:pt idx="1112">
                  <c:v>2.8316616205246503</c:v>
                </c:pt>
                <c:pt idx="1113">
                  <c:v>2.7067020982753638</c:v>
                </c:pt>
                <c:pt idx="1114">
                  <c:v>2.5810848018913544</c:v>
                </c:pt>
                <c:pt idx="1115">
                  <c:v>2.4548519188910105</c:v>
                </c:pt>
                <c:pt idx="1116">
                  <c:v>2.3280457615280823</c:v>
                </c:pt>
                <c:pt idx="1117">
                  <c:v>2.2007087527565612</c:v>
                </c:pt>
                <c:pt idx="1118">
                  <c:v>2.0728834121842308</c:v>
                </c:pt>
                <c:pt idx="1119">
                  <c:v>1.9446123420206809</c:v>
                </c:pt>
                <c:pt idx="1120">
                  <c:v>1.8159382130230879</c:v>
                </c:pt>
                <c:pt idx="1121">
                  <c:v>1.6869037504455591</c:v>
                </c:pt>
                <c:pt idx="1122">
                  <c:v>1.5575517199955011</c:v>
                </c:pt>
                <c:pt idx="1123">
                  <c:v>1.4279249138028063</c:v>
                </c:pt>
                <c:pt idx="1124">
                  <c:v>1.2980661364050907</c:v>
                </c:pt>
                <c:pt idx="1125">
                  <c:v>1.1680181907547564</c:v>
                </c:pt>
                <c:pt idx="1126">
                  <c:v>1.0378238642512965</c:v>
                </c:pt>
                <c:pt idx="1127">
                  <c:v>0.90752591480441436</c:v>
                </c:pt>
                <c:pt idx="1128">
                  <c:v>0.77716705693168042</c:v>
                </c:pt>
                <c:pt idx="1129">
                  <c:v>0.64678994789532651</c:v>
                </c:pt>
                <c:pt idx="1130">
                  <c:v>0.51643717388314803</c:v>
                </c:pt>
                <c:pt idx="1131">
                  <c:v>0.38615123623701947</c:v>
                </c:pt>
                <c:pt idx="1132">
                  <c:v>0.25597453773463869</c:v>
                </c:pt>
                <c:pt idx="1133">
                  <c:v>0.12594936892754566</c:v>
                </c:pt>
                <c:pt idx="1134">
                  <c:v>-3.882105458993063E-3</c:v>
                </c:pt>
                <c:pt idx="1135">
                  <c:v>-0.13347786006103601</c:v>
                </c:pt>
                <c:pt idx="1136">
                  <c:v>-0.26279602234042715</c:v>
                </c:pt>
                <c:pt idx="1137">
                  <c:v>-0.39179488597572537</c:v>
                </c:pt>
                <c:pt idx="1138">
                  <c:v>-0.52043292417413978</c:v>
                </c:pt>
                <c:pt idx="1139">
                  <c:v>-0.64866880290139106</c:v>
                </c:pt>
                <c:pt idx="1140">
                  <c:v>-0.77646139402410796</c:v>
                </c:pt>
                <c:pt idx="1141">
                  <c:v>-0.90376978836194577</c:v>
                </c:pt>
                <c:pt idx="1142">
                  <c:v>-1.0305533086441181</c:v>
                </c:pt>
                <c:pt idx="1143">
                  <c:v>-1.1567715223673916</c:v>
                </c:pt>
                <c:pt idx="1144">
                  <c:v>-1.2823842545503186</c:v>
                </c:pt>
                <c:pt idx="1145">
                  <c:v>-1.4073516003810425</c:v>
                </c:pt>
                <c:pt idx="1146">
                  <c:v>-1.5316339377535295</c:v>
                </c:pt>
                <c:pt idx="1147">
                  <c:v>-1.6551919396894397</c:v>
                </c:pt>
                <c:pt idx="1148">
                  <c:v>-1.7779865866406004</c:v>
                </c:pt>
                <c:pt idx="1149">
                  <c:v>-1.8999791786695555</c:v>
                </c:pt>
                <c:pt idx="1150">
                  <c:v>-2.0211313475033004</c:v>
                </c:pt>
                <c:pt idx="1151">
                  <c:v>-2.1414050684573742</c:v>
                </c:pt>
                <c:pt idx="1152">
                  <c:v>-2.2607626722260221</c:v>
                </c:pt>
                <c:pt idx="1153">
                  <c:v>-2.3791668565352144</c:v>
                </c:pt>
                <c:pt idx="1154">
                  <c:v>-2.4965806976546894</c:v>
                </c:pt>
                <c:pt idx="1155">
                  <c:v>-2.6129676617658877</c:v>
                </c:pt>
                <c:pt idx="1156">
                  <c:v>-2.7282916161818678</c:v>
                </c:pt>
                <c:pt idx="1157">
                  <c:v>-2.8425168404161711</c:v>
                </c:pt>
                <c:pt idx="1158">
                  <c:v>-2.955608037097027</c:v>
                </c:pt>
                <c:pt idx="1159">
                  <c:v>-3.0675303427239755</c:v>
                </c:pt>
                <c:pt idx="1160">
                  <c:v>-3.1782493382632389</c:v>
                </c:pt>
                <c:pt idx="1161">
                  <c:v>-3.2877310595790084</c:v>
                </c:pt>
                <c:pt idx="1162">
                  <c:v>-3.3959420076973097</c:v>
                </c:pt>
                <c:pt idx="1163">
                  <c:v>-3.5028491588997381</c:v>
                </c:pt>
                <c:pt idx="1164">
                  <c:v>-3.6084199746435117</c:v>
                </c:pt>
                <c:pt idx="1165">
                  <c:v>-3.7126224113056989</c:v>
                </c:pt>
                <c:pt idx="1166">
                  <c:v>-3.8154249297477634</c:v>
                </c:pt>
                <c:pt idx="1167">
                  <c:v>-3.9167965046987385</c:v>
                </c:pt>
                <c:pt idx="1168">
                  <c:v>-4.0167066339532669</c:v>
                </c:pt>
                <c:pt idx="1169">
                  <c:v>-4.1151253473827687</c:v>
                </c:pt>
                <c:pt idx="1170">
                  <c:v>-4.2120232157561404</c:v>
                </c:pt>
                <c:pt idx="1171">
                  <c:v>-4.3073713593685161</c:v>
                </c:pt>
                <c:pt idx="1172">
                  <c:v>-4.4011414564746447</c:v>
                </c:pt>
                <c:pt idx="1173">
                  <c:v>-4.4933057515253605</c:v>
                </c:pt>
                <c:pt idx="1174">
                  <c:v>-4.5838370632038767</c:v>
                </c:pt>
                <c:pt idx="1175">
                  <c:v>-4.6727087922606518</c:v>
                </c:pt>
                <c:pt idx="1176">
                  <c:v>-4.7598949291437016</c:v>
                </c:pt>
                <c:pt idx="1177">
                  <c:v>-4.845370061423079</c:v>
                </c:pt>
                <c:pt idx="1178">
                  <c:v>-4.9291093810065814</c:v>
                </c:pt>
                <c:pt idx="1179">
                  <c:v>-5.0110886911456332</c:v>
                </c:pt>
                <c:pt idx="1180">
                  <c:v>-5.0912844132286272</c:v>
                </c:pt>
                <c:pt idx="1181">
                  <c:v>-5.1696735933605868</c:v>
                </c:pt>
                <c:pt idx="1182">
                  <c:v>-5.2462339087266301</c:v>
                </c:pt>
                <c:pt idx="1183">
                  <c:v>-5.3209436737384115</c:v>
                </c:pt>
                <c:pt idx="1184">
                  <c:v>-5.3937818459611062</c:v>
                </c:pt>
                <c:pt idx="1185">
                  <c:v>-5.4647280318200604</c:v>
                </c:pt>
                <c:pt idx="1186">
                  <c:v>-5.5337624920851711</c:v>
                </c:pt>
                <c:pt idx="1187">
                  <c:v>-5.6008661471318879</c:v>
                </c:pt>
                <c:pt idx="1188">
                  <c:v>-5.6660205819773477</c:v>
                </c:pt>
                <c:pt idx="1189">
                  <c:v>-5.729208051090608</c:v>
                </c:pt>
                <c:pt idx="1190">
                  <c:v>-5.7904114829755846</c:v>
                </c:pt>
                <c:pt idx="1191">
                  <c:v>-5.8496144845257705</c:v>
                </c:pt>
                <c:pt idx="1192">
                  <c:v>-5.9068013451496189</c:v>
                </c:pt>
                <c:pt idx="1193">
                  <c:v>-5.9619570406658156</c:v>
                </c:pt>
                <c:pt idx="1194">
                  <c:v>-6.0150672369673952</c:v>
                </c:pt>
                <c:pt idx="1195">
                  <c:v>-6.0661182934540321</c:v>
                </c:pt>
                <c:pt idx="1196">
                  <c:v>-6.1150972662317695</c:v>
                </c:pt>
                <c:pt idx="1197">
                  <c:v>-6.1619919110796504</c:v>
                </c:pt>
                <c:pt idx="1198">
                  <c:v>-6.2067906861824875</c:v>
                </c:pt>
                <c:pt idx="1199">
                  <c:v>-6.2494827546296401</c:v>
                </c:pt>
                <c:pt idx="1200">
                  <c:v>-6.2900579866789688</c:v>
                </c:pt>
                <c:pt idx="1201">
                  <c:v>-6.3285069617861049</c:v>
                </c:pt>
                <c:pt idx="1202">
                  <c:v>-6.3648209703984433</c:v>
                </c:pt>
                <c:pt idx="1203">
                  <c:v>-6.3989920155139579</c:v>
                </c:pt>
                <c:pt idx="1204">
                  <c:v>-6.4310128140044798</c:v>
                </c:pt>
                <c:pt idx="1205">
                  <c:v>-6.4608767977037527</c:v>
                </c:pt>
                <c:pt idx="1206">
                  <c:v>-6.4885781142600312</c:v>
                </c:pt>
                <c:pt idx="1207">
                  <c:v>-6.5141116277536408</c:v>
                </c:pt>
                <c:pt idx="1208">
                  <c:v>-6.5374729190794563</c:v>
                </c:pt>
                <c:pt idx="1209">
                  <c:v>-6.5586582860948184</c:v>
                </c:pt>
                <c:pt idx="1210">
                  <c:v>-6.5776647435331483</c:v>
                </c:pt>
                <c:pt idx="1211">
                  <c:v>-6.5944900226837735</c:v>
                </c:pt>
                <c:pt idx="1212">
                  <c:v>-6.6091325708383728</c:v>
                </c:pt>
                <c:pt idx="1213">
                  <c:v>-6.6215915505048386</c:v>
                </c:pt>
                <c:pt idx="1214">
                  <c:v>-6.6318668383890245</c:v>
                </c:pt>
                <c:pt idx="1215">
                  <c:v>-6.6399590241453135</c:v>
                </c:pt>
                <c:pt idx="1216">
                  <c:v>-6.6458694088966705</c:v>
                </c:pt>
                <c:pt idx="1217">
                  <c:v>-6.6496000035251992</c:v>
                </c:pt>
                <c:pt idx="1218">
                  <c:v>-6.6511535267341211</c:v>
                </c:pt>
                <c:pt idx="1219">
                  <c:v>-6.6505334028822309</c:v>
                </c:pt>
                <c:pt idx="1220">
                  <c:v>-6.6477437595919424</c:v>
                </c:pt>
                <c:pt idx="1221">
                  <c:v>-6.6427894251321167</c:v>
                </c:pt>
                <c:pt idx="1222">
                  <c:v>-6.635675925576952</c:v>
                </c:pt>
                <c:pt idx="1223">
                  <c:v>-6.6264094817422219</c:v>
                </c:pt>
                <c:pt idx="1224">
                  <c:v>-6.6149970059003333</c:v>
                </c:pt>
                <c:pt idx="1225">
                  <c:v>-6.6014460982755772</c:v>
                </c:pt>
                <c:pt idx="1226">
                  <c:v>-6.5857650433212456</c:v>
                </c:pt>
                <c:pt idx="1227">
                  <c:v>-6.5679628057800672</c:v>
                </c:pt>
                <c:pt idx="1228">
                  <c:v>-6.5480490265297862</c:v>
                </c:pt>
                <c:pt idx="1229">
                  <c:v>-6.5260340182155225</c:v>
                </c:pt>
                <c:pt idx="1230">
                  <c:v>-6.5019287606708005</c:v>
                </c:pt>
                <c:pt idx="1231">
                  <c:v>-6.475744896129024</c:v>
                </c:pt>
                <c:pt idx="1232">
                  <c:v>-6.4474947242274956</c:v>
                </c:pt>
                <c:pt idx="1233">
                  <c:v>-6.4171911968057618</c:v>
                </c:pt>
                <c:pt idx="1234">
                  <c:v>-6.3848479125006348</c:v>
                </c:pt>
                <c:pt idx="1235">
                  <c:v>-6.3504791111397259</c:v>
                </c:pt>
                <c:pt idx="1236">
                  <c:v>-6.3140996679359418</c:v>
                </c:pt>
                <c:pt idx="1237">
                  <c:v>-6.275725087484969</c:v>
                </c:pt>
                <c:pt idx="1238">
                  <c:v>-6.2353714975683285</c:v>
                </c:pt>
                <c:pt idx="1239">
                  <c:v>-6.1930556427640422</c:v>
                </c:pt>
                <c:pt idx="1240">
                  <c:v>-6.1487948778677053</c:v>
                </c:pt>
                <c:pt idx="1241">
                  <c:v>-6.1026071611260821</c:v>
                </c:pt>
                <c:pt idx="1242">
                  <c:v>-6.0545110472861738</c:v>
                </c:pt>
                <c:pt idx="1243">
                  <c:v>-6.0045256804619438</c:v>
                </c:pt>
                <c:pt idx="1244">
                  <c:v>-5.9526707868217459</c:v>
                </c:pt>
                <c:pt idx="1245">
                  <c:v>-5.8989666670987848</c:v>
                </c:pt>
                <c:pt idx="1246">
                  <c:v>-5.843434188927823</c:v>
                </c:pt>
                <c:pt idx="1247">
                  <c:v>-5.786094779010428</c:v>
                </c:pt>
                <c:pt idx="1248">
                  <c:v>-5.7269704151121443</c:v>
                </c:pt>
                <c:pt idx="1249">
                  <c:v>-5.6660836178939977</c:v>
                </c:pt>
                <c:pt idx="1250">
                  <c:v>-5.6034574425818642</c:v>
                </c:pt>
                <c:pt idx="1251">
                  <c:v>-5.5391154704761103</c:v>
                </c:pt>
                <c:pt idx="1252">
                  <c:v>-5.4730818003050468</c:v>
                </c:pt>
                <c:pt idx="1253">
                  <c:v>-5.4053810394251141</c:v>
                </c:pt>
                <c:pt idx="1254">
                  <c:v>-5.336038294870753</c:v>
                </c:pt>
                <c:pt idx="1255">
                  <c:v>-5.2650791642576866</c:v>
                </c:pt>
                <c:pt idx="1256">
                  <c:v>-5.1925297265421602</c:v>
                </c:pt>
                <c:pt idx="1257">
                  <c:v>-5.1184165326400519</c:v>
                </c:pt>
                <c:pt idx="1258">
                  <c:v>-5.0427665959086054</c:v>
                </c:pt>
                <c:pt idx="1259">
                  <c:v>-4.9656073824947491</c:v>
                </c:pt>
                <c:pt idx="1260">
                  <c:v>-4.8869668015527212</c:v>
                </c:pt>
                <c:pt idx="1261">
                  <c:v>-4.8068731953350623</c:v>
                </c:pt>
                <c:pt idx="1262">
                  <c:v>-4.725355329159842</c:v>
                </c:pt>
                <c:pt idx="1263">
                  <c:v>-4.6424423812582836</c:v>
                </c:pt>
                <c:pt idx="1264">
                  <c:v>-4.5581639325055869</c:v>
                </c:pt>
                <c:pt idx="1265">
                  <c:v>-4.4725499560392006</c:v>
                </c:pt>
                <c:pt idx="1266">
                  <c:v>-4.3856308067674652</c:v>
                </c:pt>
                <c:pt idx="1267">
                  <c:v>-4.297437210773027</c:v>
                </c:pt>
                <c:pt idx="1268">
                  <c:v>-4.2080002546138022</c:v>
                </c:pt>
                <c:pt idx="1269">
                  <c:v>-4.11735137452599</c:v>
                </c:pt>
                <c:pt idx="1270">
                  <c:v>-4.0255223455320666</c:v>
                </c:pt>
                <c:pt idx="1271">
                  <c:v>-3.9325452704583173</c:v>
                </c:pt>
                <c:pt idx="1272">
                  <c:v>-3.8384525688647808</c:v>
                </c:pt>
                <c:pt idx="1273">
                  <c:v>-3.7432769658921536</c:v>
                </c:pt>
                <c:pt idx="1274">
                  <c:v>-3.6470514810288139</c:v>
                </c:pt>
                <c:pt idx="1275">
                  <c:v>-3.5498094168022791</c:v>
                </c:pt>
                <c:pt idx="1276">
                  <c:v>-3.451584347398565</c:v>
                </c:pt>
                <c:pt idx="1277">
                  <c:v>-3.3524101072135686</c:v>
                </c:pt>
                <c:pt idx="1278">
                  <c:v>-3.2523207793399909</c:v>
                </c:pt>
                <c:pt idx="1279">
                  <c:v>-3.1513506839940799</c:v>
                </c:pt>
                <c:pt idx="1280">
                  <c:v>-3.0495343668857542</c:v>
                </c:pt>
                <c:pt idx="1281">
                  <c:v>-2.9469065875362577</c:v>
                </c:pt>
                <c:pt idx="1282">
                  <c:v>-2.843502307546919</c:v>
                </c:pt>
                <c:pt idx="1283">
                  <c:v>-2.7393566788233459</c:v>
                </c:pt>
                <c:pt idx="1284">
                  <c:v>-2.6345050317586458</c:v>
                </c:pt>
                <c:pt idx="1285">
                  <c:v>-2.5289828633798539</c:v>
                </c:pt>
                <c:pt idx="1286">
                  <c:v>-2.4228258254611563</c:v>
                </c:pt>
                <c:pt idx="1287">
                  <c:v>-2.316069712608396</c:v>
                </c:pt>
                <c:pt idx="1288">
                  <c:v>-2.2087504503180519</c:v>
                </c:pt>
                <c:pt idx="1289">
                  <c:v>-2.100904083015589</c:v>
                </c:pt>
                <c:pt idx="1290">
                  <c:v>-1.9925667620760572</c:v>
                </c:pt>
                <c:pt idx="1291">
                  <c:v>-1.883774733831882</c:v>
                </c:pt>
                <c:pt idx="1292">
                  <c:v>-1.7745643275708414</c:v>
                </c:pt>
                <c:pt idx="1293">
                  <c:v>-1.6649719435292012</c:v>
                </c:pt>
                <c:pt idx="1294">
                  <c:v>-1.555034040882822</c:v>
                </c:pt>
                <c:pt idx="1295">
                  <c:v>-1.4447871257411844</c:v>
                </c:pt>
                <c:pt idx="1296">
                  <c:v>-1.3342677391472988</c:v>
                </c:pt>
                <c:pt idx="1297">
                  <c:v>-1.2235124450884551</c:v>
                </c:pt>
                <c:pt idx="1298">
                  <c:v>-1.1125578185205582</c:v>
                </c:pt>
                <c:pt idx="1299">
                  <c:v>-1.0014404334110005</c:v>
                </c:pt>
                <c:pt idx="1300">
                  <c:v>-0.89019685080295974</c:v>
                </c:pt>
                <c:pt idx="1301">
                  <c:v>-0.77886360690604162</c:v>
                </c:pt>
                <c:pt idx="1302">
                  <c:v>-0.66747720121596488</c:v>
                </c:pt>
                <c:pt idx="1303">
                  <c:v>-0.55607408466816366</c:v>
                </c:pt>
                <c:pt idx="1304">
                  <c:v>-0.44469064782815065</c:v>
                </c:pt>
                <c:pt idx="1305">
                  <c:v>-0.33336320912347972</c:v>
                </c:pt>
                <c:pt idx="1306">
                  <c:v>-0.22212800311993347</c:v>
                </c:pt>
                <c:pt idx="1307">
                  <c:v>-0.11102116884671571</c:v>
                </c:pt>
                <c:pt idx="1308">
                  <c:v>-7.8738173555984746E-5</c:v>
                </c:pt>
                <c:pt idx="1309">
                  <c:v>0.11066337575598065</c:v>
                </c:pt>
                <c:pt idx="1310">
                  <c:v>0.22116939003167629</c:v>
                </c:pt>
                <c:pt idx="1311">
                  <c:v>0.33140366342042665</c:v>
                </c:pt>
                <c:pt idx="1312">
                  <c:v>0.44133070774331729</c:v>
                </c:pt>
                <c:pt idx="1313">
                  <c:v>0.55091519918198484</c:v>
                </c:pt>
                <c:pt idx="1314">
                  <c:v>0.66012198951104317</c:v>
                </c:pt>
                <c:pt idx="1315">
                  <c:v>0.76891611725278797</c:v>
                </c:pt>
                <c:pt idx="1316">
                  <c:v>0.87726281875101964</c:v>
                </c:pt>
                <c:pt idx="1317">
                  <c:v>0.98512753916008944</c:v>
                </c:pt>
                <c:pt idx="1318">
                  <c:v>1.0924759433460742</c:v>
                </c:pt>
                <c:pt idx="1319">
                  <c:v>1.1992739266964305</c:v>
                </c:pt>
                <c:pt idx="1320">
                  <c:v>1.3054876258351216</c:v>
                </c:pt>
                <c:pt idx="1321">
                  <c:v>1.411083429239318</c:v>
                </c:pt>
                <c:pt idx="1322">
                  <c:v>1.5160279877551706</c:v>
                </c:pt>
                <c:pt idx="1323">
                  <c:v>1.6202882250084145</c:v>
                </c:pt>
                <c:pt idx="1324">
                  <c:v>1.7238313477076819</c:v>
                </c:pt>
                <c:pt idx="1325">
                  <c:v>1.8266248558363618</c:v>
                </c:pt>
                <c:pt idx="1326">
                  <c:v>1.9286365527307869</c:v>
                </c:pt>
                <c:pt idx="1327">
                  <c:v>2.0298345550406744</c:v>
                </c:pt>
                <c:pt idx="1328">
                  <c:v>2.1301873025698561</c:v>
                </c:pt>
                <c:pt idx="1329">
                  <c:v>2.2296635679933114</c:v>
                </c:pt>
                <c:pt idx="1330">
                  <c:v>2.3282324664484597</c:v>
                </c:pt>
                <c:pt idx="1331">
                  <c:v>2.4258634649968278</c:v>
                </c:pt>
                <c:pt idx="1332">
                  <c:v>2.5225263919542948</c:v>
                </c:pt>
                <c:pt idx="1333">
                  <c:v>2.6181914460861404</c:v>
                </c:pt>
                <c:pt idx="1334">
                  <c:v>2.7128292056650083</c:v>
                </c:pt>
                <c:pt idx="1335">
                  <c:v>2.8064106373881503</c:v>
                </c:pt>
                <c:pt idx="1336">
                  <c:v>2.8989071051522779</c:v>
                </c:pt>
                <c:pt idx="1337">
                  <c:v>2.9902903786825243</c:v>
                </c:pt>
                <c:pt idx="1338">
                  <c:v>3.0805326420137669</c:v>
                </c:pt>
                <c:pt idx="1339">
                  <c:v>3.1696065018209376</c:v>
                </c:pt>
                <c:pt idx="1340">
                  <c:v>3.2574849955968204</c:v>
                </c:pt>
                <c:pt idx="1341">
                  <c:v>3.3441415996740771</c:v>
                </c:pt>
                <c:pt idx="1342">
                  <c:v>3.4295502370898618</c:v>
                </c:pt>
                <c:pt idx="1343">
                  <c:v>3.5136852852902272</c:v>
                </c:pt>
                <c:pt idx="1344">
                  <c:v>3.5965215836724052</c:v>
                </c:pt>
                <c:pt idx="1345">
                  <c:v>3.6780344409626125</c:v>
                </c:pt>
                <c:pt idx="1346">
                  <c:v>3.7581996424274924</c:v>
                </c:pt>
                <c:pt idx="1347">
                  <c:v>3.8369934569168569</c:v>
                </c:pt>
                <c:pt idx="1348">
                  <c:v>3.9143926437359466</c:v>
                </c:pt>
                <c:pt idx="1349">
                  <c:v>3.9903744593451407</c:v>
                </c:pt>
                <c:pt idx="1350">
                  <c:v>4.0649166638854277</c:v>
                </c:pt>
                <c:pt idx="1351">
                  <c:v>4.1379975275275713</c:v>
                </c:pt>
                <c:pt idx="1352">
                  <c:v>4.2095958366434134</c:v>
                </c:pt>
                <c:pt idx="1353">
                  <c:v>4.2796908997974752</c:v>
                </c:pt>
                <c:pt idx="1354">
                  <c:v>4.3482625535574666</c:v>
                </c:pt>
                <c:pt idx="1355">
                  <c:v>4.4152911681217244</c:v>
                </c:pt>
                <c:pt idx="1356">
                  <c:v>4.4807576527626356</c:v>
                </c:pt>
                <c:pt idx="1357">
                  <c:v>4.5446434610839042</c:v>
                </c:pt>
                <c:pt idx="1358">
                  <c:v>4.6069305960910274</c:v>
                </c:pt>
                <c:pt idx="1359">
                  <c:v>4.6676016150730151</c:v>
                </c:pt>
                <c:pt idx="1360">
                  <c:v>4.7266396342946386</c:v>
                </c:pt>
                <c:pt idx="1361">
                  <c:v>4.7840283334974716</c:v>
                </c:pt>
                <c:pt idx="1362">
                  <c:v>4.8397519602091865</c:v>
                </c:pt>
                <c:pt idx="1363">
                  <c:v>4.8937953338595017</c:v>
                </c:pt>
                <c:pt idx="1364">
                  <c:v>4.9461438497022829</c:v>
                </c:pt>
                <c:pt idx="1365">
                  <c:v>4.9967834825423347</c:v>
                </c:pt>
                <c:pt idx="1366">
                  <c:v>5.0457007902665865</c:v>
                </c:pt>
                <c:pt idx="1367">
                  <c:v>5.0928829171783603</c:v>
                </c:pt>
                <c:pt idx="1368">
                  <c:v>5.1383175971344359</c:v>
                </c:pt>
                <c:pt idx="1369">
                  <c:v>5.1819931564837889</c:v>
                </c:pt>
                <c:pt idx="1370">
                  <c:v>5.223898516807874</c:v>
                </c:pt>
                <c:pt idx="1371">
                  <c:v>5.2640231974614942</c:v>
                </c:pt>
                <c:pt idx="1372">
                  <c:v>5.3023573179141552</c:v>
                </c:pt>
                <c:pt idx="1373">
                  <c:v>5.3388915998911219</c:v>
                </c:pt>
                <c:pt idx="1374">
                  <c:v>5.3736173693142346</c:v>
                </c:pt>
                <c:pt idx="1375">
                  <c:v>5.40652655804187</c:v>
                </c:pt>
                <c:pt idx="1376">
                  <c:v>5.4376117054080959</c:v>
                </c:pt>
                <c:pt idx="1377">
                  <c:v>5.4668659595607352</c:v>
                </c:pt>
                <c:pt idx="1378">
                  <c:v>5.4942830785982455</c:v>
                </c:pt>
                <c:pt idx="1379">
                  <c:v>5.5198574315055904</c:v>
                </c:pt>
                <c:pt idx="1380">
                  <c:v>5.5435839988889191</c:v>
                </c:pt>
                <c:pt idx="1381">
                  <c:v>5.5654583735094034</c:v>
                </c:pt>
                <c:pt idx="1382">
                  <c:v>5.585476760616177</c:v>
                </c:pt>
                <c:pt idx="1383">
                  <c:v>5.60363597807891</c:v>
                </c:pt>
                <c:pt idx="1384">
                  <c:v>5.61993345632008</c:v>
                </c:pt>
                <c:pt idx="1385">
                  <c:v>5.6343672380475311</c:v>
                </c:pt>
                <c:pt idx="1386">
                  <c:v>5.6469359777875745</c:v>
                </c:pt>
                <c:pt idx="1387">
                  <c:v>5.6576389412193278</c:v>
                </c:pt>
                <c:pt idx="1388">
                  <c:v>5.6664760043107432</c:v>
                </c:pt>
                <c:pt idx="1389">
                  <c:v>5.6734476522570292</c:v>
                </c:pt>
                <c:pt idx="1390">
                  <c:v>5.6785549782221088</c:v>
                </c:pt>
                <c:pt idx="1391">
                  <c:v>5.6817996818839616</c:v>
                </c:pt>
                <c:pt idx="1392">
                  <c:v>5.6831840677846044</c:v>
                </c:pt>
                <c:pt idx="1393">
                  <c:v>5.6827110434856554</c:v>
                </c:pt>
                <c:pt idx="1394">
                  <c:v>5.6803841175303926</c:v>
                </c:pt>
                <c:pt idx="1395">
                  <c:v>5.6762073972133438</c:v>
                </c:pt>
                <c:pt idx="1396">
                  <c:v>5.6701855861584987</c:v>
                </c:pt>
                <c:pt idx="1397">
                  <c:v>5.6623239817072379</c:v>
                </c:pt>
                <c:pt idx="1398">
                  <c:v>5.652628472117212</c:v>
                </c:pt>
                <c:pt idx="1399">
                  <c:v>5.6411055335733948</c:v>
                </c:pt>
                <c:pt idx="1400">
                  <c:v>5.6277622270126848</c:v>
                </c:pt>
                <c:pt idx="1401">
                  <c:v>5.6126061947633206</c:v>
                </c:pt>
                <c:pt idx="1402">
                  <c:v>5.5956456570006798</c:v>
                </c:pt>
                <c:pt idx="1403">
                  <c:v>5.5768894080208025</c:v>
                </c:pt>
                <c:pt idx="1404">
                  <c:v>5.5563468123333424</c:v>
                </c:pt>
                <c:pt idx="1405">
                  <c:v>5.5340278005753794</c:v>
                </c:pt>
                <c:pt idx="1406">
                  <c:v>5.509942865247897</c:v>
                </c:pt>
                <c:pt idx="1407">
                  <c:v>5.4841030562765436</c:v>
                </c:pt>
                <c:pt idx="1408">
                  <c:v>5.4565199763984991</c:v>
                </c:pt>
                <c:pt idx="1409">
                  <c:v>5.4272057763772015</c:v>
                </c:pt>
                <c:pt idx="1410">
                  <c:v>5.3961731500468932</c:v>
                </c:pt>
                <c:pt idx="1411">
                  <c:v>5.3634353291888255</c:v>
                </c:pt>
                <c:pt idx="1412">
                  <c:v>5.3290060782411928</c:v>
                </c:pt>
                <c:pt idx="1413">
                  <c:v>5.2928996888446811</c:v>
                </c:pt>
                <c:pt idx="1414">
                  <c:v>5.2551309742258994</c:v>
                </c:pt>
                <c:pt idx="1415">
                  <c:v>5.2157152634205932</c:v>
                </c:pt>
                <c:pt idx="1416">
                  <c:v>5.1746683953390926</c:v>
                </c:pt>
                <c:pt idx="1417">
                  <c:v>5.132006712675893</c:v>
                </c:pt>
                <c:pt idx="1418">
                  <c:v>5.0877470556659592</c:v>
                </c:pt>
                <c:pt idx="1419">
                  <c:v>5.0419067556897526</c:v>
                </c:pt>
                <c:pt idx="1420">
                  <c:v>4.9945036287297002</c:v>
                </c:pt>
                <c:pt idx="1421">
                  <c:v>4.9455559686801189</c:v>
                </c:pt>
                <c:pt idx="1422">
                  <c:v>4.8950825405133944</c:v>
                </c:pt>
                <c:pt idx="1423">
                  <c:v>4.8431025733045843</c:v>
                </c:pt>
                <c:pt idx="1424">
                  <c:v>4.789635753117361</c:v>
                </c:pt>
                <c:pt idx="1425">
                  <c:v>4.7347022157533951</c:v>
                </c:pt>
                <c:pt idx="1426">
                  <c:v>4.6783225393682866</c:v>
                </c:pt>
                <c:pt idx="1427">
                  <c:v>4.6205177369561978</c:v>
                </c:pt>
                <c:pt idx="1428">
                  <c:v>4.5613092487064231</c:v>
                </c:pt>
                <c:pt idx="1429">
                  <c:v>4.5007189342340519</c:v>
                </c:pt>
                <c:pt idx="1430">
                  <c:v>4.4387690646879943</c:v>
                </c:pt>
                <c:pt idx="1431">
                  <c:v>4.375482314738707</c:v>
                </c:pt>
                <c:pt idx="1432">
                  <c:v>4.3108817544489844</c:v>
                </c:pt>
                <c:pt idx="1433">
                  <c:v>4.2449908410300559</c:v>
                </c:pt>
                <c:pt idx="1434">
                  <c:v>4.1778334104864854</c:v>
                </c:pt>
                <c:pt idx="1435">
                  <c:v>4.109433669152307</c:v>
                </c:pt>
                <c:pt idx="1436">
                  <c:v>4.0398161851217367</c:v>
                </c:pt>
                <c:pt idx="1437">
                  <c:v>3.9690058795771845</c:v>
                </c:pt>
                <c:pt idx="1438">
                  <c:v>3.8970280180177799</c:v>
                </c:pt>
                <c:pt idx="1439">
                  <c:v>3.8239082013912147</c:v>
                </c:pt>
                <c:pt idx="1440">
                  <c:v>3.7496723571322597</c:v>
                </c:pt>
                <c:pt idx="1441">
                  <c:v>3.6743467301107988</c:v>
                </c:pt>
                <c:pt idx="1442">
                  <c:v>3.597957873492716</c:v>
                </c:pt>
                <c:pt idx="1443">
                  <c:v>3.5205326395165035</c:v>
                </c:pt>
                <c:pt idx="1444">
                  <c:v>3.4420981701890585</c:v>
                </c:pt>
                <c:pt idx="1445">
                  <c:v>3.3626818879036131</c:v>
                </c:pt>
                <c:pt idx="1446">
                  <c:v>3.2823114859832008</c:v>
                </c:pt>
                <c:pt idx="1447">
                  <c:v>3.2010149191525801</c:v>
                </c:pt>
                <c:pt idx="1448">
                  <c:v>3.118820393942316</c:v>
                </c:pt>
                <c:pt idx="1449">
                  <c:v>3.0357563590276557</c:v>
                </c:pt>
                <c:pt idx="1450">
                  <c:v>2.9518514955062423</c:v>
                </c:pt>
                <c:pt idx="1451">
                  <c:v>2.8671347071171103</c:v>
                </c:pt>
                <c:pt idx="1452">
                  <c:v>2.7816351104050243</c:v>
                </c:pt>
                <c:pt idx="1453">
                  <c:v>2.6953820248327682</c:v>
                </c:pt>
                <c:pt idx="1454">
                  <c:v>2.6084049628454906</c:v>
                </c:pt>
                <c:pt idx="1455">
                  <c:v>2.5207336198895653</c:v>
                </c:pt>
                <c:pt idx="1456">
                  <c:v>2.4323978643901327</c:v>
                </c:pt>
                <c:pt idx="1457">
                  <c:v>2.3434277276898845</c:v>
                </c:pt>
                <c:pt idx="1458">
                  <c:v>2.2538533939533121</c:v>
                </c:pt>
                <c:pt idx="1459">
                  <c:v>2.1637051900388458</c:v>
                </c:pt>
                <c:pt idx="1460">
                  <c:v>2.0730135753430936</c:v>
                </c:pt>
                <c:pt idx="1461">
                  <c:v>1.9818091316197777</c:v>
                </c:pt>
                <c:pt idx="1462">
                  <c:v>1.8901225527775798</c:v>
                </c:pt>
                <c:pt idx="1463">
                  <c:v>1.7979846346593387</c:v>
                </c:pt>
                <c:pt idx="1464">
                  <c:v>1.705426264806833</c:v>
                </c:pt>
                <c:pt idx="1465">
                  <c:v>1.6124784122137199</c:v>
                </c:pt>
                <c:pt idx="1466">
                  <c:v>1.519172117070859</c:v>
                </c:pt>
                <c:pt idx="1467">
                  <c:v>1.425538480506453</c:v>
                </c:pt>
                <c:pt idx="1468">
                  <c:v>1.3316086543252037</c:v>
                </c:pt>
                <c:pt idx="1469">
                  <c:v>1.2374138307491649</c:v>
                </c:pt>
                <c:pt idx="1470">
                  <c:v>1.1429852321641358</c:v>
                </c:pt>
                <c:pt idx="1471">
                  <c:v>1.0483541008746089</c:v>
                </c:pt>
                <c:pt idx="1472">
                  <c:v>0.95355168887083286</c:v>
                </c:pt>
                <c:pt idx="1473">
                  <c:v>0.85860924761100776</c:v>
                </c:pt>
                <c:pt idx="1474">
                  <c:v>0.76355801782228794</c:v>
                </c:pt>
                <c:pt idx="1475">
                  <c:v>0.66842921932359667</c:v>
                </c:pt>
                <c:pt idx="1476">
                  <c:v>0.57325404087375298</c:v>
                </c:pt>
                <c:pt idx="1477">
                  <c:v>0.47806363004788216</c:v>
                </c:pt>
                <c:pt idx="1478">
                  <c:v>0.38288908314573727</c:v>
                </c:pt>
                <c:pt idx="1479">
                  <c:v>0.28776143513486724</c:v>
                </c:pt>
                <c:pt idx="1480">
                  <c:v>0.19271164963207507</c:v>
                </c:pt>
                <c:pt idx="1481">
                  <c:v>9.77706089260518E-2</c:v>
                </c:pt>
                <c:pt idx="1482">
                  <c:v>2.9691040448695063E-3</c:v>
                </c:pt>
                <c:pt idx="1483">
                  <c:v>-9.1662175129194154E-2</c:v>
                </c:pt>
                <c:pt idx="1484">
                  <c:v>-0.18609264969348391</c:v>
                </c:pt>
                <c:pt idx="1485">
                  <c:v>-0.28029186150529783</c:v>
                </c:pt>
                <c:pt idx="1486">
                  <c:v>-0.37422948290473518</c:v>
                </c:pt>
                <c:pt idx="1487">
                  <c:v>-0.46787532637780399</c:v>
                </c:pt>
                <c:pt idx="1488">
                  <c:v>-0.56119935415585809</c:v>
                </c:pt>
                <c:pt idx="1489">
                  <c:v>-0.65417168774930523</c:v>
                </c:pt>
                <c:pt idx="1490">
                  <c:v>-0.7467626174117048</c:v>
                </c:pt>
                <c:pt idx="1491">
                  <c:v>-0.83894261153210647</c:v>
                </c:pt>
                <c:pt idx="1492">
                  <c:v>-0.93068232595180822</c:v>
                </c:pt>
                <c:pt idx="1493">
                  <c:v>-1.021952613203585</c:v>
                </c:pt>
                <c:pt idx="1494">
                  <c:v>-1.1127245316696361</c:v>
                </c:pt>
                <c:pt idx="1495">
                  <c:v>-1.2029693546562044</c:v>
                </c:pt>
                <c:pt idx="1496">
                  <c:v>-1.2926585793811907</c:v>
                </c:pt>
                <c:pt idx="1497">
                  <c:v>-1.3817639358729303</c:v>
                </c:pt>
                <c:pt idx="1498">
                  <c:v>-1.4702573957765126</c:v>
                </c:pt>
                <c:pt idx="1499">
                  <c:v>-1.5581111810657318</c:v>
                </c:pt>
                <c:pt idx="1500">
                  <c:v>-1.6452977726571441</c:v>
                </c:pt>
                <c:pt idx="1501">
                  <c:v>-1.7317899189244896</c:v>
                </c:pt>
                <c:pt idx="1502">
                  <c:v>-1.8175606441101875</c:v>
                </c:pt>
                <c:pt idx="1503">
                  <c:v>-1.9025832566315968</c:v>
                </c:pt>
                <c:pt idx="1504">
                  <c:v>-1.9868313572797889</c:v>
                </c:pt>
                <c:pt idx="1505">
                  <c:v>-2.0702788473076583</c:v>
                </c:pt>
                <c:pt idx="1506">
                  <c:v>-2.1528999364058032</c:v>
                </c:pt>
                <c:pt idx="1507">
                  <c:v>-2.2346691505629646</c:v>
                </c:pt>
                <c:pt idx="1508">
                  <c:v>-2.3155613398093995</c:v>
                </c:pt>
                <c:pt idx="1509">
                  <c:v>-2.3955516858400796</c:v>
                </c:pt>
                <c:pt idx="1510">
                  <c:v>-2.4746157095163031</c:v>
                </c:pt>
                <c:pt idx="1511">
                  <c:v>-2.5527292782426971</c:v>
                </c:pt>
                <c:pt idx="1512">
                  <c:v>-2.6298686132181492</c:v>
                </c:pt>
                <c:pt idx="1513">
                  <c:v>-2.7060102965577602</c:v>
                </c:pt>
                <c:pt idx="1514">
                  <c:v>-2.7811312782845401</c:v>
                </c:pt>
                <c:pt idx="1515">
                  <c:v>-2.8552088831880664</c:v>
                </c:pt>
                <c:pt idx="1516">
                  <c:v>-2.9282208175487643</c:v>
                </c:pt>
                <c:pt idx="1517">
                  <c:v>-3.0001451757251458</c:v>
                </c:pt>
                <c:pt idx="1518">
                  <c:v>-3.0709604466028777</c:v>
                </c:pt>
                <c:pt idx="1519">
                  <c:v>-3.1406455199031096</c:v>
                </c:pt>
                <c:pt idx="1520">
                  <c:v>-3.2091796923488971</c:v>
                </c:pt>
                <c:pt idx="1521">
                  <c:v>-3.2765426736872927</c:v>
                </c:pt>
                <c:pt idx="1522">
                  <c:v>-3.3427145925661081</c:v>
                </c:pt>
                <c:pt idx="1523">
                  <c:v>-3.407676002263059</c:v>
                </c:pt>
                <c:pt idx="1524">
                  <c:v>-3.4714078862661832</c:v>
                </c:pt>
                <c:pt idx="1525">
                  <c:v>-3.5338916637036251</c:v>
                </c:pt>
                <c:pt idx="1526">
                  <c:v>-3.5951091946214992</c:v>
                </c:pt>
                <c:pt idx="1527">
                  <c:v>-3.6550427851082476</c:v>
                </c:pt>
                <c:pt idx="1528">
                  <c:v>-3.7136751922642754</c:v>
                </c:pt>
                <c:pt idx="1529">
                  <c:v>-3.7709896290153013</c:v>
                </c:pt>
                <c:pt idx="1530">
                  <c:v>-3.8269697687682842</c:v>
                </c:pt>
                <c:pt idx="1531">
                  <c:v>-3.881599749908617</c:v>
                </c:pt>
                <c:pt idx="1532">
                  <c:v>-3.9348641801375144</c:v>
                </c:pt>
                <c:pt idx="1533">
                  <c:v>-3.9867481406483067</c:v>
                </c:pt>
                <c:pt idx="1534">
                  <c:v>-4.0372371901406909</c:v>
                </c:pt>
                <c:pt idx="1535">
                  <c:v>-4.0863173686718417</c:v>
                </c:pt>
                <c:pt idx="1536">
                  <c:v>-4.1339752013435582</c:v>
                </c:pt>
                <c:pt idx="1537">
                  <c:v>-4.1801977018242873</c:v>
                </c:pt>
                <c:pt idx="1538">
                  <c:v>-4.2249723757055184</c:v>
                </c:pt>
                <c:pt idx="1539">
                  <c:v>-4.2682872236913374</c:v>
                </c:pt>
                <c:pt idx="1540">
                  <c:v>-4.310130744620837</c:v>
                </c:pt>
                <c:pt idx="1541">
                  <c:v>-4.350491938322306</c:v>
                </c:pt>
                <c:pt idx="1542">
                  <c:v>-4.3893603082989294</c:v>
                </c:pt>
                <c:pt idx="1543">
                  <c:v>-4.4267258642450322</c:v>
                </c:pt>
                <c:pt idx="1544">
                  <c:v>-4.4625791243927804</c:v>
                </c:pt>
                <c:pt idx="1545">
                  <c:v>-4.4969111176884846</c:v>
                </c:pt>
                <c:pt idx="1546">
                  <c:v>-4.5297133857984511</c:v>
                </c:pt>
                <c:pt idx="1547">
                  <c:v>-4.5609779849436869</c:v>
                </c:pt>
                <c:pt idx="1548">
                  <c:v>-4.590697487563518</c:v>
                </c:pt>
                <c:pt idx="1549">
                  <c:v>-4.6188649838075779</c:v>
                </c:pt>
                <c:pt idx="1550">
                  <c:v>-4.6454740828562597</c:v>
                </c:pt>
                <c:pt idx="1551">
                  <c:v>-4.6705189140692323</c:v>
                </c:pt>
                <c:pt idx="1552">
                  <c:v>-4.6939941279622488</c:v>
                </c:pt>
                <c:pt idx="1553">
                  <c:v>-4.7158948970119736</c:v>
                </c:pt>
                <c:pt idx="1554">
                  <c:v>-4.7362169162891075</c:v>
                </c:pt>
                <c:pt idx="1555">
                  <c:v>-4.7549564039196719</c:v>
                </c:pt>
                <c:pt idx="1556">
                  <c:v>-4.7721101013748761</c:v>
                </c:pt>
                <c:pt idx="1557">
                  <c:v>-4.7876752735895396</c:v>
                </c:pt>
                <c:pt idx="1558">
                  <c:v>-4.8016497089095216</c:v>
                </c:pt>
                <c:pt idx="1559">
                  <c:v>-4.8140317188683852</c:v>
                </c:pt>
                <c:pt idx="1560">
                  <c:v>-4.8248201377936857</c:v>
                </c:pt>
                <c:pt idx="1561">
                  <c:v>-4.8340143222433749</c:v>
                </c:pt>
                <c:pt idx="1562">
                  <c:v>-4.8416141502727443</c:v>
                </c:pt>
                <c:pt idx="1563">
                  <c:v>-4.8476200205324975</c:v>
                </c:pt>
                <c:pt idx="1564">
                  <c:v>-4.8520328511985387</c:v>
                </c:pt>
                <c:pt idx="1565">
                  <c:v>-4.8548540787341103</c:v>
                </c:pt>
                <c:pt idx="1566">
                  <c:v>-4.8560856564850194</c:v>
                </c:pt>
                <c:pt idx="1567">
                  <c:v>-4.8557300531087133</c:v>
                </c:pt>
                <c:pt idx="1568">
                  <c:v>-4.8537902508379522</c:v>
                </c:pt>
                <c:pt idx="1569">
                  <c:v>-4.850269743580049</c:v>
                </c:pt>
                <c:pt idx="1570">
                  <c:v>-4.8451725348525025</c:v>
                </c:pt>
                <c:pt idx="1571">
                  <c:v>-4.8385031355560439</c:v>
                </c:pt>
                <c:pt idx="1572">
                  <c:v>-4.8302665615860976</c:v>
                </c:pt>
                <c:pt idx="1573">
                  <c:v>-4.8204683312837355</c:v>
                </c:pt>
                <c:pt idx="1574">
                  <c:v>-4.8091144627272326</c:v>
                </c:pt>
                <c:pt idx="1575">
                  <c:v>-4.7962114708654342</c:v>
                </c:pt>
                <c:pt idx="1576">
                  <c:v>-4.7817663644940787</c:v>
                </c:pt>
                <c:pt idx="1577">
                  <c:v>-4.7657866430764591</c:v>
                </c:pt>
                <c:pt idx="1578">
                  <c:v>-4.7482802934096178</c:v>
                </c:pt>
                <c:pt idx="1579">
                  <c:v>-4.7292557861375624</c:v>
                </c:pt>
                <c:pt idx="1580">
                  <c:v>-4.708722072112784</c:v>
                </c:pt>
                <c:pt idx="1581">
                  <c:v>-4.6866885786076979</c:v>
                </c:pt>
                <c:pt idx="1582">
                  <c:v>-4.6631652053773527</c:v>
                </c:pt>
                <c:pt idx="1583">
                  <c:v>-4.6381623205751081</c:v>
                </c:pt>
                <c:pt idx="1584">
                  <c:v>-4.6116907565227159</c:v>
                </c:pt>
                <c:pt idx="1585">
                  <c:v>-4.5837618053366596</c:v>
                </c:pt>
                <c:pt idx="1586">
                  <c:v>-4.5543872144122215</c:v>
                </c:pt>
                <c:pt idx="1587">
                  <c:v>-4.5235791817671753</c:v>
                </c:pt>
                <c:pt idx="1588">
                  <c:v>-4.4913503512467345</c:v>
                </c:pt>
                <c:pt idx="1589">
                  <c:v>-4.4577138075917606</c:v>
                </c:pt>
                <c:pt idx="1590">
                  <c:v>-4.4226830713718526</c:v>
                </c:pt>
                <c:pt idx="1591">
                  <c:v>-4.3862720937854478</c:v>
                </c:pt>
                <c:pt idx="1592">
                  <c:v>-4.3484952513286617</c:v>
                </c:pt>
                <c:pt idx="1593">
                  <c:v>-4.3093673403350179</c:v>
                </c:pt>
                <c:pt idx="1594">
                  <c:v>-4.2689035713879759</c:v>
                </c:pt>
                <c:pt idx="1595">
                  <c:v>-4.2271195636083769</c:v>
                </c:pt>
                <c:pt idx="1596">
                  <c:v>-4.1840313388187935</c:v>
                </c:pt>
                <c:pt idx="1597">
                  <c:v>-4.1396553155870572</c:v>
                </c:pt>
                <c:pt idx="1598">
                  <c:v>-4.0940083031510071</c:v>
                </c:pt>
                <c:pt idx="1599">
                  <c:v>-4.0471074952267445</c:v>
                </c:pt>
                <c:pt idx="1600">
                  <c:v>-3.9989704637024985</c:v>
                </c:pt>
                <c:pt idx="1601">
                  <c:v>-3.9496151522205336</c:v>
                </c:pt>
                <c:pt idx="1602">
                  <c:v>-3.8990598696492658</c:v>
                </c:pt>
                <c:pt idx="1603">
                  <c:v>-3.8473232834480031</c:v>
                </c:pt>
                <c:pt idx="1604">
                  <c:v>-3.794424412926543</c:v>
                </c:pt>
                <c:pt idx="1605">
                  <c:v>-3.7403826224022483</c:v>
                </c:pt>
                <c:pt idx="1606">
                  <c:v>-3.6852176142566595</c:v>
                </c:pt>
                <c:pt idx="1607">
                  <c:v>-3.6289494218945855</c:v>
                </c:pt>
                <c:pt idx="1608">
                  <c:v>-3.5715984026075867</c:v>
                </c:pt>
                <c:pt idx="1609">
                  <c:v>-3.5131852303448734</c:v>
                </c:pt>
                <c:pt idx="1610">
                  <c:v>-3.453730888393661</c:v>
                </c:pt>
                <c:pt idx="1611">
                  <c:v>-3.3932566619720728</c:v>
                </c:pt>
                <c:pt idx="1612">
                  <c:v>-3.3317841307365756</c:v>
                </c:pt>
                <c:pt idx="1613">
                  <c:v>-3.2693351612071022</c:v>
                </c:pt>
                <c:pt idx="1614">
                  <c:v>-3.2059318991119654</c:v>
                </c:pt>
                <c:pt idx="1615">
                  <c:v>-3.1415967616557712</c:v>
                </c:pt>
                <c:pt idx="1616">
                  <c:v>-3.0763524297123821</c:v>
                </c:pt>
                <c:pt idx="1617">
                  <c:v>-3.0102218399461833</c:v>
                </c:pt>
                <c:pt idx="1618">
                  <c:v>-2.9432281768638258</c:v>
                </c:pt>
                <c:pt idx="1619">
                  <c:v>-2.8753948647997447</c:v>
                </c:pt>
                <c:pt idx="1620">
                  <c:v>-2.8067455598375508</c:v>
                </c:pt>
                <c:pt idx="1621">
                  <c:v>-2.7373041416706636</c:v>
                </c:pt>
                <c:pt idx="1622">
                  <c:v>-2.6670947054043492</c:v>
                </c:pt>
                <c:pt idx="1623">
                  <c:v>-2.5961415533026195</c:v>
                </c:pt>
                <c:pt idx="1624">
                  <c:v>-2.5244691864820643</c:v>
                </c:pt>
                <c:pt idx="1625">
                  <c:v>-2.4521022965560806</c:v>
                </c:pt>
                <c:pt idx="1626">
                  <c:v>-2.3790657572317282</c:v>
                </c:pt>
                <c:pt idx="1627">
                  <c:v>-2.3053846158625939</c:v>
                </c:pt>
                <c:pt idx="1628">
                  <c:v>-2.2310840849601177</c:v>
                </c:pt>
                <c:pt idx="1629">
                  <c:v>-2.1561895336662458</c:v>
                </c:pt>
                <c:pt idx="1630">
                  <c:v>-2.0807264791905915</c:v>
                </c:pt>
                <c:pt idx="1631">
                  <c:v>-2.0047205782144255</c:v>
                </c:pt>
                <c:pt idx="1632">
                  <c:v>-1.9281976182650387</c:v>
                </c:pt>
                <c:pt idx="1633">
                  <c:v>-1.8511835090626028</c:v>
                </c:pt>
                <c:pt idx="1634">
                  <c:v>-1.773704273843099</c:v>
                </c:pt>
                <c:pt idx="1635">
                  <c:v>-1.6957860406595318</c:v>
                </c:pt>
                <c:pt idx="1636">
                  <c:v>-1.6174550336650368</c:v>
                </c:pt>
                <c:pt idx="1637">
                  <c:v>-1.5387375643799694</c:v>
                </c:pt>
                <c:pt idx="1638">
                  <c:v>-1.4596600229465821</c:v>
                </c:pt>
                <c:pt idx="1639">
                  <c:v>-1.3802488693734964</c:v>
                </c:pt>
                <c:pt idx="1640">
                  <c:v>-1.3005306247735846</c:v>
                </c:pt>
                <c:pt idx="1641">
                  <c:v>-1.2205318625973249</c:v>
                </c:pt>
                <c:pt idx="1642">
                  <c:v>-1.1402791998652511</c:v>
                </c:pt>
                <c:pt idx="1643">
                  <c:v>-1.0597992884016689</c:v>
                </c:pt>
                <c:pt idx="1644">
                  <c:v>-0.97911880607324975</c:v>
                </c:pt>
                <c:pt idx="1645">
                  <c:v>-0.89826444803454031</c:v>
                </c:pt>
                <c:pt idx="1646">
                  <c:v>-0.81726291798398221</c:v>
                </c:pt>
                <c:pt idx="1647">
                  <c:v>-0.73614091943258764</c:v>
                </c:pt>
                <c:pt idx="1648">
                  <c:v>-0.65492514698885462</c:v>
                </c:pt>
                <c:pt idx="1649">
                  <c:v>-0.57364227766191256</c:v>
                </c:pt>
                <c:pt idx="1650">
                  <c:v>-0.49231896218645255</c:v>
                </c:pt>
                <c:pt idx="1651">
                  <c:v>-0.41098181637164222</c:v>
                </c:pt>
                <c:pt idx="1652">
                  <c:v>-0.32965741247723829</c:v>
                </c:pt>
                <c:pt idx="1653">
                  <c:v>-0.24837227061939077</c:v>
                </c:pt>
                <c:pt idx="1654">
                  <c:v>-0.16715285020908113</c:v>
                </c:pt>
                <c:pt idx="1655">
                  <c:v>-8.6025541425674687E-2</c:v>
                </c:pt>
                <c:pt idx="1656">
                  <c:v>-5.0166567286265796E-3</c:v>
                </c:pt>
                <c:pt idx="1657">
                  <c:v>7.5847577590213391E-2</c:v>
                </c:pt>
                <c:pt idx="1658">
                  <c:v>0.15654102981082157</c:v>
                </c:pt>
                <c:pt idx="1659">
                  <c:v>0.23703767114333607</c:v>
                </c:pt>
                <c:pt idx="1660">
                  <c:v>0.31731158403754589</c:v>
                </c:pt>
                <c:pt idx="1661">
                  <c:v>0.39733697044116223</c:v>
                </c:pt>
                <c:pt idx="1662">
                  <c:v>0.47708816000407905</c:v>
                </c:pt>
                <c:pt idx="1663">
                  <c:v>0.5565396182263127</c:v>
                </c:pt>
                <c:pt idx="1664">
                  <c:v>0.63566595454663588</c:v>
                </c:pt>
                <c:pt idx="1665">
                  <c:v>0.71444193036995407</c:v>
                </c:pt>
                <c:pt idx="1666">
                  <c:v>0.79284246703018058</c:v>
                </c:pt>
                <c:pt idx="1667">
                  <c:v>0.87084265368693936</c:v>
                </c:pt>
                <c:pt idx="1668">
                  <c:v>0.94841775515288951</c:v>
                </c:pt>
                <c:pt idx="1669">
                  <c:v>1.0255432196499248</c:v>
                </c:pt>
                <c:pt idx="1670">
                  <c:v>1.1021946864911012</c:v>
                </c:pt>
                <c:pt idx="1671">
                  <c:v>1.1783479936867287</c:v>
                </c:pt>
                <c:pt idx="1672">
                  <c:v>1.2539791854715339</c:v>
                </c:pt>
                <c:pt idx="1673">
                  <c:v>1.3290645197512569</c:v>
                </c:pt>
                <c:pt idx="1674">
                  <c:v>1.4035804754656682</c:v>
                </c:pt>
                <c:pt idx="1675">
                  <c:v>1.4775037598665413</c:v>
                </c:pt>
                <c:pt idx="1676">
                  <c:v>1.550811315707632</c:v>
                </c:pt>
                <c:pt idx="1677">
                  <c:v>1.6234803283451367</c:v>
                </c:pt>
                <c:pt idx="1678">
                  <c:v>1.6954882327457665</c:v>
                </c:pt>
                <c:pt idx="1679">
                  <c:v>1.76681272040107</c:v>
                </c:pt>
                <c:pt idx="1680">
                  <c:v>1.8374317461452359</c:v>
                </c:pt>
                <c:pt idx="1681">
                  <c:v>1.907323534874936</c:v>
                </c:pt>
                <c:pt idx="1682">
                  <c:v>1.9764665881685286</c:v>
                </c:pt>
                <c:pt idx="1683">
                  <c:v>2.0448396908033644</c:v>
                </c:pt>
                <c:pt idx="1684">
                  <c:v>2.1124219171686036</c:v>
                </c:pt>
                <c:pt idx="1685">
                  <c:v>2.1791926375721413</c:v>
                </c:pt>
                <c:pt idx="1686">
                  <c:v>2.2451315244394192</c:v>
                </c:pt>
                <c:pt idx="1687">
                  <c:v>2.3102185584025015</c:v>
                </c:pt>
                <c:pt idx="1688">
                  <c:v>2.3744340342775057</c:v>
                </c:pt>
                <c:pt idx="1689">
                  <c:v>2.4377585669287987</c:v>
                </c:pt>
                <c:pt idx="1690">
                  <c:v>2.5001730970180329</c:v>
                </c:pt>
                <c:pt idx="1691">
                  <c:v>2.5616588966365339</c:v>
                </c:pt>
                <c:pt idx="1692">
                  <c:v>2.6221975748192712</c:v>
                </c:pt>
                <c:pt idx="1693">
                  <c:v>2.6817710829390142</c:v>
                </c:pt>
                <c:pt idx="1694">
                  <c:v>2.740361719978905</c:v>
                </c:pt>
                <c:pt idx="1695">
                  <c:v>2.7979521376821128</c:v>
                </c:pt>
                <c:pt idx="1696">
                  <c:v>2.8545253455769899</c:v>
                </c:pt>
                <c:pt idx="1697">
                  <c:v>2.9100647158765018</c:v>
                </c:pt>
                <c:pt idx="1698">
                  <c:v>2.9645539882502598</c:v>
                </c:pt>
                <c:pt idx="1699">
                  <c:v>3.0179772744682247</c:v>
                </c:pt>
                <c:pt idx="1700">
                  <c:v>3.0703190629143018</c:v>
                </c:pt>
                <c:pt idx="1701">
                  <c:v>3.1215642229691389</c:v>
                </c:pt>
                <c:pt idx="1702">
                  <c:v>3.171698009260433</c:v>
                </c:pt>
                <c:pt idx="1703">
                  <c:v>3.2207060657800395</c:v>
                </c:pt>
                <c:pt idx="1704">
                  <c:v>3.2685744298663049</c:v>
                </c:pt>
                <c:pt idx="1705">
                  <c:v>3.3152895360510843</c:v>
                </c:pt>
                <c:pt idx="1706">
                  <c:v>3.3608382197699633</c:v>
                </c:pt>
                <c:pt idx="1707">
                  <c:v>3.4052077209351319</c:v>
                </c:pt>
                <c:pt idx="1708">
                  <c:v>3.4483856873695529</c:v>
                </c:pt>
                <c:pt idx="1709">
                  <c:v>3.4903601781020299</c:v>
                </c:pt>
                <c:pt idx="1710">
                  <c:v>3.5311196665219184</c:v>
                </c:pt>
                <c:pt idx="1711">
                  <c:v>3.5706530433930879</c:v>
                </c:pt>
                <c:pt idx="1712">
                  <c:v>3.608949619725994</c:v>
                </c:pt>
                <c:pt idx="1713">
                  <c:v>3.6459991295076217</c:v>
                </c:pt>
                <c:pt idx="1714">
                  <c:v>3.6817917322882616</c:v>
                </c:pt>
                <c:pt idx="1715">
                  <c:v>3.7163180156249012</c:v>
                </c:pt>
                <c:pt idx="1716">
                  <c:v>3.7495689973802917</c:v>
                </c:pt>
                <c:pt idx="1717">
                  <c:v>3.7815361278776227</c:v>
                </c:pt>
                <c:pt idx="1718">
                  <c:v>3.8122112919100175</c:v>
                </c:pt>
                <c:pt idx="1719">
                  <c:v>3.8415868106046727</c:v>
                </c:pt>
                <c:pt idx="1720">
                  <c:v>3.8696554431411783</c:v>
                </c:pt>
                <c:pt idx="1721">
                  <c:v>3.8964103883237771</c:v>
                </c:pt>
                <c:pt idx="1722">
                  <c:v>3.9218452860072786</c:v>
                </c:pt>
                <c:pt idx="1723">
                  <c:v>3.9459542183764849</c:v>
                </c:pt>
                <c:pt idx="1724">
                  <c:v>3.9687317110788989</c:v>
                </c:pt>
                <c:pt idx="1725">
                  <c:v>3.9901727342106565</c:v>
                </c:pt>
                <c:pt idx="1726">
                  <c:v>4.0102727031556187</c:v>
                </c:pt>
                <c:pt idx="1727">
                  <c:v>4.0290274792776248</c:v>
                </c:pt>
                <c:pt idx="1728">
                  <c:v>4.0464333704659152</c:v>
                </c:pt>
                <c:pt idx="1729">
                  <c:v>4.0624871315338416</c:v>
                </c:pt>
                <c:pt idx="1730">
                  <c:v>4.0771859644709716</c:v>
                </c:pt>
                <c:pt idx="1731">
                  <c:v>4.0905275185488188</c:v>
                </c:pt>
                <c:pt idx="1732">
                  <c:v>4.1025098902803521</c:v>
                </c:pt>
                <c:pt idx="1733">
                  <c:v>4.113131623233655</c:v>
                </c:pt>
                <c:pt idx="1734">
                  <c:v>4.1223917076999488</c:v>
                </c:pt>
                <c:pt idx="1735">
                  <c:v>4.1302895802164752</c:v>
                </c:pt>
                <c:pt idx="1736">
                  <c:v>4.1368251229445319</c:v>
                </c:pt>
                <c:pt idx="1737">
                  <c:v>4.141998662903247</c:v>
                </c:pt>
                <c:pt idx="1738">
                  <c:v>4.1458109710594782</c:v>
                </c:pt>
                <c:pt idx="1739">
                  <c:v>4.1482632612745123</c:v>
                </c:pt>
                <c:pt idx="1740">
                  <c:v>4.1493571891080778</c:v>
                </c:pt>
                <c:pt idx="1741">
                  <c:v>4.1490948504803651</c:v>
                </c:pt>
                <c:pt idx="1742">
                  <c:v>4.1474787801927411</c:v>
                </c:pt>
                <c:pt idx="1743">
                  <c:v>4.1445119503078738</c:v>
                </c:pt>
                <c:pt idx="1744">
                  <c:v>4.140197768390089</c:v>
                </c:pt>
                <c:pt idx="1745">
                  <c:v>4.1345400756067416</c:v>
                </c:pt>
                <c:pt idx="1746">
                  <c:v>4.1275431446915034</c:v>
                </c:pt>
                <c:pt idx="1747">
                  <c:v>4.1192116777704779</c:v>
                </c:pt>
                <c:pt idx="1748">
                  <c:v>4.1095508040520849</c:v>
                </c:pt>
                <c:pt idx="1749">
                  <c:v>4.0985660773817107</c:v>
                </c:pt>
                <c:pt idx="1750">
                  <c:v>4.0862634736622141</c:v>
                </c:pt>
                <c:pt idx="1751">
                  <c:v>4.0726493881413015</c:v>
                </c:pt>
                <c:pt idx="1752">
                  <c:v>4.0577306325669511</c:v>
                </c:pt>
                <c:pt idx="1753">
                  <c:v>4.0415144322120335</c:v>
                </c:pt>
                <c:pt idx="1754">
                  <c:v>4.0240084227693149</c:v>
                </c:pt>
                <c:pt idx="1755">
                  <c:v>4.0052206471181631</c:v>
                </c:pt>
                <c:pt idx="1756">
                  <c:v>3.9851595519641183</c:v>
                </c:pt>
                <c:pt idx="1757">
                  <c:v>3.963833984352815</c:v>
                </c:pt>
                <c:pt idx="1758">
                  <c:v>3.9412531880594366</c:v>
                </c:pt>
                <c:pt idx="1759">
                  <c:v>3.9174267998553103</c:v>
                </c:pt>
                <c:pt idx="1760">
                  <c:v>3.8923648456528763</c:v>
                </c:pt>
                <c:pt idx="1761">
                  <c:v>3.86607773653069</c:v>
                </c:pt>
                <c:pt idx="1762">
                  <c:v>3.8385762646398036</c:v>
                </c:pt>
                <c:pt idx="1763">
                  <c:v>3.8098715989932757</c:v>
                </c:pt>
                <c:pt idx="1764">
                  <c:v>3.7799752811401564</c:v>
                </c:pt>
                <c:pt idx="1765">
                  <c:v>3.7488992207258138</c:v>
                </c:pt>
                <c:pt idx="1766">
                  <c:v>3.7166556909400077</c:v>
                </c:pt>
                <c:pt idx="1767">
                  <c:v>3.6832573238546842</c:v>
                </c:pt>
                <c:pt idx="1768">
                  <c:v>3.6487171056528931</c:v>
                </c:pt>
                <c:pt idx="1769">
                  <c:v>3.6130483717508834</c:v>
                </c:pt>
                <c:pt idx="1770">
                  <c:v>3.5762648018148862</c:v>
                </c:pt>
                <c:pt idx="1771">
                  <c:v>3.5383804146747013</c:v>
                </c:pt>
                <c:pt idx="1772">
                  <c:v>3.4994095631356026</c:v>
                </c:pt>
                <c:pt idx="1773">
                  <c:v>3.4593669286907534</c:v>
                </c:pt>
                <c:pt idx="1774">
                  <c:v>3.4182675161357312</c:v>
                </c:pt>
                <c:pt idx="1775">
                  <c:v>3.3761266480874874</c:v>
                </c:pt>
                <c:pt idx="1776">
                  <c:v>3.3329599594091963</c:v>
                </c:pt>
                <c:pt idx="1777">
                  <c:v>3.2887833915434763</c:v>
                </c:pt>
                <c:pt idx="1778">
                  <c:v>3.2436131867556801</c:v>
                </c:pt>
                <c:pt idx="1779">
                  <c:v>3.1974658822894195</c:v>
                </c:pt>
                <c:pt idx="1780">
                  <c:v>3.1503583044363674</c:v>
                </c:pt>
                <c:pt idx="1781">
                  <c:v>3.1023075625224235</c:v>
                </c:pt>
                <c:pt idx="1782">
                  <c:v>3.0533310428123501</c:v>
                </c:pt>
                <c:pt idx="1783">
                  <c:v>3.0034464023351126</c:v>
                </c:pt>
                <c:pt idx="1784">
                  <c:v>2.9526715626318092</c:v>
                </c:pt>
                <c:pt idx="1785">
                  <c:v>2.9010247034287593</c:v>
                </c:pt>
                <c:pt idx="1786">
                  <c:v>2.8485242562376296</c:v>
                </c:pt>
                <c:pt idx="1787">
                  <c:v>2.7951888978849837</c:v>
                </c:pt>
                <c:pt idx="1788">
                  <c:v>2.741037543973408</c:v>
                </c:pt>
                <c:pt idx="1789">
                  <c:v>2.6860893422766496</c:v>
                </c:pt>
                <c:pt idx="1790">
                  <c:v>2.6303636660705649</c:v>
                </c:pt>
                <c:pt idx="1791">
                  <c:v>2.5738801074030375</c:v>
                </c:pt>
                <c:pt idx="1792">
                  <c:v>2.5166584703041122</c:v>
                </c:pt>
                <c:pt idx="1793">
                  <c:v>2.4587187639395536</c:v>
                </c:pt>
                <c:pt idx="1794">
                  <c:v>2.4000811957096699</c:v>
                </c:pt>
                <c:pt idx="1795">
                  <c:v>2.3407661642959394</c:v>
                </c:pt>
                <c:pt idx="1796">
                  <c:v>2.2807942526577176</c:v>
                </c:pt>
                <c:pt idx="1797">
                  <c:v>2.2201862209816046</c:v>
                </c:pt>
                <c:pt idx="1798">
                  <c:v>2.1589629995853143</c:v>
                </c:pt>
                <c:pt idx="1799">
                  <c:v>2.0971456817794203</c:v>
                </c:pt>
                <c:pt idx="1800">
                  <c:v>2.0347555166882008</c:v>
                </c:pt>
                <c:pt idx="1801">
                  <c:v>1.971813902032979</c:v>
                </c:pt>
                <c:pt idx="1802">
                  <c:v>1.9083423768798466</c:v>
                </c:pt>
                <c:pt idx="1803">
                  <c:v>1.8443626143543734</c:v>
                </c:pt>
                <c:pt idx="1804">
                  <c:v>1.7798964143256977</c:v>
                </c:pt>
                <c:pt idx="1805">
                  <c:v>1.7149656960626074</c:v>
                </c:pt>
                <c:pt idx="1806">
                  <c:v>1.649592490863514</c:v>
                </c:pt>
                <c:pt idx="1807">
                  <c:v>1.5837989346637977</c:v>
                </c:pt>
                <c:pt idx="1808">
                  <c:v>1.5176072606217164</c:v>
                </c:pt>
                <c:pt idx="1809">
                  <c:v>1.4510397916863838</c:v>
                </c:pt>
                <c:pt idx="1810">
                  <c:v>1.3841189331497039</c:v>
                </c:pt>
                <c:pt idx="1811">
                  <c:v>1.3168671651849058</c:v>
                </c:pt>
                <c:pt idx="1812">
                  <c:v>1.2493070353740845</c:v>
                </c:pt>
                <c:pt idx="1813">
                  <c:v>1.1814611512273752</c:v>
                </c:pt>
                <c:pt idx="1814">
                  <c:v>1.1133521726957998</c:v>
                </c:pt>
                <c:pt idx="1815">
                  <c:v>1.0450028046807935</c:v>
                </c:pt>
                <c:pt idx="1816">
                  <c:v>0.97643578954244703</c:v>
                </c:pt>
                <c:pt idx="1817">
                  <c:v>0.90767389960908029</c:v>
                </c:pt>
                <c:pt idx="1818">
                  <c:v>0.8387399296905661</c:v>
                </c:pt>
                <c:pt idx="1819">
                  <c:v>0.76965668959782552</c:v>
                </c:pt>
                <c:pt idx="1820">
                  <c:v>0.70044699667091914</c:v>
                </c:pt>
                <c:pt idx="1821">
                  <c:v>0.6311336683183032</c:v>
                </c:pt>
                <c:pt idx="1822">
                  <c:v>0.56173951456926596</c:v>
                </c:pt>
                <c:pt idx="1823">
                  <c:v>0.4922873306424943</c:v>
                </c:pt>
                <c:pt idx="1824">
                  <c:v>0.42279988953275743</c:v>
                </c:pt>
                <c:pt idx="1825">
                  <c:v>0.35329993461825798</c:v>
                </c:pt>
                <c:pt idx="1826">
                  <c:v>0.28381017229097388</c:v>
                </c:pt>
                <c:pt idx="1827">
                  <c:v>0.21435326461254089</c:v>
                </c:pt>
                <c:pt idx="1828">
                  <c:v>0.14495182199743359</c:v>
                </c:pt>
                <c:pt idx="1829">
                  <c:v>7.5628395926894645E-2</c:v>
                </c:pt>
                <c:pt idx="1830">
                  <c:v>6.4054716945763888E-3</c:v>
                </c:pt>
                <c:pt idx="1831">
                  <c:v>-6.2694538812678946E-2</c:v>
                </c:pt>
                <c:pt idx="1832">
                  <c:v>-0.13164930429722727</c:v>
                </c:pt>
                <c:pt idx="1833">
                  <c:v>-0.20043658119370961</c:v>
                </c:pt>
                <c:pt idx="1834">
                  <c:v>-0.26903422077063288</c:v>
                </c:pt>
                <c:pt idx="1835">
                  <c:v>-0.33742017618801157</c:v>
                </c:pt>
                <c:pt idx="1836">
                  <c:v>-0.40557250950944129</c:v>
                </c:pt>
                <c:pt idx="1837">
                  <c:v>-0.47346939866528931</c:v>
                </c:pt>
                <c:pt idx="1838">
                  <c:v>-0.54108914436616906</c:v>
                </c:pt>
                <c:pt idx="1839">
                  <c:v>-0.60841017696342503</c:v>
                </c:pt>
                <c:pt idx="1840">
                  <c:v>-0.67541106325507572</c:v>
                </c:pt>
                <c:pt idx="1841">
                  <c:v>-0.74207051323490825</c:v>
                </c:pt>
                <c:pt idx="1842">
                  <c:v>-0.80836738678267206</c:v>
                </c:pt>
                <c:pt idx="1843">
                  <c:v>-0.87428070029313942</c:v>
                </c:pt>
                <c:pt idx="1844">
                  <c:v>-0.9397896332423753</c:v>
                </c:pt>
                <c:pt idx="1845">
                  <c:v>-1.0048735346886579</c:v>
                </c:pt>
                <c:pt idx="1846">
                  <c:v>-1.0695119297064415</c:v>
                </c:pt>
                <c:pt idx="1847">
                  <c:v>-1.1336845257512282</c:v>
                </c:pt>
                <c:pt idx="1848">
                  <c:v>-1.1973712189534138</c:v>
                </c:pt>
                <c:pt idx="1849">
                  <c:v>-1.2605521003391942</c:v>
                </c:pt>
                <c:pt idx="1850">
                  <c:v>-1.323207461976645</c:v>
                </c:pt>
                <c:pt idx="1851">
                  <c:v>-1.3853178030449667</c:v>
                </c:pt>
                <c:pt idx="1852">
                  <c:v>-1.4468638358254144</c:v>
                </c:pt>
                <c:pt idx="1853">
                  <c:v>-1.507826491611614</c:v>
                </c:pt>
                <c:pt idx="1854">
                  <c:v>-1.568186926537839</c:v>
                </c:pt>
                <c:pt idx="1855">
                  <c:v>-1.6279265273233605</c:v>
                </c:pt>
                <c:pt idx="1856">
                  <c:v>-1.6870269169311816</c:v>
                </c:pt>
                <c:pt idx="1857">
                  <c:v>-1.7454699601393109</c:v>
                </c:pt>
                <c:pt idx="1858">
                  <c:v>-1.8032377690234207</c:v>
                </c:pt>
                <c:pt idx="1859">
                  <c:v>-1.8603127083483084</c:v>
                </c:pt>
                <c:pt idx="1860">
                  <c:v>-1.9166774008677323</c:v>
                </c:pt>
                <c:pt idx="1861">
                  <c:v>-1.9723147325300929</c:v>
                </c:pt>
                <c:pt idx="1862">
                  <c:v>-2.0272078575889605</c:v>
                </c:pt>
                <c:pt idx="1863">
                  <c:v>-2.0813402036167732</c:v>
                </c:pt>
                <c:pt idx="1864">
                  <c:v>-2.134695476420295</c:v>
                </c:pt>
                <c:pt idx="1865">
                  <c:v>-2.1872576648562627</c:v>
                </c:pt>
                <c:pt idx="1866">
                  <c:v>-2.2390110455462873</c:v>
                </c:pt>
                <c:pt idx="1867">
                  <c:v>-2.289940187488793</c:v>
                </c:pt>
                <c:pt idx="1868">
                  <c:v>-2.3400299565677276</c:v>
                </c:pt>
                <c:pt idx="1869">
                  <c:v>-2.3892655199558943</c:v>
                </c:pt>
                <c:pt idx="1870">
                  <c:v>-2.4376323504121173</c:v>
                </c:pt>
                <c:pt idx="1871">
                  <c:v>-2.4851162304709007</c:v>
                </c:pt>
                <c:pt idx="1872">
                  <c:v>-2.5317032565234139</c:v>
                </c:pt>
                <c:pt idx="1873">
                  <c:v>-2.5773798427885772</c:v>
                </c:pt>
                <c:pt idx="1874">
                  <c:v>-2.6221327251735267</c:v>
                </c:pt>
                <c:pt idx="1875">
                  <c:v>-2.6659489650216548</c:v>
                </c:pt>
                <c:pt idx="1876">
                  <c:v>-2.7088159527481253</c:v>
                </c:pt>
                <c:pt idx="1877">
                  <c:v>-2.7507214113611247</c:v>
                </c:pt>
                <c:pt idx="1878">
                  <c:v>-2.791653399868312</c:v>
                </c:pt>
                <c:pt idx="1879">
                  <c:v>-2.8316003165674291</c:v>
                </c:pt>
                <c:pt idx="1880">
                  <c:v>-2.8705509022202405</c:v>
                </c:pt>
                <c:pt idx="1881">
                  <c:v>-2.9084942431089642</c:v>
                </c:pt>
                <c:pt idx="1882">
                  <c:v>-2.9454197739743364</c:v>
                </c:pt>
                <c:pt idx="1883">
                  <c:v>-2.9813172808348707</c:v>
                </c:pt>
                <c:pt idx="1884">
                  <c:v>-3.0161769036860013</c:v>
                </c:pt>
                <c:pt idx="1885">
                  <c:v>-3.0499891390791847</c:v>
                </c:pt>
                <c:pt idx="1886">
                  <c:v>-3.0827448425797512</c:v>
                </c:pt>
                <c:pt idx="1887">
                  <c:v>-3.1144352311032057</c:v>
                </c:pt>
                <c:pt idx="1888">
                  <c:v>-3.1450518851293747</c:v>
                </c:pt>
                <c:pt idx="1889">
                  <c:v>-3.174586750793889</c:v>
                </c:pt>
                <c:pt idx="1890">
                  <c:v>-3.2030321418564855</c:v>
                </c:pt>
                <c:pt idx="1891">
                  <c:v>-3.2303807415459587</c:v>
                </c:pt>
                <c:pt idx="1892">
                  <c:v>-3.2566256042808752</c:v>
                </c:pt>
                <c:pt idx="1893">
                  <c:v>-3.2817601572663486</c:v>
                </c:pt>
                <c:pt idx="1894">
                  <c:v>-3.30577820196606</c:v>
                </c:pt>
                <c:pt idx="1895">
                  <c:v>-3.3286739154495311</c:v>
                </c:pt>
                <c:pt idx="1896">
                  <c:v>-3.3504418516143826</c:v>
                </c:pt>
                <c:pt idx="1897">
                  <c:v>-3.3710769422833704</c:v>
                </c:pt>
                <c:pt idx="1898">
                  <c:v>-3.3905744981760773</c:v>
                </c:pt>
                <c:pt idx="1899">
                  <c:v>-3.4089302097552592</c:v>
                </c:pt>
                <c:pt idx="1900">
                  <c:v>-3.426140147947625</c:v>
                </c:pt>
                <c:pt idx="1901">
                  <c:v>-3.4422007647391912</c:v>
                </c:pt>
                <c:pt idx="1902">
                  <c:v>-3.4571088936451848</c:v>
                </c:pt>
                <c:pt idx="1903">
                  <c:v>-3.4708617500545476</c:v>
                </c:pt>
                <c:pt idx="1904">
                  <c:v>-3.4834569314492163</c:v>
                </c:pt>
                <c:pt idx="1905">
                  <c:v>-3.4948924174982681</c:v>
                </c:pt>
                <c:pt idx="1906">
                  <c:v>-3.5051665700271513</c:v>
                </c:pt>
                <c:pt idx="1907">
                  <c:v>-3.5142781328622896</c:v>
                </c:pt>
                <c:pt idx="1908">
                  <c:v>-3.5222262315512229</c:v>
                </c:pt>
                <c:pt idx="1909">
                  <c:v>-3.5290103729587043</c:v>
                </c:pt>
                <c:pt idx="1910">
                  <c:v>-3.5346304447390708</c:v>
                </c:pt>
                <c:pt idx="1911">
                  <c:v>-3.5390867146852529</c:v>
                </c:pt>
                <c:pt idx="1912">
                  <c:v>-3.5423798299549194</c:v>
                </c:pt>
                <c:pt idx="1913">
                  <c:v>-3.5445108161741974</c:v>
                </c:pt>
                <c:pt idx="1914">
                  <c:v>-3.5454810764194549</c:v>
                </c:pt>
                <c:pt idx="1915">
                  <c:v>-3.5452923900777646</c:v>
                </c:pt>
                <c:pt idx="1916">
                  <c:v>-3.5439469115865783</c:v>
                </c:pt>
                <c:pt idx="1917">
                  <c:v>-3.5414471690532774</c:v>
                </c:pt>
                <c:pt idx="1918">
                  <c:v>-3.5377960627552554</c:v>
                </c:pt>
                <c:pt idx="1919">
                  <c:v>-3.5329968635212268</c:v>
                </c:pt>
                <c:pt idx="1920">
                  <c:v>-3.5270532109945365</c:v>
                </c:pt>
                <c:pt idx="1921">
                  <c:v>-3.5199691117792038</c:v>
                </c:pt>
                <c:pt idx="1922">
                  <c:v>-3.5117489374695774</c:v>
                </c:pt>
                <c:pt idx="1923">
                  <c:v>-3.502397422564381</c:v>
                </c:pt>
                <c:pt idx="1924">
                  <c:v>-3.4919196622661106</c:v>
                </c:pt>
                <c:pt idx="1925">
                  <c:v>-3.4803211101666642</c:v>
                </c:pt>
                <c:pt idx="1926">
                  <c:v>-3.4676075758201783</c:v>
                </c:pt>
                <c:pt idx="1927">
                  <c:v>-3.4537852222040599</c:v>
                </c:pt>
                <c:pt idx="1928">
                  <c:v>-3.4388605630692868</c:v>
                </c:pt>
                <c:pt idx="1929">
                  <c:v>-3.4228404601809221</c:v>
                </c:pt>
                <c:pt idx="1930">
                  <c:v>-3.4057321204501489</c:v>
                </c:pt>
                <c:pt idx="1931">
                  <c:v>-3.3875430929587087</c:v>
                </c:pt>
                <c:pt idx="1932">
                  <c:v>-3.3682812658771142</c:v>
                </c:pt>
                <c:pt idx="1933">
                  <c:v>-3.3479548632777232</c:v>
                </c:pt>
                <c:pt idx="1934">
                  <c:v>-3.3265724418439442</c:v>
                </c:pt>
                <c:pt idx="1935">
                  <c:v>-3.3041428874768033</c:v>
                </c:pt>
                <c:pt idx="1936">
                  <c:v>-3.2806754118002406</c:v>
                </c:pt>
                <c:pt idx="1937">
                  <c:v>-3.2561795485663256</c:v>
                </c:pt>
                <c:pt idx="1938">
                  <c:v>-3.2306651499618941</c:v>
                </c:pt>
                <c:pt idx="1939">
                  <c:v>-3.2041423828178939</c:v>
                </c:pt>
                <c:pt idx="1940">
                  <c:v>-3.1766217247228843</c:v>
                </c:pt>
                <c:pt idx="1941">
                  <c:v>-3.1481139600421284</c:v>
                </c:pt>
                <c:pt idx="1942">
                  <c:v>-3.1186301758437431</c:v>
                </c:pt>
                <c:pt idx="1943">
                  <c:v>-3.0881817577333996</c:v>
                </c:pt>
                <c:pt idx="1944">
                  <c:v>-3.0567803855991622</c:v>
                </c:pt>
                <c:pt idx="1945">
                  <c:v>-3.0244380292678521</c:v>
                </c:pt>
                <c:pt idx="1946">
                  <c:v>-2.9911669440747342</c:v>
                </c:pt>
                <c:pt idx="1947">
                  <c:v>-2.9569796663479564</c:v>
                </c:pt>
                <c:pt idx="1948">
                  <c:v>-2.9218890088094502</c:v>
                </c:pt>
                <c:pt idx="1949">
                  <c:v>-2.8859080558939132</c:v>
                </c:pt>
                <c:pt idx="1950">
                  <c:v>-2.8490501589876289</c:v>
                </c:pt>
                <c:pt idx="1951">
                  <c:v>-2.8113289315885566</c:v>
                </c:pt>
                <c:pt idx="1952">
                  <c:v>-2.7727582443899408</c:v>
                </c:pt>
                <c:pt idx="1953">
                  <c:v>-2.733352220288511</c:v>
                </c:pt>
                <c:pt idx="1954">
                  <c:v>-2.6931252293196102</c:v>
                </c:pt>
                <c:pt idx="1955">
                  <c:v>-2.6520918835207103</c:v>
                </c:pt>
                <c:pt idx="1956">
                  <c:v>-2.6102670317252441</c:v>
                </c:pt>
                <c:pt idx="1957">
                  <c:v>-2.5676657542885284</c:v>
                </c:pt>
                <c:pt idx="1958">
                  <c:v>-2.5243033577477414</c:v>
                </c:pt>
                <c:pt idx="1959">
                  <c:v>-2.4801953694174692</c:v>
                </c:pt>
                <c:pt idx="1960">
                  <c:v>-2.4353575319233505</c:v>
                </c:pt>
                <c:pt idx="1961">
                  <c:v>-2.3898057976749163</c:v>
                </c:pt>
                <c:pt idx="1962">
                  <c:v>-2.3435563232802004</c:v>
                </c:pt>
                <c:pt idx="1963">
                  <c:v>-2.2966254639036885</c:v>
                </c:pt>
                <c:pt idx="1964">
                  <c:v>-2.2490297675696711</c:v>
                </c:pt>
                <c:pt idx="1965">
                  <c:v>-2.200785969412911</c:v>
                </c:pt>
                <c:pt idx="1966">
                  <c:v>-2.1519109858787226</c:v>
                </c:pt>
                <c:pt idx="1967">
                  <c:v>-2.1024219088741569</c:v>
                </c:pt>
                <c:pt idx="1968">
                  <c:v>-2.0523359998726707</c:v>
                </c:pt>
                <c:pt idx="1969">
                  <c:v>-2.0016706839739995</c:v>
                </c:pt>
                <c:pt idx="1970">
                  <c:v>-1.950443543921377</c:v>
                </c:pt>
                <c:pt idx="1971">
                  <c:v>-1.8986723140780963</c:v>
                </c:pt>
                <c:pt idx="1972">
                  <c:v>-1.8463748743654738</c:v>
                </c:pt>
                <c:pt idx="1973">
                  <c:v>-1.7935692441642206</c:v>
                </c:pt>
                <c:pt idx="1974">
                  <c:v>-1.740273576181419</c:v>
                </c:pt>
                <c:pt idx="1975">
                  <c:v>-1.6865061502848495</c:v>
                </c:pt>
                <c:pt idx="1976">
                  <c:v>-1.6322853673071573</c:v>
                </c:pt>
                <c:pt idx="1977">
                  <c:v>-1.5776297428216175</c:v>
                </c:pt>
                <c:pt idx="1978">
                  <c:v>-1.5225579008917174</c:v>
                </c:pt>
                <c:pt idx="1979">
                  <c:v>-1.4670885677965904</c:v>
                </c:pt>
                <c:pt idx="1980">
                  <c:v>-1.4112405657345513</c:v>
                </c:pt>
                <c:pt idx="1981">
                  <c:v>-1.3550328065063488</c:v>
                </c:pt>
                <c:pt idx="1982">
                  <c:v>-1.2984842851811185</c:v>
                </c:pt>
                <c:pt idx="1983">
                  <c:v>-1.2416140737460564</c:v>
                </c:pt>
                <c:pt idx="1984">
                  <c:v>-1.1844413147428052</c:v>
                </c:pt>
                <c:pt idx="1985">
                  <c:v>-1.1269852148921684</c:v>
                </c:pt>
                <c:pt idx="1986">
                  <c:v>-1.0692650387094156</c:v>
                </c:pt>
                <c:pt idx="1987">
                  <c:v>-1.0113001021122283</c:v>
                </c:pt>
                <c:pt idx="1988">
                  <c:v>-0.9531097660235528</c:v>
                </c:pt>
                <c:pt idx="1989">
                  <c:v>-0.89471342997094727</c:v>
                </c:pt>
                <c:pt idx="1990">
                  <c:v>-0.83613052568545698</c:v>
                </c:pt>
                <c:pt idx="1991">
                  <c:v>-0.77738051070097292</c:v>
                </c:pt>
                <c:pt idx="1992">
                  <c:v>-0.7184828619570871</c:v>
                </c:pt>
                <c:pt idx="1993">
                  <c:v>-0.65945706940703053</c:v>
                </c:pt>
                <c:pt idx="1994">
                  <c:v>-0.60032262963293148</c:v>
                </c:pt>
                <c:pt idx="1995">
                  <c:v>-0.54109903947041438</c:v>
                </c:pt>
                <c:pt idx="1996">
                  <c:v>-0.48180578964476894</c:v>
                </c:pt>
                <c:pt idx="1997">
                  <c:v>-0.422462358420235</c:v>
                </c:pt>
                <c:pt idx="1998">
                  <c:v>-0.36308820526540075</c:v>
                </c:pt>
                <c:pt idx="1999">
                  <c:v>-0.30370276453559775</c:v>
                </c:pt>
                <c:pt idx="2000">
                  <c:v>-0.24432543917526939</c:v>
                </c:pt>
                <c:pt idx="2001">
                  <c:v>-0.18497559444182607</c:v>
                </c:pt>
                <c:pt idx="2002">
                  <c:v>-0.12567255165315749</c:v>
                </c:pt>
                <c:pt idx="2003">
                  <c:v>-6.6435581960754095E-2</c:v>
                </c:pt>
                <c:pt idx="2004">
                  <c:v>-7.283900150562044E-3</c:v>
                </c:pt>
                <c:pt idx="2005">
                  <c:v>5.1763341526778424E-2</c:v>
                </c:pt>
                <c:pt idx="2006">
                  <c:v>0.11068705949402716</c:v>
                </c:pt>
                <c:pt idx="2007">
                  <c:v>0.16946824495184593</c:v>
                </c:pt>
                <c:pt idx="2008">
                  <c:v>0.22808796994796526</c:v>
                </c:pt>
                <c:pt idx="2009">
                  <c:v>0.28652739340911698</c:v>
                </c:pt>
                <c:pt idx="2010">
                  <c:v>0.3447677671335117</c:v>
                </c:pt>
                <c:pt idx="2011">
                  <c:v>0.40279044174232181</c:v>
                </c:pt>
                <c:pt idx="2012">
                  <c:v>0.46057687258802293</c:v>
                </c:pt>
                <c:pt idx="2013">
                  <c:v>0.51810862561809223</c:v>
                </c:pt>
                <c:pt idx="2014">
                  <c:v>0.57536738319190373</c:v>
                </c:pt>
                <c:pt idx="2015">
                  <c:v>0.63233494984903471</c:v>
                </c:pt>
                <c:pt idx="2016">
                  <c:v>0.6889932580273711</c:v>
                </c:pt>
                <c:pt idx="2017">
                  <c:v>0.74532437372924953</c:v>
                </c:pt>
                <c:pt idx="2018">
                  <c:v>0.80131050213357768</c:v>
                </c:pt>
                <c:pt idx="2019">
                  <c:v>0.85693399315252516</c:v>
                </c:pt>
                <c:pt idx="2020">
                  <c:v>0.91217734693080921</c:v>
                </c:pt>
                <c:pt idx="2021">
                  <c:v>0.9670232192862156</c:v>
                </c:pt>
                <c:pt idx="2022">
                  <c:v>1.0214544270893735</c:v>
                </c:pt>
                <c:pt idx="2023">
                  <c:v>1.0754539535811618</c:v>
                </c:pt>
                <c:pt idx="2024">
                  <c:v>1.1290049536263065</c:v>
                </c:pt>
                <c:pt idx="2025">
                  <c:v>1.1820907589015726</c:v>
                </c:pt>
                <c:pt idx="2026">
                  <c:v>1.2346948830166931</c:v>
                </c:pt>
                <c:pt idx="2027">
                  <c:v>1.2868010265667942</c:v>
                </c:pt>
                <c:pt idx="2028">
                  <c:v>1.3383930821145433</c:v>
                </c:pt>
                <c:pt idx="2029">
                  <c:v>1.3894551391008514</c:v>
                </c:pt>
                <c:pt idx="2030">
                  <c:v>1.4399714886822226</c:v>
                </c:pt>
                <c:pt idx="2031">
                  <c:v>1.4899266284937538</c:v>
                </c:pt>
                <c:pt idx="2032">
                  <c:v>1.5393052673358261</c:v>
                </c:pt>
                <c:pt idx="2033">
                  <c:v>1.5880923297837983</c:v>
                </c:pt>
                <c:pt idx="2034">
                  <c:v>1.6362729607186672</c:v>
                </c:pt>
                <c:pt idx="2035">
                  <c:v>1.6838325297777696</c:v>
                </c:pt>
                <c:pt idx="2036">
                  <c:v>1.7307566357239768</c:v>
                </c:pt>
                <c:pt idx="2037">
                  <c:v>1.7770311107324082</c:v>
                </c:pt>
                <c:pt idx="2038">
                  <c:v>1.8226420245930113</c:v>
                </c:pt>
                <c:pt idx="2039">
                  <c:v>1.8675756888282031</c:v>
                </c:pt>
                <c:pt idx="2040">
                  <c:v>1.9118186607238881</c:v>
                </c:pt>
                <c:pt idx="2041">
                  <c:v>1.9553577472733386</c:v>
                </c:pt>
                <c:pt idx="2042">
                  <c:v>1.9981800090321942</c:v>
                </c:pt>
                <c:pt idx="2043">
                  <c:v>2.0402727638838503</c:v>
                </c:pt>
                <c:pt idx="2044">
                  <c:v>2.0816235907139702</c:v>
                </c:pt>
                <c:pt idx="2045">
                  <c:v>2.1222203329933329</c:v>
                </c:pt>
                <c:pt idx="2046">
                  <c:v>2.1620511022676929</c:v>
                </c:pt>
                <c:pt idx="2047">
                  <c:v>2.2011042815539179</c:v>
                </c:pt>
                <c:pt idx="2048">
                  <c:v>2.2393685286413829</c:v>
                </c:pt>
                <c:pt idx="2049">
                  <c:v>2.2768327792977132</c:v>
                </c:pt>
                <c:pt idx="2050">
                  <c:v>2.3134862503780114</c:v>
                </c:pt>
                <c:pt idx="2051">
                  <c:v>2.3493184428367413</c:v>
                </c:pt>
                <c:pt idx="2052">
                  <c:v>2.3843191446413812</c:v>
                </c:pt>
                <c:pt idx="2053">
                  <c:v>2.4184784335872704</c:v>
                </c:pt>
                <c:pt idx="2054">
                  <c:v>2.4517866800126464</c:v>
                </c:pt>
                <c:pt idx="2055">
                  <c:v>2.4842345494133702</c:v>
                </c:pt>
                <c:pt idx="2056">
                  <c:v>2.5158130049565077</c:v>
                </c:pt>
                <c:pt idx="2057">
                  <c:v>2.5465133098924193</c:v>
                </c:pt>
                <c:pt idx="2058">
                  <c:v>2.5763270298642733</c:v>
                </c:pt>
                <c:pt idx="2059">
                  <c:v>2.6052460351149112</c:v>
                </c:pt>
                <c:pt idx="2060">
                  <c:v>2.633262502590179</c:v>
                </c:pt>
                <c:pt idx="2061">
                  <c:v>2.6603689179384653</c:v>
                </c:pt>
                <c:pt idx="2062">
                  <c:v>2.6865580774057842</c:v>
                </c:pt>
                <c:pt idx="2063">
                  <c:v>2.711823089626102</c:v>
                </c:pt>
                <c:pt idx="2064">
                  <c:v>2.7361573773064225</c:v>
                </c:pt>
                <c:pt idx="2065">
                  <c:v>2.75955467880646</c:v>
                </c:pt>
                <c:pt idx="2066">
                  <c:v>2.7820090496122285</c:v>
                </c:pt>
                <c:pt idx="2067">
                  <c:v>2.8035148637036418</c:v>
                </c:pt>
                <c:pt idx="2068">
                  <c:v>2.8240668148155716</c:v>
                </c:pt>
                <c:pt idx="2069">
                  <c:v>2.8436599175923667</c:v>
                </c:pt>
                <c:pt idx="2070">
                  <c:v>2.8622895086354689</c:v>
                </c:pt>
                <c:pt idx="2071">
                  <c:v>2.8799512474440858</c:v>
                </c:pt>
                <c:pt idx="2072">
                  <c:v>2.8966411172487558</c:v>
                </c:pt>
                <c:pt idx="2073">
                  <c:v>2.9123554257377897</c:v>
                </c:pt>
                <c:pt idx="2074">
                  <c:v>2.9270908056764839</c:v>
                </c:pt>
                <c:pt idx="2075">
                  <c:v>2.940844215419061</c:v>
                </c:pt>
                <c:pt idx="2076">
                  <c:v>2.9536129393134885</c:v>
                </c:pt>
                <c:pt idx="2077">
                  <c:v>2.965394587999155</c:v>
                </c:pt>
                <c:pt idx="2078">
                  <c:v>2.9761870985974812</c:v>
                </c:pt>
                <c:pt idx="2079">
                  <c:v>2.9859887347956526</c:v>
                </c:pt>
                <c:pt idx="2080">
                  <c:v>2.9947980868235922</c:v>
                </c:pt>
                <c:pt idx="2081">
                  <c:v>3.0026140713244343</c:v>
                </c:pt>
                <c:pt idx="2082">
                  <c:v>3.0094359311186674</c:v>
                </c:pt>
                <c:pt idx="2083">
                  <c:v>3.015263234862227</c:v>
                </c:pt>
                <c:pt idx="2084">
                  <c:v>3.0200958765988979</c:v>
                </c:pt>
                <c:pt idx="2085">
                  <c:v>3.0239340752072996</c:v>
                </c:pt>
                <c:pt idx="2086">
                  <c:v>3.0267783737428591</c:v>
                </c:pt>
                <c:pt idx="2087">
                  <c:v>3.0286296386751421</c:v>
                </c:pt>
                <c:pt idx="2088">
                  <c:v>3.029489059021039</c:v>
                </c:pt>
                <c:pt idx="2089">
                  <c:v>3.0293581453742138</c:v>
                </c:pt>
                <c:pt idx="2090">
                  <c:v>3.0282387288313588</c:v>
                </c:pt>
                <c:pt idx="2091">
                  <c:v>3.026132959815778</c:v>
                </c:pt>
                <c:pt idx="2092">
                  <c:v>3.0230433067988796</c:v>
                </c:pt>
                <c:pt idx="2093">
                  <c:v>3.0189725549201474</c:v>
                </c:pt>
                <c:pt idx="2094">
                  <c:v>3.0139238045062791</c:v>
                </c:pt>
                <c:pt idx="2095">
                  <c:v>3.0079004694901057</c:v>
                </c:pt>
                <c:pt idx="2096">
                  <c:v>3.0009062757300193</c:v>
                </c:pt>
                <c:pt idx="2097">
                  <c:v>2.9929452592306163</c:v>
                </c:pt>
                <c:pt idx="2098">
                  <c:v>2.9840217642653388</c:v>
                </c:pt>
                <c:pt idx="2099">
                  <c:v>2.9741404414018748</c:v>
                </c:pt>
                <c:pt idx="2100">
                  <c:v>2.9633062454312005</c:v>
                </c:pt>
                <c:pt idx="2101">
                  <c:v>2.9515244332009876</c:v>
                </c:pt>
                <c:pt idx="2102">
                  <c:v>2.9388005613544128</c:v>
                </c:pt>
                <c:pt idx="2103">
                  <c:v>2.9251404839751562</c:v>
                </c:pt>
                <c:pt idx="2104">
                  <c:v>2.9105503501396059</c:v>
                </c:pt>
                <c:pt idx="2105">
                  <c:v>2.8950366013771602</c:v>
                </c:pt>
                <c:pt idx="2106">
                  <c:v>2.8786059690396981</c:v>
                </c:pt>
                <c:pt idx="2107">
                  <c:v>2.8612654715811709</c:v>
                </c:pt>
                <c:pt idx="2108">
                  <c:v>2.8430224117484815</c:v>
                </c:pt>
                <c:pt idx="2109">
                  <c:v>2.8238843736845198</c:v>
                </c:pt>
                <c:pt idx="2110">
                  <c:v>2.803859219944695</c:v>
                </c:pt>
                <c:pt idx="2111">
                  <c:v>2.7829550884279315</c:v>
                </c:pt>
                <c:pt idx="2112">
                  <c:v>2.7611803892233762</c:v>
                </c:pt>
                <c:pt idx="2113">
                  <c:v>2.738543801373901</c:v>
                </c:pt>
                <c:pt idx="2114">
                  <c:v>2.7150542695577289</c:v>
                </c:pt>
                <c:pt idx="2115">
                  <c:v>2.6907210006893183</c:v>
                </c:pt>
                <c:pt idx="2116">
                  <c:v>2.6655534604408162</c:v>
                </c:pt>
                <c:pt idx="2117">
                  <c:v>2.6395613696853126</c:v>
                </c:pt>
                <c:pt idx="2118">
                  <c:v>2.6127547008632472</c:v>
                </c:pt>
                <c:pt idx="2119">
                  <c:v>2.5851436742732488</c:v>
                </c:pt>
                <c:pt idx="2120">
                  <c:v>2.5567387542888285</c:v>
                </c:pt>
                <c:pt idx="2121">
                  <c:v>2.5275506455021408</c:v>
                </c:pt>
                <c:pt idx="2122">
                  <c:v>2.4975902887964012</c:v>
                </c:pt>
                <c:pt idx="2123">
                  <c:v>2.4668688573482185</c:v>
                </c:pt>
                <c:pt idx="2124">
                  <c:v>2.4353977525614154</c:v>
                </c:pt>
                <c:pt idx="2125">
                  <c:v>2.4031885999335012</c:v>
                </c:pt>
                <c:pt idx="2126">
                  <c:v>2.3702532448567326</c:v>
                </c:pt>
                <c:pt idx="2127">
                  <c:v>2.3366037483547895</c:v>
                </c:pt>
                <c:pt idx="2128">
                  <c:v>2.302252382756838</c:v>
                </c:pt>
                <c:pt idx="2129">
                  <c:v>2.2672116273104921</c:v>
                </c:pt>
                <c:pt idx="2130">
                  <c:v>2.2314941637350199</c:v>
                </c:pt>
                <c:pt idx="2131">
                  <c:v>2.195112871716657</c:v>
                </c:pt>
                <c:pt idx="2132">
                  <c:v>2.1580808243472829</c:v>
                </c:pt>
                <c:pt idx="2133">
                  <c:v>2.1204112835084312</c:v>
                </c:pt>
                <c:pt idx="2134">
                  <c:v>2.0821176952017417</c:v>
                </c:pt>
                <c:pt idx="2135">
                  <c:v>2.043213684827959</c:v>
                </c:pt>
                <c:pt idx="2136">
                  <c:v>2.0037130524158004</c:v>
                </c:pt>
                <c:pt idx="2137">
                  <c:v>1.9636297678025432</c:v>
                </c:pt>
                <c:pt idx="2138">
                  <c:v>1.9229779657677279</c:v>
                </c:pt>
                <c:pt idx="2139">
                  <c:v>1.881771941121974</c:v>
                </c:pt>
                <c:pt idx="2140">
                  <c:v>1.8400261437523364</c:v>
                </c:pt>
                <c:pt idx="2141">
                  <c:v>1.7977551736261137</c:v>
                </c:pt>
                <c:pt idx="2142">
                  <c:v>1.7549737757544412</c:v>
                </c:pt>
                <c:pt idx="2143">
                  <c:v>1.7116968351179709</c:v>
                </c:pt>
                <c:pt idx="2144">
                  <c:v>1.6679393715557658</c:v>
                </c:pt>
                <c:pt idx="2145">
                  <c:v>1.6237165346195943</c:v>
                </c:pt>
                <c:pt idx="2146">
                  <c:v>1.5790435983949924</c:v>
                </c:pt>
                <c:pt idx="2147">
                  <c:v>1.5339359562911994</c:v>
                </c:pt>
                <c:pt idx="2148">
                  <c:v>1.4884091158014592</c:v>
                </c:pt>
                <c:pt idx="2149">
                  <c:v>1.4424786932356664</c:v>
                </c:pt>
                <c:pt idx="2150">
                  <c:v>1.3961604084267472</c:v>
                </c:pt>
                <c:pt idx="2151">
                  <c:v>1.3494700794131602</c:v>
                </c:pt>
                <c:pt idx="2152">
                  <c:v>1.3024236170986669</c:v>
                </c:pt>
                <c:pt idx="2153">
                  <c:v>1.2550370198916316</c:v>
                </c:pt>
                <c:pt idx="2154">
                  <c:v>1.2073263683252433</c:v>
                </c:pt>
                <c:pt idx="2155">
                  <c:v>1.1593078196608255</c:v>
                </c:pt>
                <c:pt idx="2156">
                  <c:v>1.1109976024757444</c:v>
                </c:pt>
                <c:pt idx="2157">
                  <c:v>1.0624120112379434</c:v>
                </c:pt>
                <c:pt idx="2158">
                  <c:v>1.0135674008684845</c:v>
                </c:pt>
                <c:pt idx="2159">
                  <c:v>0.96448018129455604</c:v>
                </c:pt>
                <c:pt idx="2160">
                  <c:v>0.91516681199406125</c:v>
                </c:pt>
                <c:pt idx="2161">
                  <c:v>0.86564379653409673</c:v>
                </c:pt>
                <c:pt idx="2162">
                  <c:v>0.81592767710469072</c:v>
                </c:pt>
                <c:pt idx="2163">
                  <c:v>0.76603502904999732</c:v>
                </c:pt>
                <c:pt idx="2164">
                  <c:v>0.71598245539843153</c:v>
                </c:pt>
                <c:pt idx="2165">
                  <c:v>0.66578658139376523</c:v>
                </c:pt>
                <c:pt idx="2166">
                  <c:v>0.6154640490286668</c:v>
                </c:pt>
                <c:pt idx="2167">
                  <c:v>0.56503151158274811</c:v>
                </c:pt>
                <c:pt idx="2168">
                  <c:v>0.51450562816686651</c:v>
                </c:pt>
                <c:pt idx="2169">
                  <c:v>0.46390305827530015</c:v>
                </c:pt>
                <c:pt idx="2170">
                  <c:v>0.41324045634753509</c:v>
                </c:pt>
                <c:pt idx="2171">
                  <c:v>0.36253446634169934</c:v>
                </c:pt>
                <c:pt idx="2172">
                  <c:v>0.31180171632110182</c:v>
                </c:pt>
                <c:pt idx="2173">
                  <c:v>0.26105881305585193</c:v>
                </c:pt>
                <c:pt idx="2174">
                  <c:v>0.21032233664099831</c:v>
                </c:pt>
                <c:pt idx="2175">
                  <c:v>0.15960883513319352</c:v>
                </c:pt>
                <c:pt idx="2176">
                  <c:v>0.10893481920757857</c:v>
                </c:pt>
                <c:pt idx="2177">
                  <c:v>5.8316756836439346E-2</c:v>
                </c:pt>
                <c:pt idx="2178">
                  <c:v>7.7710679913091862E-3</c:v>
                </c:pt>
                <c:pt idx="2179">
                  <c:v>-4.2685880629515331E-2</c:v>
                </c:pt>
                <c:pt idx="2180">
                  <c:v>-9.3037780846668597E-2</c:v>
                </c:pt>
                <c:pt idx="2181">
                  <c:v>-0.14326838821671981</c:v>
                </c:pt>
                <c:pt idx="2182">
                  <c:v>-0.19336152721914956</c:v>
                </c:pt>
                <c:pt idx="2183">
                  <c:v>-0.24330109641124875</c:v>
                </c:pt>
                <c:pt idx="2184">
                  <c:v>-0.29307107354974576</c:v>
                </c:pt>
                <c:pt idx="2185">
                  <c:v>-0.34265552067702187</c:v>
                </c:pt>
                <c:pt idx="2186">
                  <c:v>-0.39203858917102469</c:v>
                </c:pt>
                <c:pt idx="2187">
                  <c:v>-0.44120452475660998</c:v>
                </c:pt>
                <c:pt idx="2188">
                  <c:v>-0.49013767247717682</c:v>
                </c:pt>
                <c:pt idx="2189">
                  <c:v>-0.53882248162479518</c:v>
                </c:pt>
                <c:pt idx="2190">
                  <c:v>-0.58724351062759395</c:v>
                </c:pt>
                <c:pt idx="2191">
                  <c:v>-0.63538543189249452</c:v>
                </c:pt>
                <c:pt idx="2192">
                  <c:v>-0.68323303660220802</c:v>
                </c:pt>
                <c:pt idx="2193">
                  <c:v>-0.73077123946449551</c:v>
                </c:pt>
                <c:pt idx="2194">
                  <c:v>-0.77798508341292238</c:v>
                </c:pt>
                <c:pt idx="2195">
                  <c:v>-0.82485974425697794</c:v>
                </c:pt>
                <c:pt idx="2196">
                  <c:v>-0.87138053528057113</c:v>
                </c:pt>
                <c:pt idx="2197">
                  <c:v>-0.91753291178723573</c:v>
                </c:pt>
                <c:pt idx="2198">
                  <c:v>-0.96330247559095883</c:v>
                </c:pt>
                <c:pt idx="2199">
                  <c:v>-1.0086749794508811</c:v>
                </c:pt>
                <c:pt idx="2200">
                  <c:v>-1.0536363314489214</c:v>
                </c:pt>
                <c:pt idx="2201">
                  <c:v>-1.0981725993085105</c:v>
                </c:pt>
                <c:pt idx="2202">
                  <c:v>-1.1422700146537859</c:v>
                </c:pt>
                <c:pt idx="2203">
                  <c:v>-1.185914977207325</c:v>
                </c:pt>
                <c:pt idx="2204">
                  <c:v>-1.2290940589255615</c:v>
                </c:pt>
                <c:pt idx="2205">
                  <c:v>-1.2717940080704171</c:v>
                </c:pt>
                <c:pt idx="2206">
                  <c:v>-1.3140017532162025</c:v>
                </c:pt>
                <c:pt idx="2207">
                  <c:v>-1.3557044071902655</c:v>
                </c:pt>
                <c:pt idx="2208">
                  <c:v>-1.3968892709464866</c:v>
                </c:pt>
                <c:pt idx="2209">
                  <c:v>-1.4375438373702574</c:v>
                </c:pt>
                <c:pt idx="2210">
                  <c:v>-1.4776557950141995</c:v>
                </c:pt>
                <c:pt idx="2211">
                  <c:v>-1.5172130317629355</c:v>
                </c:pt>
                <c:pt idx="2212">
                  <c:v>-1.5562036384264522</c:v>
                </c:pt>
                <c:pt idx="2213">
                  <c:v>-1.5946159122605674</c:v>
                </c:pt>
                <c:pt idx="2214">
                  <c:v>-1.6324383604138213</c:v>
                </c:pt>
                <c:pt idx="2215">
                  <c:v>-1.6696597032994913</c:v>
                </c:pt>
                <c:pt idx="2216">
                  <c:v>-1.7062688778920034</c:v>
                </c:pt>
                <c:pt idx="2217">
                  <c:v>-1.7422550409465933</c:v>
                </c:pt>
                <c:pt idx="2218">
                  <c:v>-1.777607572141656</c:v>
                </c:pt>
                <c:pt idx="2219">
                  <c:v>-1.812316077142357</c:v>
                </c:pt>
                <c:pt idx="2220">
                  <c:v>-1.846370390585186</c:v>
                </c:pt>
                <c:pt idx="2221">
                  <c:v>-1.8797605789822476</c:v>
                </c:pt>
                <c:pt idx="2222">
                  <c:v>-1.9124769435447533</c:v>
                </c:pt>
                <c:pt idx="2223">
                  <c:v>-1.944510022924691</c:v>
                </c:pt>
                <c:pt idx="2224">
                  <c:v>-1.9758505958741293</c:v>
                </c:pt>
                <c:pt idx="2225">
                  <c:v>-2.0064896838212563</c:v>
                </c:pt>
                <c:pt idx="2226">
                  <c:v>-2.0364185533627528</c:v>
                </c:pt>
                <c:pt idx="2227">
                  <c:v>-2.0656287186713933</c:v>
                </c:pt>
                <c:pt idx="2228">
                  <c:v>-2.0941119438186955</c:v>
                </c:pt>
                <c:pt idx="2229">
                  <c:v>-2.1218602450116815</c:v>
                </c:pt>
                <c:pt idx="2230">
                  <c:v>-2.1488658927434248</c:v>
                </c:pt>
                <c:pt idx="2231">
                  <c:v>-2.1751214138566137</c:v>
                </c:pt>
                <c:pt idx="2232">
                  <c:v>-2.2006195935197819</c:v>
                </c:pt>
                <c:pt idx="2233">
                  <c:v>-2.2253534771155947</c:v>
                </c:pt>
                <c:pt idx="2234">
                  <c:v>-2.2493163720408851</c:v>
                </c:pt>
                <c:pt idx="2235">
                  <c:v>-2.2725018494178801</c:v>
                </c:pt>
                <c:pt idx="2236">
                  <c:v>-2.2949037457161974</c:v>
                </c:pt>
                <c:pt idx="2237">
                  <c:v>-2.3165161642853844</c:v>
                </c:pt>
                <c:pt idx="2238">
                  <c:v>-2.3373334767975971</c:v>
                </c:pt>
                <c:pt idx="2239">
                  <c:v>-2.3573503246000218</c:v>
                </c:pt>
                <c:pt idx="2240">
                  <c:v>-2.37656161997691</c:v>
                </c:pt>
                <c:pt idx="2241">
                  <c:v>-2.3949625473208287</c:v>
                </c:pt>
                <c:pt idx="2242">
                  <c:v>-2.4125485642130626</c:v>
                </c:pt>
                <c:pt idx="2243">
                  <c:v>-2.4293154024128789</c:v>
                </c:pt>
                <c:pt idx="2244">
                  <c:v>-2.4452590687554547</c:v>
                </c:pt>
                <c:pt idx="2245">
                  <c:v>-2.4603758459584668</c:v>
                </c:pt>
                <c:pt idx="2246">
                  <c:v>-2.4746622933371882</c:v>
                </c:pt>
                <c:pt idx="2247">
                  <c:v>-2.4881152474279724</c:v>
                </c:pt>
                <c:pt idx="2248">
                  <c:v>-2.5007318225201569</c:v>
                </c:pt>
                <c:pt idx="2249">
                  <c:v>-2.5125094110963295</c:v>
                </c:pt>
                <c:pt idx="2250">
                  <c:v>-2.5234456841810373</c:v>
                </c:pt>
                <c:pt idx="2251">
                  <c:v>-2.5335385915979387</c:v>
                </c:pt>
                <c:pt idx="2252">
                  <c:v>-2.5427863621354607</c:v>
                </c:pt>
                <c:pt idx="2253">
                  <c:v>-2.5511875036211573</c:v>
                </c:pt>
                <c:pt idx="2254">
                  <c:v>-2.5587408029048313</c:v>
                </c:pt>
                <c:pt idx="2255">
                  <c:v>-2.5654453257506256</c:v>
                </c:pt>
                <c:pt idx="2256">
                  <c:v>-2.5713004166382811</c:v>
                </c:pt>
                <c:pt idx="2257">
                  <c:v>-2.5763056984737673</c:v>
                </c:pt>
                <c:pt idx="2258">
                  <c:v>-2.5804610722095696</c:v>
                </c:pt>
                <c:pt idx="2259">
                  <c:v>-2.5837667163749298</c:v>
                </c:pt>
                <c:pt idx="2260">
                  <c:v>-2.5862230865163132</c:v>
                </c:pt>
                <c:pt idx="2261">
                  <c:v>-2.5878309145484759</c:v>
                </c:pt>
                <c:pt idx="2262">
                  <c:v>-2.5885912080165094</c:v>
                </c:pt>
                <c:pt idx="2263">
                  <c:v>-2.5885052492692573</c:v>
                </c:pt>
                <c:pt idx="2264">
                  <c:v>-2.5875745945445199</c:v>
                </c:pt>
                <c:pt idx="2265">
                  <c:v>-2.5858010729665319</c:v>
                </c:pt>
                <c:pt idx="2266">
                  <c:v>-2.5831867854561752</c:v>
                </c:pt>
                <c:pt idx="2267">
                  <c:v>-2.5797341035544514</c:v>
                </c:pt>
                <c:pt idx="2268">
                  <c:v>-2.5754456681597495</c:v>
                </c:pt>
                <c:pt idx="2269">
                  <c:v>-2.5703243881794871</c:v>
                </c:pt>
                <c:pt idx="2270">
                  <c:v>-2.5643734390967095</c:v>
                </c:pt>
                <c:pt idx="2271">
                  <c:v>-2.5575962614522574</c:v>
                </c:pt>
                <c:pt idx="2272">
                  <c:v>-2.5499965592431915</c:v>
                </c:pt>
                <c:pt idx="2273">
                  <c:v>-2.5415782982380897</c:v>
                </c:pt>
                <c:pt idx="2274">
                  <c:v>-2.5323457042099782</c:v>
                </c:pt>
                <c:pt idx="2275">
                  <c:v>-2.5223032610875675</c:v>
                </c:pt>
                <c:pt idx="2276">
                  <c:v>-2.5114557090255838</c:v>
                </c:pt>
                <c:pt idx="2277">
                  <c:v>-2.49980804239493</c:v>
                </c:pt>
                <c:pt idx="2278">
                  <c:v>-2.4873655076935766</c:v>
                </c:pt>
                <c:pt idx="2279">
                  <c:v>-2.4741336013788251</c:v>
                </c:pt>
                <c:pt idx="2280">
                  <c:v>-2.4601180676219907</c:v>
                </c:pt>
                <c:pt idx="2281">
                  <c:v>-2.4453248959862468</c:v>
                </c:pt>
                <c:pt idx="2282">
                  <c:v>-2.4297603190286061</c:v>
                </c:pt>
                <c:pt idx="2283">
                  <c:v>-2.4134308098268646</c:v>
                </c:pt>
                <c:pt idx="2284">
                  <c:v>-2.3963430794325715</c:v>
                </c:pt>
                <c:pt idx="2285">
                  <c:v>-2.378504074250861</c:v>
                </c:pt>
                <c:pt idx="2286">
                  <c:v>-2.3599209733483053</c:v>
                </c:pt>
                <c:pt idx="2287">
                  <c:v>-2.3406011856895539</c:v>
                </c:pt>
                <c:pt idx="2288">
                  <c:v>-2.3205523473040355</c:v>
                </c:pt>
                <c:pt idx="2289">
                  <c:v>-2.2997823183836128</c:v>
                </c:pt>
                <c:pt idx="2290">
                  <c:v>-2.2782991803123558</c:v>
                </c:pt>
                <c:pt idx="2291">
                  <c:v>-2.256111232629423</c:v>
                </c:pt>
                <c:pt idx="2292">
                  <c:v>-2.2332269899262909</c:v>
                </c:pt>
                <c:pt idx="2293">
                  <c:v>-2.209655178679315</c:v>
                </c:pt>
                <c:pt idx="2294">
                  <c:v>-2.1854047340190053</c:v>
                </c:pt>
                <c:pt idx="2295">
                  <c:v>-2.1604847964368297</c:v>
                </c:pt>
                <c:pt idx="2296">
                  <c:v>-2.1349047084310957</c:v>
                </c:pt>
                <c:pt idx="2297">
                  <c:v>-2.1086740110928872</c:v>
                </c:pt>
                <c:pt idx="2298">
                  <c:v>-2.0818024406333993</c:v>
                </c:pt>
                <c:pt idx="2299">
                  <c:v>-2.0542999248537659</c:v>
                </c:pt>
                <c:pt idx="2300">
                  <c:v>-2.0261765795588325</c:v>
                </c:pt>
                <c:pt idx="2301">
                  <c:v>-1.9974427049159758</c:v>
                </c:pt>
                <c:pt idx="2302">
                  <c:v>-1.9681087817604079</c:v>
                </c:pt>
                <c:pt idx="2303">
                  <c:v>-1.938185467848015</c:v>
                </c:pt>
                <c:pt idx="2304">
                  <c:v>-1.9076835940574386</c:v>
                </c:pt>
                <c:pt idx="2305">
                  <c:v>-1.8766141605423414</c:v>
                </c:pt>
                <c:pt idx="2306">
                  <c:v>-1.8449883328354824</c:v>
                </c:pt>
                <c:pt idx="2307">
                  <c:v>-1.8128174379057398</c:v>
                </c:pt>
                <c:pt idx="2308">
                  <c:v>-1.7801129601696646</c:v>
                </c:pt>
                <c:pt idx="2309">
                  <c:v>-1.7468865374587836</c:v>
                </c:pt>
                <c:pt idx="2310">
                  <c:v>-1.7131499569442077</c:v>
                </c:pt>
                <c:pt idx="2311">
                  <c:v>-1.6789151510196525</c:v>
                </c:pt>
                <c:pt idx="2312">
                  <c:v>-1.6441941931447543</c:v>
                </c:pt>
                <c:pt idx="2313">
                  <c:v>-1.6089992936496555</c:v>
                </c:pt>
                <c:pt idx="2314">
                  <c:v>-1.5733427955026251</c:v>
                </c:pt>
                <c:pt idx="2315">
                  <c:v>-1.5372371700418854</c:v>
                </c:pt>
                <c:pt idx="2316">
                  <c:v>-1.5006950126733911</c:v>
                </c:pt>
                <c:pt idx="2317">
                  <c:v>-1.4637290385357904</c:v>
                </c:pt>
                <c:pt idx="2318">
                  <c:v>-1.4263520781342469</c:v>
                </c:pt>
                <c:pt idx="2319">
                  <c:v>-1.3885770729442655</c:v>
                </c:pt>
                <c:pt idx="2320">
                  <c:v>-1.3504170709875316</c:v>
                </c:pt>
                <c:pt idx="2321">
                  <c:v>-1.3118852223807329</c:v>
                </c:pt>
                <c:pt idx="2322">
                  <c:v>-1.2729947748592585</c:v>
                </c:pt>
                <c:pt idx="2323">
                  <c:v>-1.2337590692769527</c:v>
                </c:pt>
                <c:pt idx="2324">
                  <c:v>-1.1941915350837564</c:v>
                </c:pt>
                <c:pt idx="2325">
                  <c:v>-1.1543056857825056</c:v>
                </c:pt>
                <c:pt idx="2326">
                  <c:v>-1.114115114366597</c:v>
                </c:pt>
                <c:pt idx="2327">
                  <c:v>-1.0736334887398029</c:v>
                </c:pt>
                <c:pt idx="2328">
                  <c:v>-1.0328745471199852</c:v>
                </c:pt>
                <c:pt idx="2329">
                  <c:v>-0.99185209342822866</c:v>
                </c:pt>
                <c:pt idx="2330">
                  <c:v>-0.95057999266478932</c:v>
                </c:pt>
                <c:pt idx="2331">
                  <c:v>-0.90907216627337428</c:v>
                </c:pt>
                <c:pt idx="2332">
                  <c:v>-0.8673425874955244</c:v>
                </c:pt>
                <c:pt idx="2333">
                  <c:v>-0.82540527671637165</c:v>
                </c:pt>
                <c:pt idx="2334">
                  <c:v>-0.7832742968035209</c:v>
                </c:pt>
                <c:pt idx="2335">
                  <c:v>-0.7409637484403323</c:v>
                </c:pt>
                <c:pt idx="2336">
                  <c:v>-0.69848776545536928</c:v>
                </c:pt>
                <c:pt idx="2337">
                  <c:v>-0.65586051014953073</c:v>
                </c:pt>
                <c:pt idx="2338">
                  <c:v>-0.61309616862226324</c:v>
                </c:pt>
                <c:pt idx="2339">
                  <c:v>-0.5702089460983597</c:v>
                </c:pt>
                <c:pt idx="2340">
                  <c:v>-0.52721306225710707</c:v>
                </c:pt>
                <c:pt idx="2341">
                  <c:v>-0.48412274656504922</c:v>
                </c:pt>
                <c:pt idx="2342">
                  <c:v>-0.44095223361408736</c:v>
                </c:pt>
                <c:pt idx="2343">
                  <c:v>-0.39771575846615231</c:v>
                </c:pt>
                <c:pt idx="2344">
                  <c:v>-0.35442755200632114</c:v>
                </c:pt>
                <c:pt idx="2345">
                  <c:v>-0.31110183630550076</c:v>
                </c:pt>
                <c:pt idx="2346">
                  <c:v>-0.26775281999463069</c:v>
                </c:pt>
                <c:pt idx="2347">
                  <c:v>-0.22439469365129119</c:v>
                </c:pt>
                <c:pt idx="2348">
                  <c:v>-0.18104162520078676</c:v>
                </c:pt>
                <c:pt idx="2349">
                  <c:v>-0.13770775533280857</c:v>
                </c:pt>
                <c:pt idx="2350">
                  <c:v>-9.4407192935366424E-2</c:v>
                </c:pt>
                <c:pt idx="2351">
                  <c:v>-5.1154010547174868E-2</c:v>
                </c:pt>
                <c:pt idx="2352">
                  <c:v>-7.9622398303025935E-3</c:v>
                </c:pt>
                <c:pt idx="2353">
                  <c:v>3.515413293584773E-2</c:v>
                </c:pt>
                <c:pt idx="2354">
                  <c:v>7.8181171337339123E-2</c:v>
                </c:pt>
                <c:pt idx="2355">
                  <c:v>0.12110499328446815</c:v>
                </c:pt>
                <c:pt idx="2356">
                  <c:v>0.16391177544449648</c:v>
                </c:pt>
                <c:pt idx="2357">
                  <c:v>0.20658775764731849</c:v>
                </c:pt>
                <c:pt idx="2358">
                  <c:v>0.24911924726245732</c:v>
                </c:pt>
                <c:pt idx="2359">
                  <c:v>0.29149262354627964</c:v>
                </c:pt>
                <c:pt idx="2360">
                  <c:v>0.33369434195771341</c:v>
                </c:pt>
                <c:pt idx="2361">
                  <c:v>0.3757109384414859</c:v>
                </c:pt>
                <c:pt idx="2362">
                  <c:v>0.41752903367708766</c:v>
                </c:pt>
                <c:pt idx="2363">
                  <c:v>0.45913533729274392</c:v>
                </c:pt>
                <c:pt idx="2364">
                  <c:v>0.5005166520424934</c:v>
                </c:pt>
                <c:pt idx="2365">
                  <c:v>0.54165987794544457</c:v>
                </c:pt>
                <c:pt idx="2366">
                  <c:v>0.58255201638571419</c:v>
                </c:pt>
                <c:pt idx="2367">
                  <c:v>0.6231801741720413</c:v>
                </c:pt>
                <c:pt idx="2368">
                  <c:v>0.66353156755549725</c:v>
                </c:pt>
                <c:pt idx="2369">
                  <c:v>0.70359352620431637</c:v>
                </c:pt>
                <c:pt idx="2370">
                  <c:v>0.74335349713442345</c:v>
                </c:pt>
                <c:pt idx="2371">
                  <c:v>0.78279904859479599</c:v>
                </c:pt>
                <c:pt idx="2372">
                  <c:v>0.8219178739059273</c:v>
                </c:pt>
                <c:pt idx="2373">
                  <c:v>0.86069779525078838</c:v>
                </c:pt>
                <c:pt idx="2374">
                  <c:v>0.8991267674167146</c:v>
                </c:pt>
                <c:pt idx="2375">
                  <c:v>0.93719288148742219</c:v>
                </c:pt>
                <c:pt idx="2376">
                  <c:v>0.97488436848371995</c:v>
                </c:pt>
                <c:pt idx="2377">
                  <c:v>1.0121896029520363</c:v>
                </c:pt>
                <c:pt idx="2378">
                  <c:v>1.0490971064996943</c:v>
                </c:pt>
                <c:pt idx="2379">
                  <c:v>1.0855955512755773</c:v>
                </c:pt>
                <c:pt idx="2380">
                  <c:v>1.1216737633956801</c:v>
                </c:pt>
                <c:pt idx="2381">
                  <c:v>1.1573207263119902</c:v>
                </c:pt>
                <c:pt idx="2382">
                  <c:v>1.1925255841240388</c:v>
                </c:pt>
                <c:pt idx="2383">
                  <c:v>1.2272776448319598</c:v>
                </c:pt>
                <c:pt idx="2384">
                  <c:v>1.2615663835303113</c:v>
                </c:pt>
                <c:pt idx="2385">
                  <c:v>1.2953814455414518</c:v>
                </c:pt>
                <c:pt idx="2386">
                  <c:v>1.3287126494877806</c:v>
                </c:pt>
                <c:pt idx="2387">
                  <c:v>1.3615499903018395</c:v>
                </c:pt>
                <c:pt idx="2388">
                  <c:v>1.3938836421734386</c:v>
                </c:pt>
                <c:pt idx="2389">
                  <c:v>1.4257039614329556</c:v>
                </c:pt>
                <c:pt idx="2390">
                  <c:v>1.457001489369991</c:v>
                </c:pt>
                <c:pt idx="2391">
                  <c:v>1.4877669549865016</c:v>
                </c:pt>
                <c:pt idx="2392">
                  <c:v>1.5179912776838222</c:v>
                </c:pt>
                <c:pt idx="2393">
                  <c:v>1.5476655698825645</c:v>
                </c:pt>
                <c:pt idx="2394">
                  <c:v>1.5767811395748661</c:v>
                </c:pt>
                <c:pt idx="2395">
                  <c:v>1.605329492808105</c:v>
                </c:pt>
                <c:pt idx="2396">
                  <c:v>1.6333023360996759</c:v>
                </c:pt>
                <c:pt idx="2397">
                  <c:v>1.6606915787817293</c:v>
                </c:pt>
                <c:pt idx="2398">
                  <c:v>1.6874893352756697</c:v>
                </c:pt>
                <c:pt idx="2399">
                  <c:v>1.7136879272954968</c:v>
                </c:pt>
                <c:pt idx="2400">
                  <c:v>1.7392798859796081</c:v>
                </c:pt>
                <c:pt idx="2401">
                  <c:v>1.7642579539503054</c:v>
                </c:pt>
                <c:pt idx="2402">
                  <c:v>1.7886150873006208</c:v>
                </c:pt>
                <c:pt idx="2403">
                  <c:v>1.8123444575078069</c:v>
                </c:pt>
                <c:pt idx="2404">
                  <c:v>1.835439453273217</c:v>
                </c:pt>
                <c:pt idx="2405">
                  <c:v>1.8578936822877776</c:v>
                </c:pt>
                <c:pt idx="2406">
                  <c:v>1.8797009729229444</c:v>
                </c:pt>
                <c:pt idx="2407">
                  <c:v>1.9008553758464837</c:v>
                </c:pt>
                <c:pt idx="2408">
                  <c:v>1.9213511655628686</c:v>
                </c:pt>
                <c:pt idx="2409">
                  <c:v>1.9411828418777575</c:v>
                </c:pt>
                <c:pt idx="2410">
                  <c:v>1.9603451312863418</c:v>
                </c:pt>
                <c:pt idx="2411">
                  <c:v>1.9788329882851496</c:v>
                </c:pt>
                <c:pt idx="2412">
                  <c:v>1.9966415966071351</c:v>
                </c:pt>
                <c:pt idx="2413">
                  <c:v>2.0137663703796775</c:v>
                </c:pt>
                <c:pt idx="2414">
                  <c:v>2.0302029552052621</c:v>
                </c:pt>
                <c:pt idx="2415">
                  <c:v>2.0459472291646961</c:v>
                </c:pt>
                <c:pt idx="2416">
                  <c:v>2.0609953037426596</c:v>
                </c:pt>
                <c:pt idx="2417">
                  <c:v>2.0753435246753451</c:v>
                </c:pt>
                <c:pt idx="2418">
                  <c:v>2.0889884727201635</c:v>
                </c:pt>
                <c:pt idx="2419">
                  <c:v>2.1019269643472955</c:v>
                </c:pt>
                <c:pt idx="2420">
                  <c:v>2.1141560523531258</c:v>
                </c:pt>
                <c:pt idx="2421">
                  <c:v>2.1256730263954107</c:v>
                </c:pt>
                <c:pt idx="2422">
                  <c:v>2.136475413450134</c:v>
                </c:pt>
                <c:pt idx="2423">
                  <c:v>2.1465609781901223</c:v>
                </c:pt>
                <c:pt idx="2424">
                  <c:v>2.1559277232854019</c:v>
                </c:pt>
                <c:pt idx="2425">
                  <c:v>2.1645738896253039</c:v>
                </c:pt>
                <c:pt idx="2426">
                  <c:v>2.1724979564624363</c:v>
                </c:pt>
                <c:pt idx="2427">
                  <c:v>2.1796986414785793</c:v>
                </c:pt>
                <c:pt idx="2428">
                  <c:v>2.1861749007726732</c:v>
                </c:pt>
                <c:pt idx="2429">
                  <c:v>2.1919259287709907</c:v>
                </c:pt>
                <c:pt idx="2430">
                  <c:v>2.1969511580596732</c:v>
                </c:pt>
                <c:pt idx="2431">
                  <c:v>2.2012502591398633</c:v>
                </c:pt>
                <c:pt idx="2432">
                  <c:v>2.2048231401056131</c:v>
                </c:pt>
                <c:pt idx="2433">
                  <c:v>2.2076699462448319</c:v>
                </c:pt>
                <c:pt idx="2434">
                  <c:v>2.2097910595635386</c:v>
                </c:pt>
                <c:pt idx="2435">
                  <c:v>2.2111870982336979</c:v>
                </c:pt>
                <c:pt idx="2436">
                  <c:v>2.2118589159649962</c:v>
                </c:pt>
                <c:pt idx="2437">
                  <c:v>2.2118076013008592</c:v>
                </c:pt>
                <c:pt idx="2438">
                  <c:v>2.2110344768390968</c:v>
                </c:pt>
                <c:pt idx="2439">
                  <c:v>2.2095410983775676</c:v>
                </c:pt>
                <c:pt idx="2440">
                  <c:v>2.2073292539852667</c:v>
                </c:pt>
                <c:pt idx="2441">
                  <c:v>2.2044009629992898</c:v>
                </c:pt>
                <c:pt idx="2442">
                  <c:v>2.2007584749481159</c:v>
                </c:pt>
                <c:pt idx="2443">
                  <c:v>2.1964042684017167</c:v>
                </c:pt>
                <c:pt idx="2444">
                  <c:v>2.1913410497489672</c:v>
                </c:pt>
                <c:pt idx="2445">
                  <c:v>2.185571751902927</c:v>
                </c:pt>
                <c:pt idx="2446">
                  <c:v>2.1790995329345049</c:v>
                </c:pt>
                <c:pt idx="2447">
                  <c:v>2.1719277746351389</c:v>
                </c:pt>
                <c:pt idx="2448">
                  <c:v>2.1640600810089965</c:v>
                </c:pt>
                <c:pt idx="2449">
                  <c:v>2.1555002766954221</c:v>
                </c:pt>
                <c:pt idx="2450">
                  <c:v>2.1462524053221972</c:v>
                </c:pt>
                <c:pt idx="2451">
                  <c:v>2.1363207277903058</c:v>
                </c:pt>
                <c:pt idx="2452">
                  <c:v>2.1257097204908697</c:v>
                </c:pt>
                <c:pt idx="2453">
                  <c:v>2.1144240734549942</c:v>
                </c:pt>
                <c:pt idx="2454">
                  <c:v>2.1024686884372032</c:v>
                </c:pt>
                <c:pt idx="2455">
                  <c:v>2.0898486769332436</c:v>
                </c:pt>
                <c:pt idx="2456">
                  <c:v>2.076569358133018</c:v>
                </c:pt>
                <c:pt idx="2457">
                  <c:v>2.0626362568094043</c:v>
                </c:pt>
                <c:pt idx="2458">
                  <c:v>2.0480551011438082</c:v>
                </c:pt>
                <c:pt idx="2459">
                  <c:v>2.0328318204892626</c:v>
                </c:pt>
                <c:pt idx="2460">
                  <c:v>2.0169725430718599</c:v>
                </c:pt>
                <c:pt idx="2461">
                  <c:v>2.0004835936314787</c:v>
                </c:pt>
                <c:pt idx="2462">
                  <c:v>1.9833714910025959</c:v>
                </c:pt>
                <c:pt idx="2463">
                  <c:v>1.9656429456361668</c:v>
                </c:pt>
                <c:pt idx="2464">
                  <c:v>1.9473048570633382</c:v>
                </c:pt>
                <c:pt idx="2465">
                  <c:v>1.9283643113021576</c:v>
                </c:pt>
                <c:pt idx="2466">
                  <c:v>1.9088285782079961</c:v>
                </c:pt>
                <c:pt idx="2467">
                  <c:v>1.8887051087688329</c:v>
                </c:pt>
                <c:pt idx="2468">
                  <c:v>1.8680015323462169</c:v>
                </c:pt>
                <c:pt idx="2469">
                  <c:v>1.8467256538630723</c:v>
                </c:pt>
                <c:pt idx="2470">
                  <c:v>1.8248854509392352</c:v>
                </c:pt>
                <c:pt idx="2471">
                  <c:v>1.8024890709758499</c:v>
                </c:pt>
                <c:pt idx="2472">
                  <c:v>1.7795448281895028</c:v>
                </c:pt>
                <c:pt idx="2473">
                  <c:v>1.7560612005974163</c:v>
                </c:pt>
                <c:pt idx="2474">
                  <c:v>1.7320468269545006</c:v>
                </c:pt>
                <c:pt idx="2475">
                  <c:v>1.7075105036435756</c:v>
                </c:pt>
                <c:pt idx="2476">
                  <c:v>1.6824611815196453</c:v>
                </c:pt>
                <c:pt idx="2477">
                  <c:v>1.6569079627095569</c:v>
                </c:pt>
                <c:pt idx="2478">
                  <c:v>1.6308600973680065</c:v>
                </c:pt>
                <c:pt idx="2479">
                  <c:v>1.6043269803911502</c:v>
                </c:pt>
                <c:pt idx="2480">
                  <c:v>1.5773181480888134</c:v>
                </c:pt>
                <c:pt idx="2481">
                  <c:v>1.5498432748166093</c:v>
                </c:pt>
                <c:pt idx="2482">
                  <c:v>1.5219121695691191</c:v>
                </c:pt>
                <c:pt idx="2483">
                  <c:v>1.4935347725352455</c:v>
                </c:pt>
                <c:pt idx="2484">
                  <c:v>1.4647211516169074</c:v>
                </c:pt>
                <c:pt idx="2485">
                  <c:v>1.4354814989124387</c:v>
                </c:pt>
                <c:pt idx="2486">
                  <c:v>1.4058261271657297</c:v>
                </c:pt>
                <c:pt idx="2487">
                  <c:v>1.3757654661824783</c:v>
                </c:pt>
                <c:pt idx="2488">
                  <c:v>1.3453100592146015</c:v>
                </c:pt>
                <c:pt idx="2489">
                  <c:v>1.3144705593142012</c:v>
                </c:pt>
                <c:pt idx="2490">
                  <c:v>1.2832577256583249</c:v>
                </c:pt>
                <c:pt idx="2491">
                  <c:v>1.2516824198456888</c:v>
                </c:pt>
                <c:pt idx="2492">
                  <c:v>1.2197556021665841</c:v>
                </c:pt>
                <c:pt idx="2493">
                  <c:v>1.1874883278474269</c:v>
                </c:pt>
                <c:pt idx="2494">
                  <c:v>1.1548917432710253</c:v>
                </c:pt>
                <c:pt idx="2495">
                  <c:v>1.1219770821739996</c:v>
                </c:pt>
                <c:pt idx="2496">
                  <c:v>1.0887556618224403</c:v>
                </c:pt>
                <c:pt idx="2497">
                  <c:v>1.055238879167274</c:v>
                </c:pt>
                <c:pt idx="2498">
                  <c:v>1.0214382069806152</c:v>
                </c:pt>
                <c:pt idx="2499">
                  <c:v>0.98736518997430056</c:v>
                </c:pt>
                <c:pt idx="2500">
                  <c:v>0.95303144090188052</c:v>
                </c:pt>
                <c:pt idx="2501">
                  <c:v>0.91844863664556586</c:v>
                </c:pt>
                <c:pt idx="2502">
                  <c:v>0.88362851428923905</c:v>
                </c:pt>
                <c:pt idx="2503">
                  <c:v>0.84858286717891152</c:v>
                </c:pt>
                <c:pt idx="2504">
                  <c:v>0.81332354097200088</c:v>
                </c:pt>
                <c:pt idx="2505">
                  <c:v>0.77786242967654007</c:v>
                </c:pt>
                <c:pt idx="2506">
                  <c:v>0.7422114716818311</c:v>
                </c:pt>
                <c:pt idx="2507">
                  <c:v>0.70638264578183707</c:v>
                </c:pt>
                <c:pt idx="2508">
                  <c:v>0.67038796719251004</c:v>
                </c:pt>
                <c:pt idx="2509">
                  <c:v>0.63423948356435222</c:v>
                </c:pt>
                <c:pt idx="2510">
                  <c:v>0.5979492709917249</c:v>
                </c:pt>
                <c:pt idx="2511">
                  <c:v>0.5615294300199849</c:v>
                </c:pt>
                <c:pt idx="2512">
                  <c:v>0.52499208165194522</c:v>
                </c:pt>
                <c:pt idx="2513">
                  <c:v>0.48834936335473794</c:v>
                </c:pt>
                <c:pt idx="2514">
                  <c:v>0.45161342506858615</c:v>
                </c:pt>
                <c:pt idx="2515">
                  <c:v>0.41479642521876936</c:v>
                </c:pt>
                <c:pt idx="2516">
                  <c:v>0.37791052673196551</c:v>
                </c:pt>
                <c:pt idx="2517">
                  <c:v>0.34096789305824343</c:v>
                </c:pt>
                <c:pt idx="2518">
                  <c:v>0.30398068420019925</c:v>
                </c:pt>
                <c:pt idx="2519">
                  <c:v>0.26696105275030108</c:v>
                </c:pt>
                <c:pt idx="2520">
                  <c:v>0.22992113993789651</c:v>
                </c:pt>
                <c:pt idx="2521">
                  <c:v>0.19287307168693399</c:v>
                </c:pt>
                <c:pt idx="2522">
                  <c:v>0.15582895468587482</c:v>
                </c:pt>
                <c:pt idx="2523">
                  <c:v>0.11880087247103543</c:v>
                </c:pt>
                <c:pt idx="2524">
                  <c:v>8.1800881524502544E-2</c:v>
                </c:pt>
                <c:pt idx="2525">
                  <c:v>4.4841007387851912E-2</c:v>
                </c:pt>
                <c:pt idx="2526">
                  <c:v>7.933240793114112E-3</c:v>
                </c:pt>
                <c:pt idx="2527">
                  <c:v>-2.8910466187998481E-2</c:v>
                </c:pt>
                <c:pt idx="2528">
                  <c:v>-6.5678203975205851E-2</c:v>
                </c:pt>
                <c:pt idx="2529">
                  <c:v>-0.10235810929013248</c:v>
                </c:pt>
                <c:pt idx="2530">
                  <c:v>-0.13893836894462655</c:v>
                </c:pt>
                <c:pt idx="2531">
                  <c:v>-0.17540722360604893</c:v>
                </c:pt>
                <c:pt idx="2532">
                  <c:v>-0.21175297153795392</c:v>
                </c:pt>
                <c:pt idx="2533">
                  <c:v>-0.24796397231550441</c:v>
                </c:pt>
                <c:pt idx="2534">
                  <c:v>-0.28402865051395099</c:v>
                </c:pt>
                <c:pt idx="2535">
                  <c:v>-0.31993549936933496</c:v>
                </c:pt>
                <c:pt idx="2536">
                  <c:v>-0.3556730844100871</c:v>
                </c:pt>
                <c:pt idx="2537">
                  <c:v>-0.39123004705861214</c:v>
                </c:pt>
                <c:pt idx="2538">
                  <c:v>-0.42659510820144619</c:v>
                </c:pt>
                <c:pt idx="2539">
                  <c:v>-0.46175707172718433</c:v>
                </c:pt>
                <c:pt idx="2540">
                  <c:v>-0.49670482803070398</c:v>
                </c:pt>
                <c:pt idx="2541">
                  <c:v>-0.53142735748310688</c:v>
                </c:pt>
                <c:pt idx="2542">
                  <c:v>-0.56591373386581834</c:v>
                </c:pt>
                <c:pt idx="2543">
                  <c:v>-0.60015312776809249</c:v>
                </c:pt>
                <c:pt idx="2544">
                  <c:v>-0.63413480994670779</c:v>
                </c:pt>
                <c:pt idx="2545">
                  <c:v>-0.66784815464703307</c:v>
                </c:pt>
                <c:pt idx="2546">
                  <c:v>-0.70128264288418796</c:v>
                </c:pt>
                <c:pt idx="2547">
                  <c:v>-0.73442786568349405</c:v>
                </c:pt>
                <c:pt idx="2548">
                  <c:v>-0.76727352727915954</c:v>
                </c:pt>
                <c:pt idx="2549">
                  <c:v>-0.79980944827023137</c:v>
                </c:pt>
                <c:pt idx="2550">
                  <c:v>-0.83202556873287503</c:v>
                </c:pt>
                <c:pt idx="2551">
                  <c:v>-0.86391195128804732</c:v>
                </c:pt>
                <c:pt idx="2552">
                  <c:v>-0.89545878412357072</c:v>
                </c:pt>
                <c:pt idx="2553">
                  <c:v>-0.92665638396989236</c:v>
                </c:pt>
                <c:pt idx="2554">
                  <c:v>-0.95749519902839064</c:v>
                </c:pt>
                <c:pt idx="2555">
                  <c:v>-0.98796581185155585</c:v>
                </c:pt>
                <c:pt idx="2556">
                  <c:v>-1.0180589421740383</c:v>
                </c:pt>
                <c:pt idx="2557">
                  <c:v>-1.0477654496939854</c:v>
                </c:pt>
                <c:pt idx="2558">
                  <c:v>-1.0770763368034395</c:v>
                </c:pt>
                <c:pt idx="2559">
                  <c:v>-1.1059827512674174</c:v>
                </c:pt>
                <c:pt idx="2560">
                  <c:v>-1.1344759888505787</c:v>
                </c:pt>
                <c:pt idx="2561">
                  <c:v>-1.1625474958909738</c:v>
                </c:pt>
                <c:pt idx="2562">
                  <c:v>-1.1901888718198801</c:v>
                </c:pt>
                <c:pt idx="2563">
                  <c:v>-1.2173918716271888</c:v>
                </c:pt>
                <c:pt idx="2564">
                  <c:v>-1.2441484082714995</c:v>
                </c:pt>
                <c:pt idx="2565">
                  <c:v>-1.2704505550344543</c:v>
                </c:pt>
                <c:pt idx="2566">
                  <c:v>-1.2962905478182836</c:v>
                </c:pt>
                <c:pt idx="2567">
                  <c:v>-1.3216607873862971</c:v>
                </c:pt>
                <c:pt idx="2568">
                  <c:v>-1.3465538415454072</c:v>
                </c:pt>
                <c:pt idx="2569">
                  <c:v>-1.370962447270297</c:v>
                </c:pt>
                <c:pt idx="2570">
                  <c:v>-1.3948795127684421</c:v>
                </c:pt>
                <c:pt idx="2571">
                  <c:v>-1.4182981194855739</c:v>
                </c:pt>
                <c:pt idx="2572">
                  <c:v>-1.4412115240509229</c:v>
                </c:pt>
                <c:pt idx="2573">
                  <c:v>-1.4636131601618523</c:v>
                </c:pt>
                <c:pt idx="2574">
                  <c:v>-1.4854966404072558</c:v>
                </c:pt>
                <c:pt idx="2575">
                  <c:v>-1.5068557580292279</c:v>
                </c:pt>
                <c:pt idx="2576">
                  <c:v>-1.5276844886226393</c:v>
                </c:pt>
                <c:pt idx="2577">
                  <c:v>-1.5479769917721646</c:v>
                </c:pt>
                <c:pt idx="2578">
                  <c:v>-1.5677276126262185</c:v>
                </c:pt>
                <c:pt idx="2579">
                  <c:v>-1.5869308834075391</c:v>
                </c:pt>
                <c:pt idx="2580">
                  <c:v>-1.605581524859945</c:v>
                </c:pt>
                <c:pt idx="2581">
                  <c:v>-1.6236744476310068</c:v>
                </c:pt>
                <c:pt idx="2582">
                  <c:v>-1.6412047535902052</c:v>
                </c:pt>
                <c:pt idx="2583">
                  <c:v>-1.6581677370822703</c:v>
                </c:pt>
                <c:pt idx="2584">
                  <c:v>-1.6745588861154668</c:v>
                </c:pt>
                <c:pt idx="2585">
                  <c:v>-1.6903738834845516</c:v>
                </c:pt>
                <c:pt idx="2586">
                  <c:v>-1.7056086078280752</c:v>
                </c:pt>
                <c:pt idx="2587">
                  <c:v>-1.7202591346198843</c:v>
                </c:pt>
                <c:pt idx="2588">
                  <c:v>-1.7343217370945627</c:v>
                </c:pt>
                <c:pt idx="2589">
                  <c:v>-1.7477928871066979</c:v>
                </c:pt>
                <c:pt idx="2590">
                  <c:v>-1.76066925592375</c:v>
                </c:pt>
                <c:pt idx="2591">
                  <c:v>-1.7729477149523665</c:v>
                </c:pt>
                <c:pt idx="2592">
                  <c:v>-1.7846253363981055</c:v>
                </c:pt>
                <c:pt idx="2593">
                  <c:v>-1.7956993938584394</c:v>
                </c:pt>
                <c:pt idx="2594">
                  <c:v>-1.806167362848917</c:v>
                </c:pt>
                <c:pt idx="2595">
                  <c:v>-1.8160269212624929</c:v>
                </c:pt>
                <c:pt idx="2596">
                  <c:v>-1.8252759497619695</c:v>
                </c:pt>
                <c:pt idx="2597">
                  <c:v>-1.8339125321055652</c:v>
                </c:pt>
                <c:pt idx="2598">
                  <c:v>-1.8419349554055735</c:v>
                </c:pt>
                <c:pt idx="2599">
                  <c:v>-1.849341710320237</c:v>
                </c:pt>
                <c:pt idx="2600">
                  <c:v>-1.8561314911787588</c:v>
                </c:pt>
                <c:pt idx="2601">
                  <c:v>-1.8623031960397038</c:v>
                </c:pt>
                <c:pt idx="2602">
                  <c:v>-1.8678559266827364</c:v>
                </c:pt>
                <c:pt idx="2603">
                  <c:v>-1.8727889885339088</c:v>
                </c:pt>
                <c:pt idx="2604">
                  <c:v>-1.877101890524604</c:v>
                </c:pt>
                <c:pt idx="2605">
                  <c:v>-1.8807943448843285</c:v>
                </c:pt>
                <c:pt idx="2606">
                  <c:v>-1.8838662668675095</c:v>
                </c:pt>
                <c:pt idx="2607">
                  <c:v>-1.8863177744145336</c:v>
                </c:pt>
                <c:pt idx="2608">
                  <c:v>-1.8881491877472256</c:v>
                </c:pt>
                <c:pt idx="2609">
                  <c:v>-1.8893610288990628</c:v>
                </c:pt>
                <c:pt idx="2610">
                  <c:v>-1.8899540211803421</c:v>
                </c:pt>
                <c:pt idx="2611">
                  <c:v>-1.8899290885786391</c:v>
                </c:pt>
                <c:pt idx="2612">
                  <c:v>-1.8892873550948448</c:v>
                </c:pt>
                <c:pt idx="2613">
                  <c:v>-1.8880301440151108</c:v>
                </c:pt>
                <c:pt idx="2614">
                  <c:v>-1.886158977119081</c:v>
                </c:pt>
                <c:pt idx="2615">
                  <c:v>-1.8836755738247599</c:v>
                </c:pt>
                <c:pt idx="2616">
                  <c:v>-1.8805818502704137</c:v>
                </c:pt>
                <c:pt idx="2617">
                  <c:v>-1.8768799183339346</c:v>
                </c:pt>
                <c:pt idx="2618">
                  <c:v>-1.8725720845900775</c:v>
                </c:pt>
                <c:pt idx="2619">
                  <c:v>-1.8676608492060391</c:v>
                </c:pt>
                <c:pt idx="2620">
                  <c:v>-1.8621489047758537</c:v>
                </c:pt>
                <c:pt idx="2621">
                  <c:v>-1.8560391350940677</c:v>
                </c:pt>
                <c:pt idx="2622">
                  <c:v>-1.8493346138692424</c:v>
                </c:pt>
                <c:pt idx="2623">
                  <c:v>-1.8420386033777845</c:v>
                </c:pt>
                <c:pt idx="2624">
                  <c:v>-1.8341545530586785</c:v>
                </c:pt>
                <c:pt idx="2625">
                  <c:v>-1.8256860980496339</c:v>
                </c:pt>
                <c:pt idx="2626">
                  <c:v>-1.8166370576653048</c:v>
                </c:pt>
                <c:pt idx="2627">
                  <c:v>-1.8070114338181262</c:v>
                </c:pt>
                <c:pt idx="2628">
                  <c:v>-1.7968134093824057</c:v>
                </c:pt>
                <c:pt idx="2629">
                  <c:v>-1.7860473465023143</c:v>
                </c:pt>
                <c:pt idx="2630">
                  <c:v>-1.7747177848444016</c:v>
                </c:pt>
                <c:pt idx="2631">
                  <c:v>-1.7628294397953546</c:v>
                </c:pt>
                <c:pt idx="2632">
                  <c:v>-1.7503872006056169</c:v>
                </c:pt>
                <c:pt idx="2633">
                  <c:v>-1.7373961284796871</c:v>
                </c:pt>
                <c:pt idx="2634">
                  <c:v>-1.7238614546136473</c:v>
                </c:pt>
                <c:pt idx="2635">
                  <c:v>-1.7097885781808242</c:v>
                </c:pt>
                <c:pt idx="2636">
                  <c:v>-1.6951830642662282</c:v>
                </c:pt>
                <c:pt idx="2637">
                  <c:v>-1.6800506417506071</c:v>
                </c:pt>
                <c:pt idx="2638">
                  <c:v>-1.6643972011447967</c:v>
                </c:pt>
                <c:pt idx="2639">
                  <c:v>-1.6482287923752921</c:v>
                </c:pt>
                <c:pt idx="2640">
                  <c:v>-1.631551622521747</c:v>
                </c:pt>
                <c:pt idx="2641">
                  <c:v>-1.6143720535073167</c:v>
                </c:pt>
                <c:pt idx="2642">
                  <c:v>-1.5966965997425291</c:v>
                </c:pt>
                <c:pt idx="2643">
                  <c:v>-1.5785319257237744</c:v>
                </c:pt>
                <c:pt idx="2644">
                  <c:v>-1.5598848435870389</c:v>
                </c:pt>
                <c:pt idx="2645">
                  <c:v>-1.5407623106179495</c:v>
                </c:pt>
                <c:pt idx="2646">
                  <c:v>-1.5211714267188516</c:v>
                </c:pt>
                <c:pt idx="2647">
                  <c:v>-1.5011194318339953</c:v>
                </c:pt>
                <c:pt idx="2648">
                  <c:v>-1.4806137033336109</c:v>
                </c:pt>
                <c:pt idx="2649">
                  <c:v>-1.4596617533579135</c:v>
                </c:pt>
                <c:pt idx="2650">
                  <c:v>-1.438271226121802</c:v>
                </c:pt>
                <c:pt idx="2651">
                  <c:v>-1.4164498951814664</c:v>
                </c:pt>
                <c:pt idx="2652">
                  <c:v>-1.3942056606635944</c:v>
                </c:pt>
                <c:pt idx="2653">
                  <c:v>-1.3715465464583674</c:v>
                </c:pt>
                <c:pt idx="2654">
                  <c:v>-1.3484806973770231</c:v>
                </c:pt>
                <c:pt idx="2655">
                  <c:v>-1.3250163762751817</c:v>
                </c:pt>
                <c:pt idx="2656">
                  <c:v>-1.3011619611427805</c:v>
                </c:pt>
                <c:pt idx="2657">
                  <c:v>-1.2769259421617529</c:v>
                </c:pt>
                <c:pt idx="2658">
                  <c:v>-1.2523169187322636</c:v>
                </c:pt>
                <c:pt idx="2659">
                  <c:v>-1.2273435964688462</c:v>
                </c:pt>
                <c:pt idx="2660">
                  <c:v>-1.2020147841671589</c:v>
                </c:pt>
                <c:pt idx="2661">
                  <c:v>-1.1763393907426396</c:v>
                </c:pt>
                <c:pt idx="2662">
                  <c:v>-1.1503264221419036</c:v>
                </c:pt>
                <c:pt idx="2663">
                  <c:v>-1.1239849782281517</c:v>
                </c:pt>
                <c:pt idx="2664">
                  <c:v>-1.0973242496414861</c:v>
                </c:pt>
                <c:pt idx="2665">
                  <c:v>-1.07035351463533</c:v>
                </c:pt>
                <c:pt idx="2666">
                  <c:v>-1.0430821358898759</c:v>
                </c:pt>
                <c:pt idx="2667">
                  <c:v>-1.0155195573037754</c:v>
                </c:pt>
                <c:pt idx="2668">
                  <c:v>-0.9876753007651623</c:v>
                </c:pt>
                <c:pt idx="2669">
                  <c:v>-0.95955896290301324</c:v>
                </c:pt>
                <c:pt idx="2670">
                  <c:v>-0.93118021181991717</c:v>
                </c:pt>
                <c:pt idx="2671">
                  <c:v>-0.9025487838075219</c:v>
                </c:pt>
                <c:pt idx="2672">
                  <c:v>-0.87367448004558645</c:v>
                </c:pt>
                <c:pt idx="2673">
                  <c:v>-0.84456716328588555</c:v>
                </c:pt>
                <c:pt idx="2674">
                  <c:v>-0.81523675452190292</c:v>
                </c:pt>
                <c:pt idx="2675">
                  <c:v>-0.78569322964558541</c:v>
                </c:pt>
                <c:pt idx="2676">
                  <c:v>-0.75594661609226321</c:v>
                </c:pt>
                <c:pt idx="2677">
                  <c:v>-0.72600698947476106</c:v>
                </c:pt>
                <c:pt idx="2678">
                  <c:v>-0.69588447020780164</c:v>
                </c:pt>
                <c:pt idx="2679">
                  <c:v>-0.66558922012399191</c:v>
                </c:pt>
                <c:pt idx="2680">
                  <c:v>-0.63513143908232483</c:v>
                </c:pt>
                <c:pt idx="2681">
                  <c:v>-0.60452136157047265</c:v>
                </c:pt>
                <c:pt idx="2682">
                  <c:v>-0.57376925330179152</c:v>
                </c:pt>
                <c:pt idx="2683">
                  <c:v>-0.54288540780840722</c:v>
                </c:pt>
                <c:pt idx="2684">
                  <c:v>-0.5118801430312484</c:v>
                </c:pt>
                <c:pt idx="2685">
                  <c:v>-0.48076379790846024</c:v>
                </c:pt>
                <c:pt idx="2686">
                  <c:v>-0.44954672896288245</c:v>
                </c:pt>
                <c:pt idx="2687">
                  <c:v>-0.41823930689013433</c:v>
                </c:pt>
                <c:pt idx="2688">
                  <c:v>-0.38685191314815093</c:v>
                </c:pt>
                <c:pt idx="2689">
                  <c:v>-0.35539493654943605</c:v>
                </c:pt>
                <c:pt idx="2690">
                  <c:v>-0.32387876985694769</c:v>
                </c:pt>
                <c:pt idx="2691">
                  <c:v>-0.29231380638497617</c:v>
                </c:pt>
                <c:pt idx="2692">
                  <c:v>-0.26071043660584453</c:v>
                </c:pt>
                <c:pt idx="2693">
                  <c:v>-0.22907904476386268</c:v>
                </c:pt>
                <c:pt idx="2694">
                  <c:v>-0.1974300054971809</c:v>
                </c:pt>
                <c:pt idx="2695">
                  <c:v>-0.16577368046906477</c:v>
                </c:pt>
                <c:pt idx="2696">
                  <c:v>-0.13412041500940144</c:v>
                </c:pt>
                <c:pt idx="2697">
                  <c:v>-0.10248053476767686</c:v>
                </c:pt>
                <c:pt idx="2698">
                  <c:v>-7.0864342378295336E-2</c:v>
                </c:pt>
                <c:pt idx="2699">
                  <c:v>-3.9282114139569918E-2</c:v>
                </c:pt>
                <c:pt idx="2700">
                  <c:v>-7.7440967071691139E-3</c:v>
                </c:pt>
                <c:pt idx="2701">
                  <c:v>2.3739496196591832E-2</c:v>
                </c:pt>
                <c:pt idx="2702">
                  <c:v>5.5158487057016856E-2</c:v>
                </c:pt>
                <c:pt idx="2703">
                  <c:v>8.6502737823377779E-2</c:v>
                </c:pt>
                <c:pt idx="2704">
                  <c:v>0.11776215314658953</c:v>
                </c:pt>
                <c:pt idx="2705">
                  <c:v>0.1489266835970271</c:v>
                </c:pt>
                <c:pt idx="2706">
                  <c:v>0.17998632886166768</c:v>
                </c:pt>
                <c:pt idx="2707">
                  <c:v>0.21093114091930487</c:v>
                </c:pt>
                <c:pt idx="2708">
                  <c:v>0.24175122719303568</c:v>
                </c:pt>
                <c:pt idx="2709">
                  <c:v>0.27243675367887349</c:v>
                </c:pt>
                <c:pt idx="2710">
                  <c:v>0.30297794804977529</c:v>
                </c:pt>
                <c:pt idx="2711">
                  <c:v>0.33336510273369141</c:v>
                </c:pt>
                <c:pt idx="2712">
                  <c:v>0.36358857796511462</c:v>
                </c:pt>
                <c:pt idx="2713">
                  <c:v>0.39363880480885582</c:v>
                </c:pt>
                <c:pt idx="2714">
                  <c:v>0.42350628815537328</c:v>
                </c:pt>
                <c:pt idx="2715">
                  <c:v>0.45318160968647531</c:v>
                </c:pt>
                <c:pt idx="2716">
                  <c:v>0.48265543081067908</c:v>
                </c:pt>
                <c:pt idx="2717">
                  <c:v>0.51191849556716262</c:v>
                </c:pt>
                <c:pt idx="2718">
                  <c:v>0.54096163349767712</c:v>
                </c:pt>
                <c:pt idx="2719">
                  <c:v>0.56977576248513617</c:v>
                </c:pt>
                <c:pt idx="2720">
                  <c:v>0.59835189155843027</c:v>
                </c:pt>
                <c:pt idx="2721">
                  <c:v>0.62668112366230022</c:v>
                </c:pt>
                <c:pt idx="2722">
                  <c:v>0.65475465839168256</c:v>
                </c:pt>
                <c:pt idx="2723">
                  <c:v>0.68256379468945727</c:v>
                </c:pt>
                <c:pt idx="2724">
                  <c:v>0.71009993350696565</c:v>
                </c:pt>
                <c:pt idx="2725">
                  <c:v>0.73735458042635438</c:v>
                </c:pt>
                <c:pt idx="2726">
                  <c:v>0.76431934824419689</c:v>
                </c:pt>
                <c:pt idx="2727">
                  <c:v>0.79098595951523565</c:v>
                </c:pt>
                <c:pt idx="2728">
                  <c:v>0.81734624905588549</c:v>
                </c:pt>
                <c:pt idx="2729">
                  <c:v>0.84339216640645487</c:v>
                </c:pt>
                <c:pt idx="2730">
                  <c:v>0.86911577825159225</c:v>
                </c:pt>
                <c:pt idx="2731">
                  <c:v>0.894509270798024</c:v>
                </c:pt>
                <c:pt idx="2732">
                  <c:v>0.91956495210904887</c:v>
                </c:pt>
                <c:pt idx="2733">
                  <c:v>0.94427525439498761</c:v>
                </c:pt>
                <c:pt idx="2734">
                  <c:v>0.96863273625905966</c:v>
                </c:pt>
                <c:pt idx="2735">
                  <c:v>0.99263008489790894</c:v>
                </c:pt>
                <c:pt idx="2736">
                  <c:v>1.016260118256141</c:v>
                </c:pt>
                <c:pt idx="2737">
                  <c:v>1.0395157871343361</c:v>
                </c:pt>
                <c:pt idx="2738">
                  <c:v>1.0623901772499402</c:v>
                </c:pt>
                <c:pt idx="2739">
                  <c:v>1.0848765112503167</c:v>
                </c:pt>
                <c:pt idx="2740">
                  <c:v>1.1069681506775209</c:v>
                </c:pt>
                <c:pt idx="2741">
                  <c:v>1.1286585978841468</c:v>
                </c:pt>
                <c:pt idx="2742">
                  <c:v>1.1499414978998295</c:v>
                </c:pt>
                <c:pt idx="2743">
                  <c:v>1.170810640247768</c:v>
                </c:pt>
                <c:pt idx="2744">
                  <c:v>1.191259960710771</c:v>
                </c:pt>
                <c:pt idx="2745">
                  <c:v>1.2112835430464139</c:v>
                </c:pt>
                <c:pt idx="2746">
                  <c:v>1.2308756206508407</c:v>
                </c:pt>
                <c:pt idx="2747">
                  <c:v>1.2500305781706456</c:v>
                </c:pt>
                <c:pt idx="2748">
                  <c:v>1.2687429530625312</c:v>
                </c:pt>
                <c:pt idx="2749">
                  <c:v>1.2870074371002256</c:v>
                </c:pt>
                <c:pt idx="2750">
                  <c:v>1.304818877828386</c:v>
                </c:pt>
                <c:pt idx="2751">
                  <c:v>1.3221722799629556</c:v>
                </c:pt>
                <c:pt idx="2752">
                  <c:v>1.3390628067377686</c:v>
                </c:pt>
                <c:pt idx="2753">
                  <c:v>1.355485781196905</c:v>
                </c:pt>
                <c:pt idx="2754">
                  <c:v>1.3714366874325965</c:v>
                </c:pt>
                <c:pt idx="2755">
                  <c:v>1.3869111717683678</c:v>
                </c:pt>
                <c:pt idx="2756">
                  <c:v>1.40190504388702</c:v>
                </c:pt>
                <c:pt idx="2757">
                  <c:v>1.4164142779033067</c:v>
                </c:pt>
                <c:pt idx="2758">
                  <c:v>1.4304350133809711</c:v>
                </c:pt>
                <c:pt idx="2759">
                  <c:v>1.4439635562939901</c:v>
                </c:pt>
                <c:pt idx="2760">
                  <c:v>1.4569963799317469</c:v>
                </c:pt>
                <c:pt idx="2761">
                  <c:v>1.4695301257479301</c:v>
                </c:pt>
                <c:pt idx="2762">
                  <c:v>1.4815616041530477</c:v>
                </c:pt>
                <c:pt idx="2763">
                  <c:v>1.4930877952503776</c:v>
                </c:pt>
                <c:pt idx="2764">
                  <c:v>1.5041058495151665</c:v>
                </c:pt>
                <c:pt idx="2765">
                  <c:v>1.5146130884170195</c:v>
                </c:pt>
                <c:pt idx="2766">
                  <c:v>1.5246070049853335</c:v>
                </c:pt>
                <c:pt idx="2767">
                  <c:v>1.5340852643177501</c:v>
                </c:pt>
                <c:pt idx="2768">
                  <c:v>1.5430457040315113</c:v>
                </c:pt>
                <c:pt idx="2769">
                  <c:v>1.5514863346576673</c:v>
                </c:pt>
                <c:pt idx="2770">
                  <c:v>1.5594053399781698</c:v>
                </c:pt>
                <c:pt idx="2771">
                  <c:v>1.5668010773058119</c:v>
                </c:pt>
                <c:pt idx="2772">
                  <c:v>1.5736720777069952</c:v>
                </c:pt>
                <c:pt idx="2773">
                  <c:v>1.5800170461674101</c:v>
                </c:pt>
                <c:pt idx="2774">
                  <c:v>1.5858348617006339</c:v>
                </c:pt>
                <c:pt idx="2775">
                  <c:v>1.5911245773997511</c:v>
                </c:pt>
                <c:pt idx="2776">
                  <c:v>1.5958854204320427</c:v>
                </c:pt>
                <c:pt idx="2777">
                  <c:v>1.6001167919768997</c:v>
                </c:pt>
                <c:pt idx="2778">
                  <c:v>1.6038182671070045</c:v>
                </c:pt>
                <c:pt idx="2779">
                  <c:v>1.6069895946130264</c:v>
                </c:pt>
                <c:pt idx="2780">
                  <c:v>1.6096306967718983</c:v>
                </c:pt>
                <c:pt idx="2781">
                  <c:v>1.6117416690588995</c:v>
                </c:pt>
                <c:pt idx="2782">
                  <c:v>1.6133227798037273</c:v>
                </c:pt>
                <c:pt idx="2783">
                  <c:v>1.6143744697907778</c:v>
                </c:pt>
                <c:pt idx="2784">
                  <c:v>1.6148973518038525</c:v>
                </c:pt>
                <c:pt idx="2785">
                  <c:v>1.6148922101155578</c:v>
                </c:pt>
                <c:pt idx="2786">
                  <c:v>1.6143599999216476</c:v>
                </c:pt>
                <c:pt idx="2787">
                  <c:v>1.6133018467206082</c:v>
                </c:pt>
                <c:pt idx="2788">
                  <c:v>1.6117190456387678</c:v>
                </c:pt>
                <c:pt idx="2789">
                  <c:v>1.6096130607012746</c:v>
                </c:pt>
                <c:pt idx="2790">
                  <c:v>1.6069855240492605</c:v>
                </c:pt>
                <c:pt idx="2791">
                  <c:v>1.6038382351035354</c:v>
                </c:pt>
                <c:pt idx="2792">
                  <c:v>1.6001731596752136</c:v>
                </c:pt>
                <c:pt idx="2793">
                  <c:v>1.595992429023624</c:v>
                </c:pt>
                <c:pt idx="2794">
                  <c:v>1.5912983388619326</c:v>
                </c:pt>
                <c:pt idx="2795">
                  <c:v>1.5860933483108761</c:v>
                </c:pt>
                <c:pt idx="2796">
                  <c:v>1.5803800788010542</c:v>
                </c:pt>
                <c:pt idx="2797">
                  <c:v>1.5741613129242278</c:v>
                </c:pt>
                <c:pt idx="2798">
                  <c:v>1.567439993234103</c:v>
                </c:pt>
                <c:pt idx="2799">
                  <c:v>1.5602192209970451</c:v>
                </c:pt>
                <c:pt idx="2800">
                  <c:v>1.5525022548932703</c:v>
                </c:pt>
                <c:pt idx="2801">
                  <c:v>1.5442925096689948</c:v>
                </c:pt>
                <c:pt idx="2802">
                  <c:v>1.5355935547400958</c:v>
                </c:pt>
                <c:pt idx="2803">
                  <c:v>1.5264091127477721</c:v>
                </c:pt>
                <c:pt idx="2804">
                  <c:v>1.5167430580668519</c:v>
                </c:pt>
                <c:pt idx="2805">
                  <c:v>1.5065994152672366</c:v>
                </c:pt>
                <c:pt idx="2806">
                  <c:v>1.4959823575291302</c:v>
                </c:pt>
                <c:pt idx="2807">
                  <c:v>1.4848962050125802</c:v>
                </c:pt>
                <c:pt idx="2808">
                  <c:v>1.4733454231820409</c:v>
                </c:pt>
                <c:pt idx="2809">
                  <c:v>1.4613346210865046</c:v>
                </c:pt>
                <c:pt idx="2810">
                  <c:v>1.4488685495959062</c:v>
                </c:pt>
                <c:pt idx="2811">
                  <c:v>1.4359520995943622</c:v>
                </c:pt>
                <c:pt idx="2812">
                  <c:v>1.4225903001310571</c:v>
                </c:pt>
                <c:pt idx="2813">
                  <c:v>1.408788316529304</c:v>
                </c:pt>
                <c:pt idx="2814">
                  <c:v>1.3945514484545976</c:v>
                </c:pt>
                <c:pt idx="2815">
                  <c:v>1.3798851279422459</c:v>
                </c:pt>
                <c:pt idx="2816">
                  <c:v>1.3647949173854181</c:v>
                </c:pt>
                <c:pt idx="2817">
                  <c:v>1.3492865074842444</c:v>
                </c:pt>
                <c:pt idx="2818">
                  <c:v>1.3333657151567813</c:v>
                </c:pt>
                <c:pt idx="2819">
                  <c:v>1.3170384814124663</c:v>
                </c:pt>
                <c:pt idx="2820">
                  <c:v>1.3003108691890295</c:v>
                </c:pt>
                <c:pt idx="2821">
                  <c:v>1.2831890611534198</c:v>
                </c:pt>
                <c:pt idx="2822">
                  <c:v>1.2656793574676954</c:v>
                </c:pt>
                <c:pt idx="2823">
                  <c:v>1.2477881735205198</c:v>
                </c:pt>
                <c:pt idx="2824">
                  <c:v>1.2295220376252234</c:v>
                </c:pt>
                <c:pt idx="2825">
                  <c:v>1.2108875886851194</c:v>
                </c:pt>
                <c:pt idx="2826">
                  <c:v>1.1918915738269777</c:v>
                </c:pt>
                <c:pt idx="2827">
                  <c:v>1.1725408460033961</c:v>
                </c:pt>
                <c:pt idx="2828">
                  <c:v>1.152842361564991</c:v>
                </c:pt>
                <c:pt idx="2829">
                  <c:v>1.1328031778032488</c:v>
                </c:pt>
                <c:pt idx="2830">
                  <c:v>1.1124304504648537</c:v>
                </c:pt>
                <c:pt idx="2831">
                  <c:v>1.0917314312383166</c:v>
                </c:pt>
                <c:pt idx="2832">
                  <c:v>1.0707134652139083</c:v>
                </c:pt>
                <c:pt idx="2833">
                  <c:v>1.0493839883176408</c:v>
                </c:pt>
                <c:pt idx="2834">
                  <c:v>1.0277505247202887</c:v>
                </c:pt>
                <c:pt idx="2835">
                  <c:v>1.0058206842222108</c:v>
                </c:pt>
                <c:pt idx="2836">
                  <c:v>0.9836021596149882</c:v>
                </c:pt>
                <c:pt idx="2837">
                  <c:v>0.96110272402077002</c:v>
                </c:pt>
                <c:pt idx="2838">
                  <c:v>0.93833022821017942</c:v>
                </c:pt>
                <c:pt idx="2839">
                  <c:v>0.91529259789966755</c:v>
                </c:pt>
                <c:pt idx="2840">
                  <c:v>0.89199783102937058</c:v>
                </c:pt>
                <c:pt idx="2841">
                  <c:v>0.86845399502225462</c:v>
                </c:pt>
                <c:pt idx="2842">
                  <c:v>0.84466922402558553</c:v>
                </c:pt>
                <c:pt idx="2843">
                  <c:v>0.82065171613551247</c:v>
                </c:pt>
                <c:pt idx="2844">
                  <c:v>0.79640973060589448</c:v>
                </c:pt>
                <c:pt idx="2845">
                  <c:v>0.7719515850420976</c:v>
                </c:pt>
                <c:pt idx="2846">
                  <c:v>0.74728565258097135</c:v>
                </c:pt>
                <c:pt idx="2847">
                  <c:v>0.72242035905760038</c:v>
                </c:pt>
                <c:pt idx="2848">
                  <c:v>0.69736418016011681</c:v>
                </c:pt>
                <c:pt idx="2849">
                  <c:v>0.67212563857331042</c:v>
                </c:pt>
                <c:pt idx="2850">
                  <c:v>0.64671330111211855</c:v>
                </c:pt>
                <c:pt idx="2851">
                  <c:v>0.62113577584578861</c:v>
                </c:pt>
                <c:pt idx="2852">
                  <c:v>0.59540170921387869</c:v>
                </c:pt>
                <c:pt idx="2853">
                  <c:v>0.5695197831348332</c:v>
                </c:pt>
                <c:pt idx="2854">
                  <c:v>0.54349871210836032</c:v>
                </c:pt>
                <c:pt idx="2855">
                  <c:v>0.51734724031220625</c:v>
                </c:pt>
                <c:pt idx="2856">
                  <c:v>0.49107413869463845</c:v>
                </c:pt>
                <c:pt idx="2857">
                  <c:v>0.46468820206336947</c:v>
                </c:pt>
                <c:pt idx="2858">
                  <c:v>0.43819824617201192</c:v>
                </c:pt>
                <c:pt idx="2859">
                  <c:v>0.41161310480485624</c:v>
                </c:pt>
                <c:pt idx="2860">
                  <c:v>0.38494162686114153</c:v>
                </c:pt>
                <c:pt idx="2861">
                  <c:v>0.35819267343954175</c:v>
                </c:pt>
                <c:pt idx="2862">
                  <c:v>0.33137511492410637</c:v>
                </c:pt>
                <c:pt idx="2863">
                  <c:v>0.30449782807221898</c:v>
                </c:pt>
                <c:pt idx="2864">
                  <c:v>0.27756969310589463</c:v>
                </c:pt>
                <c:pt idx="2865">
                  <c:v>0.25059959080712396</c:v>
                </c:pt>
                <c:pt idx="2866">
                  <c:v>0.22359639961834438</c:v>
                </c:pt>
                <c:pt idx="2867">
                  <c:v>0.19656899274880352</c:v>
                </c:pt>
                <c:pt idx="2868">
                  <c:v>0.16952623528796334</c:v>
                </c:pt>
                <c:pt idx="2869">
                  <c:v>0.14247698132670278</c:v>
                </c:pt>
                <c:pt idx="2870">
                  <c:v>0.11543007108738355</c:v>
                </c:pt>
                <c:pt idx="2871">
                  <c:v>8.8394328063465394E-2</c:v>
                </c:pt>
                <c:pt idx="2872">
                  <c:v>6.1378556169959214E-2</c:v>
                </c:pt>
                <c:pt idx="2873">
                  <c:v>3.4391536905246309E-2</c:v>
                </c:pt>
                <c:pt idx="2874">
                  <c:v>7.442026525456163E-3</c:v>
                </c:pt>
                <c:pt idx="2875">
                  <c:v>-1.9461246767931473E-2</c:v>
                </c:pt>
                <c:pt idx="2876">
                  <c:v>-4.6309585626142784E-2</c:v>
                </c:pt>
                <c:pt idx="2877">
                  <c:v>-7.3094326336086091E-2</c:v>
                </c:pt>
                <c:pt idx="2878">
                  <c:v>-9.9806841587376877E-2</c:v>
                </c:pt>
                <c:pt idx="2879">
                  <c:v>-0.12643854322232673</c:v>
                </c:pt>
                <c:pt idx="2880">
                  <c:v>-0.15298088496839779</c:v>
                </c:pt>
                <c:pt idx="2881">
                  <c:v>-0.1794253651518945</c:v>
                </c:pt>
                <c:pt idx="2882">
                  <c:v>-0.20576352939227233</c:v>
                </c:pt>
                <c:pt idx="2883">
                  <c:v>-0.23198697327608159</c:v>
                </c:pt>
                <c:pt idx="2884">
                  <c:v>-0.25808734500987979</c:v>
                </c:pt>
                <c:pt idx="2885">
                  <c:v>-0.28405634805107288</c:v>
                </c:pt>
                <c:pt idx="2886">
                  <c:v>-0.30988574371602617</c:v>
                </c:pt>
                <c:pt idx="2887">
                  <c:v>-0.33556735376457009</c:v>
                </c:pt>
                <c:pt idx="2888">
                  <c:v>-0.36109306296011112</c:v>
                </c:pt>
                <c:pt idx="2889">
                  <c:v>-0.38645482160455474</c:v>
                </c:pt>
                <c:pt idx="2890">
                  <c:v>-0.41164464804727319</c:v>
                </c:pt>
                <c:pt idx="2891">
                  <c:v>-0.43665463116727865</c:v>
                </c:pt>
                <c:pt idx="2892">
                  <c:v>-0.46147693282799856</c:v>
                </c:pt>
                <c:pt idx="2893">
                  <c:v>-0.48610379030369183</c:v>
                </c:pt>
                <c:pt idx="2894">
                  <c:v>-0.51052751867693469</c:v>
                </c:pt>
                <c:pt idx="2895">
                  <c:v>-0.53474051320631266</c:v>
                </c:pt>
                <c:pt idx="2896">
                  <c:v>-0.55873525166381</c:v>
                </c:pt>
                <c:pt idx="2897">
                  <c:v>-0.5825042966408579</c:v>
                </c:pt>
                <c:pt idx="2898">
                  <c:v>-0.60604029782268787</c:v>
                </c:pt>
                <c:pt idx="2899">
                  <c:v>-0.62933599423004549</c:v>
                </c:pt>
                <c:pt idx="2900">
                  <c:v>-0.65238421642780287</c:v>
                </c:pt>
                <c:pt idx="2901">
                  <c:v>-0.67517788869961037</c:v>
                </c:pt>
                <c:pt idx="2902">
                  <c:v>-0.69771003118808728</c:v>
                </c:pt>
                <c:pt idx="2903">
                  <c:v>-0.71997376199980023</c:v>
                </c:pt>
                <c:pt idx="2904">
                  <c:v>-0.741962299274598</c:v>
                </c:pt>
                <c:pt idx="2905">
                  <c:v>-0.76366896321838118</c:v>
                </c:pt>
                <c:pt idx="2906">
                  <c:v>-0.78508717809903339</c:v>
                </c:pt>
                <c:pt idx="2907">
                  <c:v>-0.80621047420468495</c:v>
                </c:pt>
                <c:pt idx="2908">
                  <c:v>-0.82703248976393251</c:v>
                </c:pt>
                <c:pt idx="2909">
                  <c:v>-0.84754697282727354</c:v>
                </c:pt>
                <c:pt idx="2910">
                  <c:v>-0.86774778310935274</c:v>
                </c:pt>
                <c:pt idx="2911">
                  <c:v>-0.88762889379138599</c:v>
                </c:pt>
                <c:pt idx="2912">
                  <c:v>-0.90718439328336475</c:v>
                </c:pt>
                <c:pt idx="2913">
                  <c:v>-0.92640848694543532</c:v>
                </c:pt>
                <c:pt idx="2914">
                  <c:v>-0.94529549876796104</c:v>
                </c:pt>
                <c:pt idx="2915">
                  <c:v>-0.96383987300986829</c:v>
                </c:pt>
                <c:pt idx="2916">
                  <c:v>-0.98203617579481284</c:v>
                </c:pt>
                <c:pt idx="2917">
                  <c:v>-0.9998790966646266</c:v>
                </c:pt>
                <c:pt idx="2918">
                  <c:v>-1.0173634500897151</c:v>
                </c:pt>
                <c:pt idx="2919">
                  <c:v>-1.0344841769359154</c:v>
                </c:pt>
                <c:pt idx="2920">
                  <c:v>-1.0512363458875122</c:v>
                </c:pt>
                <c:pt idx="2921">
                  <c:v>-1.0676151548259314</c:v>
                </c:pt>
                <c:pt idx="2922">
                  <c:v>-1.0836159321637462</c:v>
                </c:pt>
                <c:pt idx="2923">
                  <c:v>-1.099234138133705</c:v>
                </c:pt>
                <c:pt idx="2924">
                  <c:v>-1.1144653660324322</c:v>
                </c:pt>
                <c:pt idx="2925">
                  <c:v>-1.1293053434183988</c:v>
                </c:pt>
                <c:pt idx="2926">
                  <c:v>-1.1437499332639456</c:v>
                </c:pt>
                <c:pt idx="2927">
                  <c:v>-1.1577951350609919</c:v>
                </c:pt>
                <c:pt idx="2928">
                  <c:v>-1.171437085880245</c:v>
                </c:pt>
                <c:pt idx="2929">
                  <c:v>-1.1846720613835608</c:v>
                </c:pt>
                <c:pt idx="2930">
                  <c:v>-1.1974964767892207</c:v>
                </c:pt>
                <c:pt idx="2931">
                  <c:v>-1.2099068877899402</c:v>
                </c:pt>
                <c:pt idx="2932">
                  <c:v>-1.2218999914233957</c:v>
                </c:pt>
                <c:pt idx="2933">
                  <c:v>-1.2334726268950005</c:v>
                </c:pt>
                <c:pt idx="2934">
                  <c:v>-1.2446217763528205</c:v>
                </c:pt>
                <c:pt idx="2935">
                  <c:v>-1.2553445656144144</c:v>
                </c:pt>
                <c:pt idx="2936">
                  <c:v>-1.2656382648455065</c:v>
                </c:pt>
                <c:pt idx="2937">
                  <c:v>-1.27550028919028</c:v>
                </c:pt>
                <c:pt idx="2938">
                  <c:v>-1.2849281993532558</c:v>
                </c:pt>
                <c:pt idx="2939">
                  <c:v>-1.2939197021325457</c:v>
                </c:pt>
                <c:pt idx="2940">
                  <c:v>-1.3024726509045428</c:v>
                </c:pt>
                <c:pt idx="2941">
                  <c:v>-1.3105850460598334</c:v>
                </c:pt>
                <c:pt idx="2942">
                  <c:v>-1.3182550353903679</c:v>
                </c:pt>
                <c:pt idx="2943">
                  <c:v>-1.3254809144278015</c:v>
                </c:pt>
                <c:pt idx="2944">
                  <c:v>-1.3322611267330333</c:v>
                </c:pt>
                <c:pt idx="2945">
                  <c:v>-1.3385942641368778</c:v>
                </c:pt>
                <c:pt idx="2946">
                  <c:v>-1.3444790669319404</c:v>
                </c:pt>
                <c:pt idx="2947">
                  <c:v>-1.3499144240156393</c:v>
                </c:pt>
                <c:pt idx="2948">
                  <c:v>-1.3548993729845327</c:v>
                </c:pt>
                <c:pt idx="2949">
                  <c:v>-1.3594331001798929</c:v>
                </c:pt>
                <c:pt idx="2950">
                  <c:v>-1.3635149406846687</c:v>
                </c:pt>
                <c:pt idx="2951">
                  <c:v>-1.3671443782719024</c:v>
                </c:pt>
                <c:pt idx="2952">
                  <c:v>-1.3703210453047141</c:v>
                </c:pt>
                <c:pt idx="2953">
                  <c:v>-1.3730447225879652</c:v>
                </c:pt>
                <c:pt idx="2954">
                  <c:v>-1.3753153391717374</c:v>
                </c:pt>
                <c:pt idx="2955">
                  <c:v>-1.3771329721067904</c:v>
                </c:pt>
                <c:pt idx="2956">
                  <c:v>-1.3784978461521447</c:v>
                </c:pt>
                <c:pt idx="2957">
                  <c:v>-1.3794103334349939</c:v>
                </c:pt>
                <c:pt idx="2958">
                  <c:v>-1.3798709530631224</c:v>
                </c:pt>
                <c:pt idx="2959">
                  <c:v>-1.3798803706900578</c:v>
                </c:pt>
                <c:pt idx="2960">
                  <c:v>-1.3794393980331743</c:v>
                </c:pt>
                <c:pt idx="2961">
                  <c:v>-1.3785489923449943</c:v>
                </c:pt>
                <c:pt idx="2962">
                  <c:v>-1.3772102558379438</c:v>
                </c:pt>
                <c:pt idx="2963">
                  <c:v>-1.375424435062836</c:v>
                </c:pt>
                <c:pt idx="2964">
                  <c:v>-1.3731929202413602</c:v>
                </c:pt>
                <c:pt idx="2965">
                  <c:v>-1.3705172445528968</c:v>
                </c:pt>
                <c:pt idx="2966">
                  <c:v>-1.3673990833759424</c:v>
                </c:pt>
                <c:pt idx="2967">
                  <c:v>-1.3638402534845164</c:v>
                </c:pt>
                <c:pt idx="2968">
                  <c:v>-1.359842712199848</c:v>
                </c:pt>
                <c:pt idx="2969">
                  <c:v>-1.3554085564977292</c:v>
                </c:pt>
                <c:pt idx="2970">
                  <c:v>-1.3505400220719062</c:v>
                </c:pt>
                <c:pt idx="2971">
                  <c:v>-1.3452394823538862</c:v>
                </c:pt>
                <c:pt idx="2972">
                  <c:v>-1.3395094474895322</c:v>
                </c:pt>
                <c:pt idx="2973">
                  <c:v>-1.3333525632729273</c:v>
                </c:pt>
                <c:pt idx="2974">
                  <c:v>-1.3267716100378548</c:v>
                </c:pt>
                <c:pt idx="2975">
                  <c:v>-1.319769501507394</c:v>
                </c:pt>
                <c:pt idx="2976">
                  <c:v>-1.3123492836020323</c:v>
                </c:pt>
                <c:pt idx="2977">
                  <c:v>-1.3045141332068009</c:v>
                </c:pt>
                <c:pt idx="2978">
                  <c:v>-1.2962673568978833</c:v>
                </c:pt>
                <c:pt idx="2979">
                  <c:v>-1.2876123896292089</c:v>
                </c:pt>
                <c:pt idx="2980">
                  <c:v>-1.2785527933794893</c:v>
                </c:pt>
                <c:pt idx="2981">
                  <c:v>-1.2690922557602553</c:v>
                </c:pt>
                <c:pt idx="2982">
                  <c:v>-1.2592345885854115</c:v>
                </c:pt>
                <c:pt idx="2983">
                  <c:v>-1.2489837264028345</c:v>
                </c:pt>
                <c:pt idx="2984">
                  <c:v>-1.2383437249885358</c:v>
                </c:pt>
                <c:pt idx="2985">
                  <c:v>-1.2273187598040078</c:v>
                </c:pt>
                <c:pt idx="2986">
                  <c:v>-1.2159131244172801</c:v>
                </c:pt>
                <c:pt idx="2987">
                  <c:v>-1.2041312288882973</c:v>
                </c:pt>
                <c:pt idx="2988">
                  <c:v>-1.1919775981191461</c:v>
                </c:pt>
                <c:pt idx="2989">
                  <c:v>-1.1794568701698176</c:v>
                </c:pt>
                <c:pt idx="2990">
                  <c:v>-1.1665737945400756</c:v>
                </c:pt>
                <c:pt idx="2991">
                  <c:v>-1.1533332304180508</c:v>
                </c:pt>
                <c:pt idx="2992">
                  <c:v>-1.1397401448961737</c:v>
                </c:pt>
                <c:pt idx="2993">
                  <c:v>-1.1257996111551438</c:v>
                </c:pt>
                <c:pt idx="2994">
                  <c:v>-1.1115168066165313</c:v>
                </c:pt>
                <c:pt idx="2995">
                  <c:v>-1.0968970110647209</c:v>
                </c:pt>
                <c:pt idx="2996">
                  <c:v>-1.0819456047387908</c:v>
                </c:pt>
                <c:pt idx="2997">
                  <c:v>-1.0666680663950732</c:v>
                </c:pt>
                <c:pt idx="2998">
                  <c:v>-1.0510699713410845</c:v>
                </c:pt>
                <c:pt idx="2999">
                  <c:v>-1.0351569894414732</c:v>
                </c:pt>
                <c:pt idx="3000">
                  <c:v>-1.0189348830966711</c:v>
                </c:pt>
                <c:pt idx="3001">
                  <c:v>-1.0024095051950483</c:v>
                </c:pt>
                <c:pt idx="3002">
                  <c:v>-0.98558679703920415</c:v>
                </c:pt>
                <c:pt idx="3003">
                  <c:v>-0.96847278624714506</c:v>
                </c:pt>
                <c:pt idx="3004">
                  <c:v>-0.95107358462910696</c:v>
                </c:pt>
                <c:pt idx="3005">
                  <c:v>-0.93339538604068339</c:v>
                </c:pt>
                <c:pt idx="3006">
                  <c:v>-0.91544446421307801</c:v>
                </c:pt>
                <c:pt idx="3007">
                  <c:v>-0.8972271705612318</c:v>
                </c:pt>
                <c:pt idx="3008">
                  <c:v>-0.87874993197053208</c:v>
                </c:pt>
                <c:pt idx="3009">
                  <c:v>-0.86001924856284639</c:v>
                </c:pt>
                <c:pt idx="3010">
                  <c:v>-0.84104169144275054</c:v>
                </c:pt>
                <c:pt idx="3011">
                  <c:v>-0.82182390042461795</c:v>
                </c:pt>
                <c:pt idx="3012">
                  <c:v>-0.80237258174143133</c:v>
                </c:pt>
                <c:pt idx="3013">
                  <c:v>-0.78269450573598531</c:v>
                </c:pt>
                <c:pt idx="3014">
                  <c:v>-0.76279650453537229</c:v>
                </c:pt>
                <c:pt idx="3015">
                  <c:v>-0.74268546970953198</c:v>
                </c:pt>
                <c:pt idx="3016">
                  <c:v>-0.72236834991459875</c:v>
                </c:pt>
                <c:pt idx="3017">
                  <c:v>-0.70185214852183331</c:v>
                </c:pt>
                <c:pt idx="3018">
                  <c:v>-0.68114392123304601</c:v>
                </c:pt>
                <c:pt idx="3019">
                  <c:v>-0.66025077368320317</c:v>
                </c:pt>
                <c:pt idx="3020">
                  <c:v>-0.63917985903110797</c:v>
                </c:pt>
                <c:pt idx="3021">
                  <c:v>-0.61793837553885389</c:v>
                </c:pt>
                <c:pt idx="3022">
                  <c:v>-0.59653356414096526</c:v>
                </c:pt>
                <c:pt idx="3023">
                  <c:v>-0.57497270600403128</c:v>
                </c:pt>
                <c:pt idx="3024">
                  <c:v>-0.55326312007758871</c:v>
                </c:pt>
                <c:pt idx="3025">
                  <c:v>-0.53141216063704733</c:v>
                </c:pt>
                <c:pt idx="3026">
                  <c:v>-0.50942721481960196</c:v>
                </c:pt>
                <c:pt idx="3027">
                  <c:v>-0.48731570015381581</c:v>
                </c:pt>
                <c:pt idx="3028">
                  <c:v>-0.46508506208379868</c:v>
                </c:pt>
                <c:pt idx="3029">
                  <c:v>-0.44274277148865748</c:v>
                </c:pt>
                <c:pt idx="3030">
                  <c:v>-0.42029632219821944</c:v>
                </c:pt>
                <c:pt idx="3031">
                  <c:v>-0.39775322850565675</c:v>
                </c:pt>
                <c:pt idx="3032">
                  <c:v>-0.37512102267806197</c:v>
                </c:pt>
                <c:pt idx="3033">
                  <c:v>-0.3524072524654781</c:v>
                </c:pt>
                <c:pt idx="3034">
                  <c:v>-0.32961947860950508</c:v>
                </c:pt>
                <c:pt idx="3035">
                  <c:v>-0.30676527235210405</c:v>
                </c:pt>
                <c:pt idx="3036">
                  <c:v>-0.28385221294552443</c:v>
                </c:pt>
                <c:pt idx="3037">
                  <c:v>-0.26088788516402656</c:v>
                </c:pt>
                <c:pt idx="3038">
                  <c:v>-0.23787987681839223</c:v>
                </c:pt>
                <c:pt idx="3039">
                  <c:v>-0.21483577627383332</c:v>
                </c:pt>
                <c:pt idx="3040">
                  <c:v>-0.19176316997234755</c:v>
                </c:pt>
                <c:pt idx="3041">
                  <c:v>-0.16866963995999421</c:v>
                </c:pt>
                <c:pt idx="3042">
                  <c:v>-0.14556276142020552</c:v>
                </c:pt>
                <c:pt idx="3043">
                  <c:v>-0.12245010021373037</c:v>
                </c:pt>
                <c:pt idx="3044">
                  <c:v>-9.9339210426115807E-2</c:v>
                </c:pt>
                <c:pt idx="3045">
                  <c:v>-7.6237631923370949E-2</c:v>
                </c:pt>
                <c:pt idx="3046">
                  <c:v>-5.3152887916776644E-2</c:v>
                </c:pt>
                <c:pt idx="3047">
                  <c:v>-3.0092482537482815E-2</c:v>
                </c:pt>
                <c:pt idx="3048">
                  <c:v>-7.0638984217226289E-3</c:v>
                </c:pt>
                <c:pt idx="3049">
                  <c:v>1.59254056925975E-2</c:v>
                </c:pt>
                <c:pt idx="3050">
                  <c:v>3.8867997357167304E-2</c:v>
                </c:pt>
                <c:pt idx="3051">
                  <c:v>6.1756472791652424E-2</c:v>
                </c:pt>
                <c:pt idx="3052">
                  <c:v>8.4583459248377554E-2</c:v>
                </c:pt>
                <c:pt idx="3053">
                  <c:v>0.10734161736270052</c:v>
                </c:pt>
                <c:pt idx="3054">
                  <c:v>0.13002364348815657</c:v>
                </c:pt>
                <c:pt idx="3055">
                  <c:v>0.15262227201578127</c:v>
                </c:pt>
                <c:pt idx="3056">
                  <c:v>0.17513027767676845</c:v>
                </c:pt>
                <c:pt idx="3057">
                  <c:v>0.19754047782793704</c:v>
                </c:pt>
                <c:pt idx="3058">
                  <c:v>0.21984573471897897</c:v>
                </c:pt>
                <c:pt idx="3059">
                  <c:v>0.24203895774110462</c:v>
                </c:pt>
                <c:pt idx="3060">
                  <c:v>0.26411310565614354</c:v>
                </c:pt>
                <c:pt idx="3061">
                  <c:v>0.28606118880560083</c:v>
                </c:pt>
                <c:pt idx="3062">
                  <c:v>0.30787627129880463</c:v>
                </c:pt>
                <c:pt idx="3063">
                  <c:v>0.32955147317960293</c:v>
                </c:pt>
                <c:pt idx="3064">
                  <c:v>0.35107997257083295</c:v>
                </c:pt>
                <c:pt idx="3065">
                  <c:v>0.37245500779609031</c:v>
                </c:pt>
                <c:pt idx="3066">
                  <c:v>0.39366987947784504</c:v>
                </c:pt>
                <c:pt idx="3067">
                  <c:v>0.41471795261157424</c:v>
                </c:pt>
                <c:pt idx="3068">
                  <c:v>0.43559265861504443</c:v>
                </c:pt>
                <c:pt idx="3069">
                  <c:v>0.456287497352306</c:v>
                </c:pt>
                <c:pt idx="3070">
                  <c:v>0.47679603913161067</c:v>
                </c:pt>
                <c:pt idx="3071">
                  <c:v>0.4971119266767754</c:v>
                </c:pt>
                <c:pt idx="3072">
                  <c:v>0.51722887707130805</c:v>
                </c:pt>
                <c:pt idx="3073">
                  <c:v>0.53714068367481949</c:v>
                </c:pt>
                <c:pt idx="3074">
                  <c:v>0.55684121801104036</c:v>
                </c:pt>
                <c:pt idx="3075">
                  <c:v>0.5763244316268874</c:v>
                </c:pt>
                <c:pt idx="3076">
                  <c:v>0.59558435792208597</c:v>
                </c:pt>
                <c:pt idx="3077">
                  <c:v>0.61461511394880719</c:v>
                </c:pt>
                <c:pt idx="3078">
                  <c:v>0.63341090218068874</c:v>
                </c:pt>
                <c:pt idx="3079">
                  <c:v>0.65196601225082174</c:v>
                </c:pt>
                <c:pt idx="3080">
                  <c:v>0.67027482265810978</c:v>
                </c:pt>
                <c:pt idx="3081">
                  <c:v>0.68833180244160874</c:v>
                </c:pt>
                <c:pt idx="3082">
                  <c:v>0.70613151282225173</c:v>
                </c:pt>
                <c:pt idx="3083">
                  <c:v>0.72366860881149642</c:v>
                </c:pt>
                <c:pt idx="3084">
                  <c:v>0.74093784078648584</c:v>
                </c:pt>
                <c:pt idx="3085">
                  <c:v>0.75793405603127029</c:v>
                </c:pt>
                <c:pt idx="3086">
                  <c:v>0.7746522002435563</c:v>
                </c:pt>
                <c:pt idx="3087">
                  <c:v>0.7910873190066543</c:v>
                </c:pt>
                <c:pt idx="3088">
                  <c:v>0.80723455922612797</c:v>
                </c:pt>
                <c:pt idx="3089">
                  <c:v>0.82308917053083852</c:v>
                </c:pt>
                <c:pt idx="3090">
                  <c:v>0.83864650663789553</c:v>
                </c:pt>
                <c:pt idx="3091">
                  <c:v>0.85390202668114723</c:v>
                </c:pt>
                <c:pt idx="3092">
                  <c:v>0.8688512965028945</c:v>
                </c:pt>
                <c:pt idx="3093">
                  <c:v>0.88348998990846572</c:v>
                </c:pt>
                <c:pt idx="3094">
                  <c:v>0.89781388988324062</c:v>
                </c:pt>
                <c:pt idx="3095">
                  <c:v>0.91181888977187764</c:v>
                </c:pt>
                <c:pt idx="3096">
                  <c:v>0.9255009944193513</c:v>
                </c:pt>
                <c:pt idx="3097">
                  <c:v>0.93885632127360219</c:v>
                </c:pt>
                <c:pt idx="3098">
                  <c:v>0.95188110144937454</c:v>
                </c:pt>
                <c:pt idx="3099">
                  <c:v>0.96457168075309785</c:v>
                </c:pt>
                <c:pt idx="3100">
                  <c:v>0.97692452066839819</c:v>
                </c:pt>
                <c:pt idx="3101">
                  <c:v>0.98893619930217846</c:v>
                </c:pt>
                <c:pt idx="3102">
                  <c:v>1.0006034122908489</c:v>
                </c:pt>
                <c:pt idx="3103">
                  <c:v>1.0119229736665964</c:v>
                </c:pt>
                <c:pt idx="3104">
                  <c:v>1.0228918166834193</c:v>
                </c:pt>
                <c:pt idx="3105">
                  <c:v>1.0335069946028015</c:v>
                </c:pt>
                <c:pt idx="3106">
                  <c:v>1.0437656814387546</c:v>
                </c:pt>
                <c:pt idx="3107">
                  <c:v>1.0536651726621433</c:v>
                </c:pt>
                <c:pt idx="3108">
                  <c:v>1.0632028858640368</c:v>
                </c:pt>
                <c:pt idx="3109">
                  <c:v>1.0723763613780828</c:v>
                </c:pt>
                <c:pt idx="3110">
                  <c:v>1.0811832628616347</c:v>
                </c:pt>
                <c:pt idx="3111">
                  <c:v>1.0896213778356103</c:v>
                </c:pt>
                <c:pt idx="3112">
                  <c:v>1.0976886181829191</c:v>
                </c:pt>
                <c:pt idx="3113">
                  <c:v>1.105383020605444</c:v>
                </c:pt>
                <c:pt idx="3114">
                  <c:v>1.1127027470394157</c:v>
                </c:pt>
                <c:pt idx="3115">
                  <c:v>1.1196460850291832</c:v>
                </c:pt>
                <c:pt idx="3116">
                  <c:v>1.1262114480593108</c:v>
                </c:pt>
                <c:pt idx="3117">
                  <c:v>1.132397375844965</c:v>
                </c:pt>
                <c:pt idx="3118">
                  <c:v>1.1382025345805828</c:v>
                </c:pt>
                <c:pt idx="3119">
                  <c:v>1.1436257171468107</c:v>
                </c:pt>
                <c:pt idx="3120">
                  <c:v>1.1486658432757064</c:v>
                </c:pt>
                <c:pt idx="3121">
                  <c:v>1.153321959674267</c:v>
                </c:pt>
                <c:pt idx="3122">
                  <c:v>1.1575932401062676</c:v>
                </c:pt>
                <c:pt idx="3123">
                  <c:v>1.1614789854324921</c:v>
                </c:pt>
                <c:pt idx="3124">
                  <c:v>1.1649786236094024</c:v>
                </c:pt>
                <c:pt idx="3125">
                  <c:v>1.1680917096463475</c:v>
                </c:pt>
                <c:pt idx="3126">
                  <c:v>1.1708179255213504</c:v>
                </c:pt>
                <c:pt idx="3127">
                  <c:v>1.1731570800556335</c:v>
                </c:pt>
                <c:pt idx="3128">
                  <c:v>1.1751091087469543</c:v>
                </c:pt>
                <c:pt idx="3129">
                  <c:v>1.1766740735619068</c:v>
                </c:pt>
                <c:pt idx="3130">
                  <c:v>1.1778521626873144</c:v>
                </c:pt>
                <c:pt idx="3131">
                  <c:v>1.1786436902408743</c:v>
                </c:pt>
                <c:pt idx="3132">
                  <c:v>1.1790490959412325</c:v>
                </c:pt>
                <c:pt idx="3133">
                  <c:v>1.1790689447376441</c:v>
                </c:pt>
                <c:pt idx="3134">
                  <c:v>1.1787039263994428</c:v>
                </c:pt>
                <c:pt idx="3135">
                  <c:v>1.177954855065505</c:v>
                </c:pt>
                <c:pt idx="3136">
                  <c:v>1.1768226687539374</c:v>
                </c:pt>
                <c:pt idx="3137">
                  <c:v>1.1753084288322189</c:v>
                </c:pt>
                <c:pt idx="3138">
                  <c:v>1.1734133194480352</c:v>
                </c:pt>
                <c:pt idx="3139">
                  <c:v>1.1711386469210727</c:v>
                </c:pt>
                <c:pt idx="3140">
                  <c:v>1.168485839096032</c:v>
                </c:pt>
                <c:pt idx="3141">
                  <c:v>1.1654564446571509</c:v>
                </c:pt>
                <c:pt idx="3142">
                  <c:v>1.1620521324045123</c:v>
                </c:pt>
                <c:pt idx="3143">
                  <c:v>1.1582746904924752</c:v>
                </c:pt>
                <c:pt idx="3144">
                  <c:v>1.1541260256305006</c:v>
                </c:pt>
                <c:pt idx="3145">
                  <c:v>1.1496081622467549</c:v>
                </c:pt>
                <c:pt idx="3146">
                  <c:v>1.1447232416147737</c:v>
                </c:pt>
                <c:pt idx="3147">
                  <c:v>1.1394735209435807</c:v>
                </c:pt>
                <c:pt idx="3148">
                  <c:v>1.1338613724316089</c:v>
                </c:pt>
                <c:pt idx="3149">
                  <c:v>1.1278892822848103</c:v>
                </c:pt>
                <c:pt idx="3150">
                  <c:v>1.1215598496992885</c:v>
                </c:pt>
                <c:pt idx="3151">
                  <c:v>1.114875785808946</c:v>
                </c:pt>
                <c:pt idx="3152">
                  <c:v>1.1078399125984504</c:v>
                </c:pt>
                <c:pt idx="3153">
                  <c:v>1.1004551617820171</c:v>
                </c:pt>
                <c:pt idx="3154">
                  <c:v>1.0927245736483731</c:v>
                </c:pt>
                <c:pt idx="3155">
                  <c:v>1.08465129587239</c:v>
                </c:pt>
                <c:pt idx="3156">
                  <c:v>1.0762385822938054</c:v>
                </c:pt>
                <c:pt idx="3157">
                  <c:v>1.0674897916635151</c:v>
                </c:pt>
                <c:pt idx="3158">
                  <c:v>1.058408386357842</c:v>
                </c:pt>
                <c:pt idx="3159">
                  <c:v>1.04899793106137</c:v>
                </c:pt>
                <c:pt idx="3160">
                  <c:v>1.0392620914187074</c:v>
                </c:pt>
                <c:pt idx="3161">
                  <c:v>1.0292046326557798</c:v>
                </c:pt>
                <c:pt idx="3162">
                  <c:v>1.018829418171064</c:v>
                </c:pt>
                <c:pt idx="3163">
                  <c:v>1.0081404080973588</c:v>
                </c:pt>
                <c:pt idx="3164">
                  <c:v>0.99714165783456543</c:v>
                </c:pt>
                <c:pt idx="3165">
                  <c:v>0.98583731655404438</c:v>
                </c:pt>
                <c:pt idx="3166">
                  <c:v>0.9742316256750243</c:v>
                </c:pt>
                <c:pt idx="3167">
                  <c:v>0.96232891731368575</c:v>
                </c:pt>
                <c:pt idx="3168">
                  <c:v>0.95013361270545038</c:v>
                </c:pt>
                <c:pt idx="3169">
                  <c:v>0.93765022060102088</c:v>
                </c:pt>
                <c:pt idx="3170">
                  <c:v>0.92488333563673109</c:v>
                </c:pt>
                <c:pt idx="3171">
                  <c:v>0.91183763667984286</c:v>
                </c:pt>
                <c:pt idx="3172">
                  <c:v>0.89851788514931763</c:v>
                </c:pt>
                <c:pt idx="3173">
                  <c:v>0.88492892331270157</c:v>
                </c:pt>
                <c:pt idx="3174">
                  <c:v>0.8710756725596559</c:v>
                </c:pt>
                <c:pt idx="3175">
                  <c:v>0.8569631316528048</c:v>
                </c:pt>
                <c:pt idx="3176">
                  <c:v>0.84259637495650808</c:v>
                </c:pt>
                <c:pt idx="3177">
                  <c:v>0.82798055064413967</c:v>
                </c:pt>
                <c:pt idx="3178">
                  <c:v>0.81312087888448381</c:v>
                </c:pt>
                <c:pt idx="3179">
                  <c:v>0.79802265000795636</c:v>
                </c:pt>
                <c:pt idx="3180">
                  <c:v>0.78269122265320468</c:v>
                </c:pt>
                <c:pt idx="3181">
                  <c:v>0.76713202189480023</c:v>
                </c:pt>
                <c:pt idx="3182">
                  <c:v>0.75135053735255675</c:v>
                </c:pt>
                <c:pt idx="3183">
                  <c:v>0.73535232128327621</c:v>
                </c:pt>
                <c:pt idx="3184">
                  <c:v>0.71914298665541965</c:v>
                </c:pt>
                <c:pt idx="3185">
                  <c:v>0.70272820520754153</c:v>
                </c:pt>
                <c:pt idx="3186">
                  <c:v>0.68611370549092676</c:v>
                </c:pt>
                <c:pt idx="3187">
                  <c:v>0.66930527089730885</c:v>
                </c:pt>
                <c:pt idx="3188">
                  <c:v>0.65230873767220865</c:v>
                </c:pt>
                <c:pt idx="3189">
                  <c:v>0.63512999291464967</c:v>
                </c:pt>
                <c:pt idx="3190">
                  <c:v>0.61777497256381952</c:v>
                </c:pt>
                <c:pt idx="3191">
                  <c:v>0.6002496593735015</c:v>
                </c:pt>
                <c:pt idx="3192">
                  <c:v>0.58256008087480904</c:v>
                </c:pt>
                <c:pt idx="3193">
                  <c:v>0.56471230732809419</c:v>
                </c:pt>
                <c:pt idx="3194">
                  <c:v>0.54671244966447097</c:v>
                </c:pt>
                <c:pt idx="3195">
                  <c:v>0.52856665741788444</c:v>
                </c:pt>
                <c:pt idx="3196">
                  <c:v>0.51028111664826736</c:v>
                </c:pt>
                <c:pt idx="3197">
                  <c:v>0.4918620478565669</c:v>
                </c:pt>
                <c:pt idx="3198">
                  <c:v>0.47331570389222483</c:v>
                </c:pt>
                <c:pt idx="3199">
                  <c:v>0.45464836785395635</c:v>
                </c:pt>
                <c:pt idx="3200">
                  <c:v>0.43586635098436938</c:v>
                </c:pt>
                <c:pt idx="3201">
                  <c:v>0.41697599055931223</c:v>
                </c:pt>
                <c:pt idx="3202">
                  <c:v>0.39798364777239553</c:v>
                </c:pt>
                <c:pt idx="3203">
                  <c:v>0.37889570561563291</c:v>
                </c:pt>
                <c:pt idx="3204">
                  <c:v>0.35971856675674485</c:v>
                </c:pt>
                <c:pt idx="3205">
                  <c:v>0.34045865141391901</c:v>
                </c:pt>
                <c:pt idx="3206">
                  <c:v>0.32112239522860375</c:v>
                </c:pt>
                <c:pt idx="3207">
                  <c:v>0.3017162471371852</c:v>
                </c:pt>
                <c:pt idx="3208">
                  <c:v>0.28224666724212288</c:v>
                </c:pt>
                <c:pt idx="3209">
                  <c:v>0.2627201246833385</c:v>
                </c:pt>
                <c:pt idx="3210">
                  <c:v>0.2431430955103849</c:v>
                </c:pt>
                <c:pt idx="3211">
                  <c:v>0.22352206055635407</c:v>
                </c:pt>
                <c:pt idx="3212">
                  <c:v>0.20386350331394168</c:v>
                </c:pt>
                <c:pt idx="3213">
                  <c:v>0.18417390781456347</c:v>
                </c:pt>
                <c:pt idx="3214">
                  <c:v>0.16445975651104058</c:v>
                </c:pt>
                <c:pt idx="3215">
                  <c:v>0.1447275281647008</c:v>
                </c:pt>
                <c:pt idx="3216">
                  <c:v>0.12498369573745419</c:v>
                </c:pt>
                <c:pt idx="3217">
                  <c:v>0.10523472428962173</c:v>
                </c:pt>
                <c:pt idx="3218">
                  <c:v>8.5487068884023715E-2</c:v>
                </c:pt>
                <c:pt idx="3219">
                  <c:v>6.574717249727012E-2</c:v>
                </c:pt>
                <c:pt idx="3220">
                  <c:v>4.6021463938643835E-2</c:v>
                </c:pt>
                <c:pt idx="3221">
                  <c:v>2.6316355777452023E-2</c:v>
                </c:pt>
                <c:pt idx="3222">
                  <c:v>6.6382422793343932E-3</c:v>
                </c:pt>
                <c:pt idx="3223">
                  <c:v>-1.3006502647649489E-2</c:v>
                </c:pt>
                <c:pt idx="3224">
                  <c:v>-3.2611527496626179E-2</c:v>
                </c:pt>
                <c:pt idx="3225">
                  <c:v>-5.2170505194458587E-2</c:v>
                </c:pt>
                <c:pt idx="3226">
                  <c:v>-7.1677135122766342E-2</c:v>
                </c:pt>
                <c:pt idx="3227">
                  <c:v>-9.1125145126508336E-2</c:v>
                </c:pt>
                <c:pt idx="3228">
                  <c:v>-0.11050829350977082</c:v>
                </c:pt>
                <c:pt idx="3229">
                  <c:v>-0.12982037101792615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7CF4-4BC6-AC37-87EE72669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346527"/>
        <c:axId val="794652175"/>
      </c:scatterChart>
      <c:valAx>
        <c:axId val="800346527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652175"/>
        <c:crosses val="autoZero"/>
        <c:crossBetween val="midCat"/>
      </c:valAx>
      <c:valAx>
        <c:axId val="79465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346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Sheet4!$B$1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Sheet4!$A$2:$A$7</c:f>
              <c:numCache>
                <c:formatCode>General</c:formatCode>
                <c:ptCount val="6"/>
                <c:pt idx="0">
                  <c:v>0</c:v>
                </c:pt>
                <c:pt idx="1">
                  <c:v>1600</c:v>
                </c:pt>
                <c:pt idx="2">
                  <c:v>3200</c:v>
                </c:pt>
                <c:pt idx="3">
                  <c:v>4800</c:v>
                </c:pt>
                <c:pt idx="4">
                  <c:v>6400</c:v>
                </c:pt>
                <c:pt idx="5">
                  <c:v>8000</c:v>
                </c:pt>
              </c:numCache>
            </c:numRef>
          </c:xVal>
          <c:yVal>
            <c:numRef>
              <c:f>Sheet4!$B$2:$B$7</c:f>
              <c:numCache>
                <c:formatCode>General</c:formatCode>
                <c:ptCount val="6"/>
                <c:pt idx="0">
                  <c:v>0</c:v>
                </c:pt>
                <c:pt idx="1">
                  <c:v>11.36</c:v>
                </c:pt>
                <c:pt idx="2">
                  <c:v>18.88</c:v>
                </c:pt>
                <c:pt idx="3">
                  <c:v>18.88</c:v>
                </c:pt>
                <c:pt idx="4">
                  <c:v>11.36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19-4C47-9290-ABC22F6BE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7103695"/>
        <c:axId val="1207675199"/>
      </c:scatterChart>
      <c:valAx>
        <c:axId val="1067103695"/>
        <c:scaling>
          <c:orientation val="minMax"/>
          <c:max val="8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7675199"/>
        <c:crosses val="autoZero"/>
        <c:crossBetween val="midCat"/>
      </c:valAx>
      <c:valAx>
        <c:axId val="1207675199"/>
        <c:scaling>
          <c:orientation val="minMax"/>
          <c:max val="24"/>
          <c:min val="-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Deflection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1036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Displacement (Damped)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u(t) Damped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Sheet2!$A$2:$A$3231</c:f>
              <c:numCache>
                <c:formatCode>General</c:formatCode>
                <c:ptCount val="323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  <c:pt idx="1502">
                  <c:v>1.502</c:v>
                </c:pt>
                <c:pt idx="1503">
                  <c:v>1.5029999999999999</c:v>
                </c:pt>
                <c:pt idx="1504">
                  <c:v>1.504</c:v>
                </c:pt>
                <c:pt idx="1505">
                  <c:v>1.5049999999999999</c:v>
                </c:pt>
                <c:pt idx="1506">
                  <c:v>1.506</c:v>
                </c:pt>
                <c:pt idx="1507">
                  <c:v>1.5069999999999999</c:v>
                </c:pt>
                <c:pt idx="1508">
                  <c:v>1.508</c:v>
                </c:pt>
                <c:pt idx="1509">
                  <c:v>1.5089999999999999</c:v>
                </c:pt>
                <c:pt idx="1510">
                  <c:v>1.51</c:v>
                </c:pt>
                <c:pt idx="1511">
                  <c:v>1.5109999999999999</c:v>
                </c:pt>
                <c:pt idx="1512">
                  <c:v>1.512</c:v>
                </c:pt>
                <c:pt idx="1513">
                  <c:v>1.5129999999999999</c:v>
                </c:pt>
                <c:pt idx="1514">
                  <c:v>1.514</c:v>
                </c:pt>
                <c:pt idx="1515">
                  <c:v>1.5149999999999999</c:v>
                </c:pt>
                <c:pt idx="1516">
                  <c:v>1.516</c:v>
                </c:pt>
                <c:pt idx="1517">
                  <c:v>1.5169999999999999</c:v>
                </c:pt>
                <c:pt idx="1518">
                  <c:v>1.518</c:v>
                </c:pt>
                <c:pt idx="1519">
                  <c:v>1.5189999999999999</c:v>
                </c:pt>
                <c:pt idx="1520">
                  <c:v>1.52</c:v>
                </c:pt>
                <c:pt idx="1521">
                  <c:v>1.5209999999999999</c:v>
                </c:pt>
                <c:pt idx="1522">
                  <c:v>1.522</c:v>
                </c:pt>
                <c:pt idx="1523">
                  <c:v>1.5229999999999999</c:v>
                </c:pt>
                <c:pt idx="1524">
                  <c:v>1.524</c:v>
                </c:pt>
                <c:pt idx="1525">
                  <c:v>1.5249999999999999</c:v>
                </c:pt>
                <c:pt idx="1526">
                  <c:v>1.526</c:v>
                </c:pt>
                <c:pt idx="1527">
                  <c:v>1.5269999999999999</c:v>
                </c:pt>
                <c:pt idx="1528">
                  <c:v>1.528</c:v>
                </c:pt>
                <c:pt idx="1529">
                  <c:v>1.5289999999999999</c:v>
                </c:pt>
                <c:pt idx="1530">
                  <c:v>1.53</c:v>
                </c:pt>
                <c:pt idx="1531">
                  <c:v>1.5309999999999999</c:v>
                </c:pt>
                <c:pt idx="1532">
                  <c:v>1.532</c:v>
                </c:pt>
                <c:pt idx="1533">
                  <c:v>1.5329999999999999</c:v>
                </c:pt>
                <c:pt idx="1534">
                  <c:v>1.534</c:v>
                </c:pt>
                <c:pt idx="1535">
                  <c:v>1.5349999999999999</c:v>
                </c:pt>
                <c:pt idx="1536">
                  <c:v>1.536</c:v>
                </c:pt>
                <c:pt idx="1537">
                  <c:v>1.5369999999999999</c:v>
                </c:pt>
                <c:pt idx="1538">
                  <c:v>1.538</c:v>
                </c:pt>
                <c:pt idx="1539">
                  <c:v>1.5389999999999999</c:v>
                </c:pt>
                <c:pt idx="1540">
                  <c:v>1.54</c:v>
                </c:pt>
                <c:pt idx="1541">
                  <c:v>1.5409999999999999</c:v>
                </c:pt>
                <c:pt idx="1542">
                  <c:v>1.542</c:v>
                </c:pt>
                <c:pt idx="1543">
                  <c:v>1.5429999999999999</c:v>
                </c:pt>
                <c:pt idx="1544">
                  <c:v>1.544</c:v>
                </c:pt>
                <c:pt idx="1545">
                  <c:v>1.5449999999999999</c:v>
                </c:pt>
                <c:pt idx="1546">
                  <c:v>1.546</c:v>
                </c:pt>
                <c:pt idx="1547">
                  <c:v>1.5469999999999999</c:v>
                </c:pt>
                <c:pt idx="1548">
                  <c:v>1.548</c:v>
                </c:pt>
                <c:pt idx="1549">
                  <c:v>1.5489999999999999</c:v>
                </c:pt>
                <c:pt idx="1550">
                  <c:v>1.55</c:v>
                </c:pt>
                <c:pt idx="1551">
                  <c:v>1.5509999999999999</c:v>
                </c:pt>
                <c:pt idx="1552">
                  <c:v>1.552</c:v>
                </c:pt>
                <c:pt idx="1553">
                  <c:v>1.5529999999999999</c:v>
                </c:pt>
                <c:pt idx="1554">
                  <c:v>1.554</c:v>
                </c:pt>
                <c:pt idx="1555">
                  <c:v>1.5549999999999999</c:v>
                </c:pt>
                <c:pt idx="1556">
                  <c:v>1.556</c:v>
                </c:pt>
                <c:pt idx="1557">
                  <c:v>1.5569999999999999</c:v>
                </c:pt>
                <c:pt idx="1558">
                  <c:v>1.5580000000000001</c:v>
                </c:pt>
                <c:pt idx="1559">
                  <c:v>1.5589999999999999</c:v>
                </c:pt>
                <c:pt idx="1560">
                  <c:v>1.56</c:v>
                </c:pt>
                <c:pt idx="1561">
                  <c:v>1.5609999999999999</c:v>
                </c:pt>
                <c:pt idx="1562">
                  <c:v>1.5620000000000001</c:v>
                </c:pt>
                <c:pt idx="1563">
                  <c:v>1.5629999999999999</c:v>
                </c:pt>
                <c:pt idx="1564">
                  <c:v>1.5640000000000001</c:v>
                </c:pt>
                <c:pt idx="1565">
                  <c:v>1.5649999999999999</c:v>
                </c:pt>
                <c:pt idx="1566">
                  <c:v>1.5660000000000001</c:v>
                </c:pt>
                <c:pt idx="1567">
                  <c:v>1.5669999999999999</c:v>
                </c:pt>
                <c:pt idx="1568">
                  <c:v>1.5680000000000001</c:v>
                </c:pt>
                <c:pt idx="1569">
                  <c:v>1.569</c:v>
                </c:pt>
                <c:pt idx="1570">
                  <c:v>1.57</c:v>
                </c:pt>
                <c:pt idx="1571">
                  <c:v>1.571</c:v>
                </c:pt>
                <c:pt idx="1572">
                  <c:v>1.5720000000000001</c:v>
                </c:pt>
                <c:pt idx="1573">
                  <c:v>1.573</c:v>
                </c:pt>
                <c:pt idx="1574">
                  <c:v>1.5740000000000001</c:v>
                </c:pt>
                <c:pt idx="1575">
                  <c:v>1.575</c:v>
                </c:pt>
                <c:pt idx="1576">
                  <c:v>1.5760000000000001</c:v>
                </c:pt>
                <c:pt idx="1577">
                  <c:v>1.577</c:v>
                </c:pt>
                <c:pt idx="1578">
                  <c:v>1.5780000000000001</c:v>
                </c:pt>
                <c:pt idx="1579">
                  <c:v>1.579</c:v>
                </c:pt>
                <c:pt idx="1580">
                  <c:v>1.58</c:v>
                </c:pt>
                <c:pt idx="1581">
                  <c:v>1.581</c:v>
                </c:pt>
                <c:pt idx="1582">
                  <c:v>1.5820000000000001</c:v>
                </c:pt>
                <c:pt idx="1583">
                  <c:v>1.583</c:v>
                </c:pt>
                <c:pt idx="1584">
                  <c:v>1.5840000000000001</c:v>
                </c:pt>
                <c:pt idx="1585">
                  <c:v>1.585</c:v>
                </c:pt>
                <c:pt idx="1586">
                  <c:v>1.5860000000000001</c:v>
                </c:pt>
                <c:pt idx="1587">
                  <c:v>1.587</c:v>
                </c:pt>
                <c:pt idx="1588">
                  <c:v>1.5880000000000001</c:v>
                </c:pt>
                <c:pt idx="1589">
                  <c:v>1.589</c:v>
                </c:pt>
                <c:pt idx="1590">
                  <c:v>1.59</c:v>
                </c:pt>
                <c:pt idx="1591">
                  <c:v>1.591</c:v>
                </c:pt>
                <c:pt idx="1592">
                  <c:v>1.5920000000000001</c:v>
                </c:pt>
                <c:pt idx="1593">
                  <c:v>1.593</c:v>
                </c:pt>
                <c:pt idx="1594">
                  <c:v>1.5940000000000001</c:v>
                </c:pt>
                <c:pt idx="1595">
                  <c:v>1.595</c:v>
                </c:pt>
                <c:pt idx="1596">
                  <c:v>1.5960000000000001</c:v>
                </c:pt>
                <c:pt idx="1597">
                  <c:v>1.597</c:v>
                </c:pt>
                <c:pt idx="1598">
                  <c:v>1.5980000000000001</c:v>
                </c:pt>
                <c:pt idx="1599">
                  <c:v>1.599</c:v>
                </c:pt>
                <c:pt idx="1600">
                  <c:v>1.6</c:v>
                </c:pt>
                <c:pt idx="1601">
                  <c:v>1.601</c:v>
                </c:pt>
                <c:pt idx="1602">
                  <c:v>1.6020000000000001</c:v>
                </c:pt>
                <c:pt idx="1603">
                  <c:v>1.603</c:v>
                </c:pt>
                <c:pt idx="1604">
                  <c:v>1.6040000000000001</c:v>
                </c:pt>
                <c:pt idx="1605">
                  <c:v>1.605</c:v>
                </c:pt>
                <c:pt idx="1606">
                  <c:v>1.6060000000000001</c:v>
                </c:pt>
                <c:pt idx="1607">
                  <c:v>1.607</c:v>
                </c:pt>
                <c:pt idx="1608">
                  <c:v>1.6080000000000001</c:v>
                </c:pt>
                <c:pt idx="1609">
                  <c:v>1.609</c:v>
                </c:pt>
                <c:pt idx="1610">
                  <c:v>1.61</c:v>
                </c:pt>
                <c:pt idx="1611">
                  <c:v>1.611</c:v>
                </c:pt>
                <c:pt idx="1612">
                  <c:v>1.6120000000000001</c:v>
                </c:pt>
                <c:pt idx="1613">
                  <c:v>1.613</c:v>
                </c:pt>
                <c:pt idx="1614">
                  <c:v>1.6140000000000001</c:v>
                </c:pt>
                <c:pt idx="1615">
                  <c:v>1.615</c:v>
                </c:pt>
                <c:pt idx="1616">
                  <c:v>1.6160000000000001</c:v>
                </c:pt>
                <c:pt idx="1617">
                  <c:v>1.617</c:v>
                </c:pt>
                <c:pt idx="1618">
                  <c:v>1.6180000000000001</c:v>
                </c:pt>
                <c:pt idx="1619">
                  <c:v>1.619</c:v>
                </c:pt>
                <c:pt idx="1620">
                  <c:v>1.62</c:v>
                </c:pt>
                <c:pt idx="1621">
                  <c:v>1.621</c:v>
                </c:pt>
                <c:pt idx="1622">
                  <c:v>1.6220000000000001</c:v>
                </c:pt>
                <c:pt idx="1623">
                  <c:v>1.623</c:v>
                </c:pt>
                <c:pt idx="1624">
                  <c:v>1.6240000000000001</c:v>
                </c:pt>
                <c:pt idx="1625">
                  <c:v>1.625</c:v>
                </c:pt>
                <c:pt idx="1626">
                  <c:v>1.6259999999999999</c:v>
                </c:pt>
                <c:pt idx="1627">
                  <c:v>1.627</c:v>
                </c:pt>
                <c:pt idx="1628">
                  <c:v>1.6279999999999999</c:v>
                </c:pt>
                <c:pt idx="1629">
                  <c:v>1.629</c:v>
                </c:pt>
                <c:pt idx="1630">
                  <c:v>1.63</c:v>
                </c:pt>
                <c:pt idx="1631">
                  <c:v>1.631</c:v>
                </c:pt>
                <c:pt idx="1632">
                  <c:v>1.6319999999999999</c:v>
                </c:pt>
                <c:pt idx="1633">
                  <c:v>1.633</c:v>
                </c:pt>
                <c:pt idx="1634">
                  <c:v>1.6339999999999999</c:v>
                </c:pt>
                <c:pt idx="1635">
                  <c:v>1.635</c:v>
                </c:pt>
                <c:pt idx="1636">
                  <c:v>1.6359999999999999</c:v>
                </c:pt>
                <c:pt idx="1637">
                  <c:v>1.637</c:v>
                </c:pt>
                <c:pt idx="1638">
                  <c:v>1.6379999999999999</c:v>
                </c:pt>
                <c:pt idx="1639">
                  <c:v>1.639</c:v>
                </c:pt>
                <c:pt idx="1640">
                  <c:v>1.64</c:v>
                </c:pt>
                <c:pt idx="1641">
                  <c:v>1.641</c:v>
                </c:pt>
                <c:pt idx="1642">
                  <c:v>1.6419999999999999</c:v>
                </c:pt>
                <c:pt idx="1643">
                  <c:v>1.643</c:v>
                </c:pt>
                <c:pt idx="1644">
                  <c:v>1.6439999999999999</c:v>
                </c:pt>
                <c:pt idx="1645">
                  <c:v>1.645</c:v>
                </c:pt>
                <c:pt idx="1646">
                  <c:v>1.6459999999999999</c:v>
                </c:pt>
                <c:pt idx="1647">
                  <c:v>1.647</c:v>
                </c:pt>
                <c:pt idx="1648">
                  <c:v>1.6479999999999999</c:v>
                </c:pt>
                <c:pt idx="1649">
                  <c:v>1.649</c:v>
                </c:pt>
                <c:pt idx="1650">
                  <c:v>1.65</c:v>
                </c:pt>
                <c:pt idx="1651">
                  <c:v>1.651</c:v>
                </c:pt>
                <c:pt idx="1652">
                  <c:v>1.6519999999999999</c:v>
                </c:pt>
                <c:pt idx="1653">
                  <c:v>1.653</c:v>
                </c:pt>
                <c:pt idx="1654">
                  <c:v>1.6539999999999999</c:v>
                </c:pt>
                <c:pt idx="1655">
                  <c:v>1.655</c:v>
                </c:pt>
                <c:pt idx="1656">
                  <c:v>1.6559999999999999</c:v>
                </c:pt>
                <c:pt idx="1657">
                  <c:v>1.657</c:v>
                </c:pt>
                <c:pt idx="1658">
                  <c:v>1.6579999999999999</c:v>
                </c:pt>
                <c:pt idx="1659">
                  <c:v>1.659</c:v>
                </c:pt>
                <c:pt idx="1660">
                  <c:v>1.66</c:v>
                </c:pt>
                <c:pt idx="1661">
                  <c:v>1.661</c:v>
                </c:pt>
                <c:pt idx="1662">
                  <c:v>1.6619999999999999</c:v>
                </c:pt>
                <c:pt idx="1663">
                  <c:v>1.663</c:v>
                </c:pt>
                <c:pt idx="1664">
                  <c:v>1.6639999999999999</c:v>
                </c:pt>
                <c:pt idx="1665">
                  <c:v>1.665</c:v>
                </c:pt>
                <c:pt idx="1666">
                  <c:v>1.6659999999999999</c:v>
                </c:pt>
                <c:pt idx="1667">
                  <c:v>1.667</c:v>
                </c:pt>
                <c:pt idx="1668">
                  <c:v>1.6679999999999999</c:v>
                </c:pt>
                <c:pt idx="1669">
                  <c:v>1.669</c:v>
                </c:pt>
                <c:pt idx="1670">
                  <c:v>1.67</c:v>
                </c:pt>
                <c:pt idx="1671">
                  <c:v>1.671</c:v>
                </c:pt>
                <c:pt idx="1672">
                  <c:v>1.6719999999999999</c:v>
                </c:pt>
                <c:pt idx="1673">
                  <c:v>1.673</c:v>
                </c:pt>
                <c:pt idx="1674">
                  <c:v>1.6739999999999999</c:v>
                </c:pt>
                <c:pt idx="1675">
                  <c:v>1.675</c:v>
                </c:pt>
                <c:pt idx="1676">
                  <c:v>1.6759999999999999</c:v>
                </c:pt>
                <c:pt idx="1677">
                  <c:v>1.677</c:v>
                </c:pt>
                <c:pt idx="1678">
                  <c:v>1.6779999999999999</c:v>
                </c:pt>
                <c:pt idx="1679">
                  <c:v>1.679</c:v>
                </c:pt>
                <c:pt idx="1680">
                  <c:v>1.68</c:v>
                </c:pt>
                <c:pt idx="1681">
                  <c:v>1.681</c:v>
                </c:pt>
                <c:pt idx="1682">
                  <c:v>1.6819999999999999</c:v>
                </c:pt>
                <c:pt idx="1683">
                  <c:v>1.6830000000000001</c:v>
                </c:pt>
                <c:pt idx="1684">
                  <c:v>1.6839999999999999</c:v>
                </c:pt>
                <c:pt idx="1685">
                  <c:v>1.6850000000000001</c:v>
                </c:pt>
                <c:pt idx="1686">
                  <c:v>1.6859999999999999</c:v>
                </c:pt>
                <c:pt idx="1687">
                  <c:v>1.6870000000000001</c:v>
                </c:pt>
                <c:pt idx="1688">
                  <c:v>1.6879999999999999</c:v>
                </c:pt>
                <c:pt idx="1689">
                  <c:v>1.6890000000000001</c:v>
                </c:pt>
                <c:pt idx="1690">
                  <c:v>1.69</c:v>
                </c:pt>
                <c:pt idx="1691">
                  <c:v>1.6910000000000001</c:v>
                </c:pt>
                <c:pt idx="1692">
                  <c:v>1.6919999999999999</c:v>
                </c:pt>
                <c:pt idx="1693">
                  <c:v>1.6930000000000001</c:v>
                </c:pt>
                <c:pt idx="1694">
                  <c:v>1.694</c:v>
                </c:pt>
                <c:pt idx="1695">
                  <c:v>1.6950000000000001</c:v>
                </c:pt>
                <c:pt idx="1696">
                  <c:v>1.696</c:v>
                </c:pt>
                <c:pt idx="1697">
                  <c:v>1.6970000000000001</c:v>
                </c:pt>
                <c:pt idx="1698">
                  <c:v>1.698</c:v>
                </c:pt>
                <c:pt idx="1699">
                  <c:v>1.6990000000000001</c:v>
                </c:pt>
                <c:pt idx="1700">
                  <c:v>1.7</c:v>
                </c:pt>
                <c:pt idx="1701">
                  <c:v>1.7010000000000001</c:v>
                </c:pt>
                <c:pt idx="1702">
                  <c:v>1.702</c:v>
                </c:pt>
                <c:pt idx="1703">
                  <c:v>1.7030000000000001</c:v>
                </c:pt>
                <c:pt idx="1704">
                  <c:v>1.704</c:v>
                </c:pt>
                <c:pt idx="1705">
                  <c:v>1.7050000000000001</c:v>
                </c:pt>
                <c:pt idx="1706">
                  <c:v>1.706</c:v>
                </c:pt>
                <c:pt idx="1707">
                  <c:v>1.7070000000000001</c:v>
                </c:pt>
                <c:pt idx="1708">
                  <c:v>1.708</c:v>
                </c:pt>
                <c:pt idx="1709">
                  <c:v>1.7090000000000001</c:v>
                </c:pt>
                <c:pt idx="1710">
                  <c:v>1.71</c:v>
                </c:pt>
                <c:pt idx="1711">
                  <c:v>1.7110000000000001</c:v>
                </c:pt>
                <c:pt idx="1712">
                  <c:v>1.712</c:v>
                </c:pt>
                <c:pt idx="1713">
                  <c:v>1.7130000000000001</c:v>
                </c:pt>
                <c:pt idx="1714">
                  <c:v>1.714</c:v>
                </c:pt>
                <c:pt idx="1715">
                  <c:v>1.7150000000000001</c:v>
                </c:pt>
                <c:pt idx="1716">
                  <c:v>1.716</c:v>
                </c:pt>
                <c:pt idx="1717">
                  <c:v>1.7170000000000001</c:v>
                </c:pt>
                <c:pt idx="1718">
                  <c:v>1.718</c:v>
                </c:pt>
                <c:pt idx="1719">
                  <c:v>1.7190000000000001</c:v>
                </c:pt>
                <c:pt idx="1720">
                  <c:v>1.72</c:v>
                </c:pt>
                <c:pt idx="1721">
                  <c:v>1.7210000000000001</c:v>
                </c:pt>
                <c:pt idx="1722">
                  <c:v>1.722</c:v>
                </c:pt>
                <c:pt idx="1723">
                  <c:v>1.7230000000000001</c:v>
                </c:pt>
                <c:pt idx="1724">
                  <c:v>1.724</c:v>
                </c:pt>
                <c:pt idx="1725">
                  <c:v>1.7250000000000001</c:v>
                </c:pt>
                <c:pt idx="1726">
                  <c:v>1.726</c:v>
                </c:pt>
                <c:pt idx="1727">
                  <c:v>1.7270000000000001</c:v>
                </c:pt>
                <c:pt idx="1728">
                  <c:v>1.728</c:v>
                </c:pt>
                <c:pt idx="1729">
                  <c:v>1.7290000000000001</c:v>
                </c:pt>
                <c:pt idx="1730">
                  <c:v>1.73</c:v>
                </c:pt>
                <c:pt idx="1731">
                  <c:v>1.7310000000000001</c:v>
                </c:pt>
                <c:pt idx="1732">
                  <c:v>1.732</c:v>
                </c:pt>
                <c:pt idx="1733">
                  <c:v>1.7330000000000001</c:v>
                </c:pt>
                <c:pt idx="1734">
                  <c:v>1.734</c:v>
                </c:pt>
                <c:pt idx="1735">
                  <c:v>1.7350000000000001</c:v>
                </c:pt>
                <c:pt idx="1736">
                  <c:v>1.736</c:v>
                </c:pt>
                <c:pt idx="1737">
                  <c:v>1.7370000000000001</c:v>
                </c:pt>
                <c:pt idx="1738">
                  <c:v>1.738</c:v>
                </c:pt>
                <c:pt idx="1739">
                  <c:v>1.7390000000000001</c:v>
                </c:pt>
                <c:pt idx="1740">
                  <c:v>1.74</c:v>
                </c:pt>
                <c:pt idx="1741">
                  <c:v>1.7410000000000001</c:v>
                </c:pt>
                <c:pt idx="1742">
                  <c:v>1.742</c:v>
                </c:pt>
                <c:pt idx="1743">
                  <c:v>1.7430000000000001</c:v>
                </c:pt>
                <c:pt idx="1744">
                  <c:v>1.744</c:v>
                </c:pt>
                <c:pt idx="1745">
                  <c:v>1.7450000000000001</c:v>
                </c:pt>
                <c:pt idx="1746">
                  <c:v>1.746</c:v>
                </c:pt>
                <c:pt idx="1747">
                  <c:v>1.7470000000000001</c:v>
                </c:pt>
                <c:pt idx="1748">
                  <c:v>1.748</c:v>
                </c:pt>
                <c:pt idx="1749">
                  <c:v>1.7490000000000001</c:v>
                </c:pt>
                <c:pt idx="1750">
                  <c:v>1.75</c:v>
                </c:pt>
                <c:pt idx="1751">
                  <c:v>1.7509999999999999</c:v>
                </c:pt>
                <c:pt idx="1752">
                  <c:v>1.752</c:v>
                </c:pt>
                <c:pt idx="1753">
                  <c:v>1.7529999999999999</c:v>
                </c:pt>
                <c:pt idx="1754">
                  <c:v>1.754</c:v>
                </c:pt>
                <c:pt idx="1755">
                  <c:v>1.7549999999999999</c:v>
                </c:pt>
                <c:pt idx="1756">
                  <c:v>1.756</c:v>
                </c:pt>
                <c:pt idx="1757">
                  <c:v>1.7569999999999999</c:v>
                </c:pt>
                <c:pt idx="1758">
                  <c:v>1.758</c:v>
                </c:pt>
                <c:pt idx="1759">
                  <c:v>1.7589999999999999</c:v>
                </c:pt>
                <c:pt idx="1760">
                  <c:v>1.76</c:v>
                </c:pt>
                <c:pt idx="1761">
                  <c:v>1.7609999999999999</c:v>
                </c:pt>
                <c:pt idx="1762">
                  <c:v>1.762</c:v>
                </c:pt>
                <c:pt idx="1763">
                  <c:v>1.7629999999999999</c:v>
                </c:pt>
                <c:pt idx="1764">
                  <c:v>1.764</c:v>
                </c:pt>
                <c:pt idx="1765">
                  <c:v>1.7649999999999999</c:v>
                </c:pt>
                <c:pt idx="1766">
                  <c:v>1.766</c:v>
                </c:pt>
                <c:pt idx="1767">
                  <c:v>1.7669999999999999</c:v>
                </c:pt>
                <c:pt idx="1768">
                  <c:v>1.768</c:v>
                </c:pt>
                <c:pt idx="1769">
                  <c:v>1.7689999999999999</c:v>
                </c:pt>
                <c:pt idx="1770">
                  <c:v>1.77</c:v>
                </c:pt>
                <c:pt idx="1771">
                  <c:v>1.7709999999999999</c:v>
                </c:pt>
                <c:pt idx="1772">
                  <c:v>1.772</c:v>
                </c:pt>
                <c:pt idx="1773">
                  <c:v>1.7729999999999999</c:v>
                </c:pt>
                <c:pt idx="1774">
                  <c:v>1.774</c:v>
                </c:pt>
                <c:pt idx="1775">
                  <c:v>1.7749999999999999</c:v>
                </c:pt>
                <c:pt idx="1776">
                  <c:v>1.776</c:v>
                </c:pt>
                <c:pt idx="1777">
                  <c:v>1.7769999999999999</c:v>
                </c:pt>
                <c:pt idx="1778">
                  <c:v>1.778</c:v>
                </c:pt>
                <c:pt idx="1779">
                  <c:v>1.7789999999999999</c:v>
                </c:pt>
                <c:pt idx="1780">
                  <c:v>1.78</c:v>
                </c:pt>
                <c:pt idx="1781">
                  <c:v>1.7809999999999999</c:v>
                </c:pt>
                <c:pt idx="1782">
                  <c:v>1.782</c:v>
                </c:pt>
                <c:pt idx="1783">
                  <c:v>1.7829999999999999</c:v>
                </c:pt>
                <c:pt idx="1784">
                  <c:v>1.784</c:v>
                </c:pt>
                <c:pt idx="1785">
                  <c:v>1.7849999999999999</c:v>
                </c:pt>
                <c:pt idx="1786">
                  <c:v>1.786</c:v>
                </c:pt>
                <c:pt idx="1787">
                  <c:v>1.7869999999999999</c:v>
                </c:pt>
                <c:pt idx="1788">
                  <c:v>1.788</c:v>
                </c:pt>
                <c:pt idx="1789">
                  <c:v>1.7889999999999999</c:v>
                </c:pt>
                <c:pt idx="1790">
                  <c:v>1.79</c:v>
                </c:pt>
                <c:pt idx="1791">
                  <c:v>1.7909999999999999</c:v>
                </c:pt>
                <c:pt idx="1792">
                  <c:v>1.792</c:v>
                </c:pt>
                <c:pt idx="1793">
                  <c:v>1.7929999999999999</c:v>
                </c:pt>
                <c:pt idx="1794">
                  <c:v>1.794</c:v>
                </c:pt>
                <c:pt idx="1795">
                  <c:v>1.7949999999999999</c:v>
                </c:pt>
                <c:pt idx="1796">
                  <c:v>1.796</c:v>
                </c:pt>
                <c:pt idx="1797">
                  <c:v>1.7969999999999999</c:v>
                </c:pt>
                <c:pt idx="1798">
                  <c:v>1.798</c:v>
                </c:pt>
                <c:pt idx="1799">
                  <c:v>1.7989999999999999</c:v>
                </c:pt>
                <c:pt idx="1800">
                  <c:v>1.8</c:v>
                </c:pt>
                <c:pt idx="1801">
                  <c:v>1.8009999999999999</c:v>
                </c:pt>
                <c:pt idx="1802">
                  <c:v>1.802</c:v>
                </c:pt>
                <c:pt idx="1803">
                  <c:v>1.8029999999999999</c:v>
                </c:pt>
                <c:pt idx="1804">
                  <c:v>1.804</c:v>
                </c:pt>
                <c:pt idx="1805">
                  <c:v>1.8049999999999999</c:v>
                </c:pt>
                <c:pt idx="1806">
                  <c:v>1.806</c:v>
                </c:pt>
                <c:pt idx="1807">
                  <c:v>1.8069999999999999</c:v>
                </c:pt>
                <c:pt idx="1808">
                  <c:v>1.8080000000000001</c:v>
                </c:pt>
                <c:pt idx="1809">
                  <c:v>1.8089999999999999</c:v>
                </c:pt>
                <c:pt idx="1810">
                  <c:v>1.81</c:v>
                </c:pt>
                <c:pt idx="1811">
                  <c:v>1.8109999999999999</c:v>
                </c:pt>
                <c:pt idx="1812">
                  <c:v>1.8120000000000001</c:v>
                </c:pt>
                <c:pt idx="1813">
                  <c:v>1.8129999999999999</c:v>
                </c:pt>
                <c:pt idx="1814">
                  <c:v>1.8140000000000001</c:v>
                </c:pt>
                <c:pt idx="1815">
                  <c:v>1.8149999999999999</c:v>
                </c:pt>
                <c:pt idx="1816">
                  <c:v>1.8160000000000001</c:v>
                </c:pt>
                <c:pt idx="1817">
                  <c:v>1.8169999999999999</c:v>
                </c:pt>
                <c:pt idx="1818">
                  <c:v>1.8180000000000001</c:v>
                </c:pt>
                <c:pt idx="1819">
                  <c:v>1.819</c:v>
                </c:pt>
                <c:pt idx="1820">
                  <c:v>1.82</c:v>
                </c:pt>
                <c:pt idx="1821">
                  <c:v>1.821</c:v>
                </c:pt>
                <c:pt idx="1822">
                  <c:v>1.8220000000000001</c:v>
                </c:pt>
                <c:pt idx="1823">
                  <c:v>1.823</c:v>
                </c:pt>
                <c:pt idx="1824">
                  <c:v>1.8240000000000001</c:v>
                </c:pt>
                <c:pt idx="1825">
                  <c:v>1.825</c:v>
                </c:pt>
                <c:pt idx="1826">
                  <c:v>1.8260000000000001</c:v>
                </c:pt>
                <c:pt idx="1827">
                  <c:v>1.827</c:v>
                </c:pt>
                <c:pt idx="1828">
                  <c:v>1.8280000000000001</c:v>
                </c:pt>
                <c:pt idx="1829">
                  <c:v>1.829</c:v>
                </c:pt>
                <c:pt idx="1830">
                  <c:v>1.83</c:v>
                </c:pt>
                <c:pt idx="1831">
                  <c:v>1.831</c:v>
                </c:pt>
                <c:pt idx="1832">
                  <c:v>1.8320000000000001</c:v>
                </c:pt>
                <c:pt idx="1833">
                  <c:v>1.833</c:v>
                </c:pt>
                <c:pt idx="1834">
                  <c:v>1.8340000000000001</c:v>
                </c:pt>
                <c:pt idx="1835">
                  <c:v>1.835</c:v>
                </c:pt>
                <c:pt idx="1836">
                  <c:v>1.8360000000000001</c:v>
                </c:pt>
                <c:pt idx="1837">
                  <c:v>1.837</c:v>
                </c:pt>
                <c:pt idx="1838">
                  <c:v>1.8380000000000001</c:v>
                </c:pt>
                <c:pt idx="1839">
                  <c:v>1.839</c:v>
                </c:pt>
                <c:pt idx="1840">
                  <c:v>1.84</c:v>
                </c:pt>
                <c:pt idx="1841">
                  <c:v>1.841</c:v>
                </c:pt>
                <c:pt idx="1842">
                  <c:v>1.8420000000000001</c:v>
                </c:pt>
                <c:pt idx="1843">
                  <c:v>1.843</c:v>
                </c:pt>
                <c:pt idx="1844">
                  <c:v>1.8440000000000001</c:v>
                </c:pt>
                <c:pt idx="1845">
                  <c:v>1.845</c:v>
                </c:pt>
                <c:pt idx="1846">
                  <c:v>1.8460000000000001</c:v>
                </c:pt>
                <c:pt idx="1847">
                  <c:v>1.847</c:v>
                </c:pt>
                <c:pt idx="1848">
                  <c:v>1.8480000000000001</c:v>
                </c:pt>
                <c:pt idx="1849">
                  <c:v>1.849</c:v>
                </c:pt>
                <c:pt idx="1850">
                  <c:v>1.85</c:v>
                </c:pt>
                <c:pt idx="1851">
                  <c:v>1.851</c:v>
                </c:pt>
                <c:pt idx="1852">
                  <c:v>1.8520000000000001</c:v>
                </c:pt>
                <c:pt idx="1853">
                  <c:v>1.853</c:v>
                </c:pt>
                <c:pt idx="1854">
                  <c:v>1.8540000000000001</c:v>
                </c:pt>
                <c:pt idx="1855">
                  <c:v>1.855</c:v>
                </c:pt>
                <c:pt idx="1856">
                  <c:v>1.8560000000000001</c:v>
                </c:pt>
                <c:pt idx="1857">
                  <c:v>1.857</c:v>
                </c:pt>
                <c:pt idx="1858">
                  <c:v>1.8580000000000001</c:v>
                </c:pt>
                <c:pt idx="1859">
                  <c:v>1.859</c:v>
                </c:pt>
                <c:pt idx="1860">
                  <c:v>1.86</c:v>
                </c:pt>
                <c:pt idx="1861">
                  <c:v>1.861</c:v>
                </c:pt>
                <c:pt idx="1862">
                  <c:v>1.8620000000000001</c:v>
                </c:pt>
                <c:pt idx="1863">
                  <c:v>1.863</c:v>
                </c:pt>
                <c:pt idx="1864">
                  <c:v>1.8640000000000001</c:v>
                </c:pt>
                <c:pt idx="1865">
                  <c:v>1.865</c:v>
                </c:pt>
                <c:pt idx="1866">
                  <c:v>1.8660000000000001</c:v>
                </c:pt>
                <c:pt idx="1867">
                  <c:v>1.867</c:v>
                </c:pt>
                <c:pt idx="1868">
                  <c:v>1.8680000000000001</c:v>
                </c:pt>
                <c:pt idx="1869">
                  <c:v>1.869</c:v>
                </c:pt>
                <c:pt idx="1870">
                  <c:v>1.87</c:v>
                </c:pt>
                <c:pt idx="1871">
                  <c:v>1.871</c:v>
                </c:pt>
                <c:pt idx="1872">
                  <c:v>1.8720000000000001</c:v>
                </c:pt>
                <c:pt idx="1873">
                  <c:v>1.873</c:v>
                </c:pt>
                <c:pt idx="1874">
                  <c:v>1.8740000000000001</c:v>
                </c:pt>
                <c:pt idx="1875">
                  <c:v>1.875</c:v>
                </c:pt>
                <c:pt idx="1876">
                  <c:v>1.8759999999999999</c:v>
                </c:pt>
                <c:pt idx="1877">
                  <c:v>1.877</c:v>
                </c:pt>
                <c:pt idx="1878">
                  <c:v>1.8779999999999999</c:v>
                </c:pt>
                <c:pt idx="1879">
                  <c:v>1.879</c:v>
                </c:pt>
                <c:pt idx="1880">
                  <c:v>1.88</c:v>
                </c:pt>
                <c:pt idx="1881">
                  <c:v>1.881</c:v>
                </c:pt>
                <c:pt idx="1882">
                  <c:v>1.8819999999999999</c:v>
                </c:pt>
                <c:pt idx="1883">
                  <c:v>1.883</c:v>
                </c:pt>
                <c:pt idx="1884">
                  <c:v>1.8839999999999999</c:v>
                </c:pt>
                <c:pt idx="1885">
                  <c:v>1.885</c:v>
                </c:pt>
                <c:pt idx="1886">
                  <c:v>1.8859999999999999</c:v>
                </c:pt>
                <c:pt idx="1887">
                  <c:v>1.887</c:v>
                </c:pt>
                <c:pt idx="1888">
                  <c:v>1.8879999999999999</c:v>
                </c:pt>
                <c:pt idx="1889">
                  <c:v>1.889</c:v>
                </c:pt>
                <c:pt idx="1890">
                  <c:v>1.89</c:v>
                </c:pt>
                <c:pt idx="1891">
                  <c:v>1.891</c:v>
                </c:pt>
                <c:pt idx="1892">
                  <c:v>1.8919999999999999</c:v>
                </c:pt>
                <c:pt idx="1893">
                  <c:v>1.893</c:v>
                </c:pt>
                <c:pt idx="1894">
                  <c:v>1.8939999999999999</c:v>
                </c:pt>
                <c:pt idx="1895">
                  <c:v>1.895</c:v>
                </c:pt>
                <c:pt idx="1896">
                  <c:v>1.8959999999999999</c:v>
                </c:pt>
                <c:pt idx="1897">
                  <c:v>1.897</c:v>
                </c:pt>
                <c:pt idx="1898">
                  <c:v>1.8979999999999999</c:v>
                </c:pt>
                <c:pt idx="1899">
                  <c:v>1.899</c:v>
                </c:pt>
                <c:pt idx="1900">
                  <c:v>1.9</c:v>
                </c:pt>
                <c:pt idx="1901">
                  <c:v>1.901</c:v>
                </c:pt>
                <c:pt idx="1902">
                  <c:v>1.9019999999999999</c:v>
                </c:pt>
                <c:pt idx="1903">
                  <c:v>1.903</c:v>
                </c:pt>
                <c:pt idx="1904">
                  <c:v>1.9039999999999999</c:v>
                </c:pt>
                <c:pt idx="1905">
                  <c:v>1.905</c:v>
                </c:pt>
                <c:pt idx="1906">
                  <c:v>1.9059999999999999</c:v>
                </c:pt>
                <c:pt idx="1907">
                  <c:v>1.907</c:v>
                </c:pt>
                <c:pt idx="1908">
                  <c:v>1.9079999999999999</c:v>
                </c:pt>
                <c:pt idx="1909">
                  <c:v>1.909</c:v>
                </c:pt>
                <c:pt idx="1910">
                  <c:v>1.91</c:v>
                </c:pt>
                <c:pt idx="1911">
                  <c:v>1.911</c:v>
                </c:pt>
                <c:pt idx="1912">
                  <c:v>1.9119999999999999</c:v>
                </c:pt>
                <c:pt idx="1913">
                  <c:v>1.913</c:v>
                </c:pt>
                <c:pt idx="1914">
                  <c:v>1.9139999999999999</c:v>
                </c:pt>
                <c:pt idx="1915">
                  <c:v>1.915</c:v>
                </c:pt>
                <c:pt idx="1916">
                  <c:v>1.9159999999999999</c:v>
                </c:pt>
                <c:pt idx="1917">
                  <c:v>1.917</c:v>
                </c:pt>
                <c:pt idx="1918">
                  <c:v>1.9179999999999999</c:v>
                </c:pt>
                <c:pt idx="1919">
                  <c:v>1.919</c:v>
                </c:pt>
                <c:pt idx="1920">
                  <c:v>1.92</c:v>
                </c:pt>
                <c:pt idx="1921">
                  <c:v>1.921</c:v>
                </c:pt>
                <c:pt idx="1922">
                  <c:v>1.9219999999999999</c:v>
                </c:pt>
                <c:pt idx="1923">
                  <c:v>1.923</c:v>
                </c:pt>
                <c:pt idx="1924">
                  <c:v>1.9239999999999999</c:v>
                </c:pt>
                <c:pt idx="1925">
                  <c:v>1.925</c:v>
                </c:pt>
                <c:pt idx="1926">
                  <c:v>1.9259999999999999</c:v>
                </c:pt>
                <c:pt idx="1927">
                  <c:v>1.927</c:v>
                </c:pt>
                <c:pt idx="1928">
                  <c:v>1.9279999999999999</c:v>
                </c:pt>
                <c:pt idx="1929">
                  <c:v>1.929</c:v>
                </c:pt>
                <c:pt idx="1930">
                  <c:v>1.93</c:v>
                </c:pt>
                <c:pt idx="1931">
                  <c:v>1.931</c:v>
                </c:pt>
                <c:pt idx="1932">
                  <c:v>1.9319999999999999</c:v>
                </c:pt>
                <c:pt idx="1933">
                  <c:v>1.9330000000000001</c:v>
                </c:pt>
                <c:pt idx="1934">
                  <c:v>1.9339999999999999</c:v>
                </c:pt>
                <c:pt idx="1935">
                  <c:v>1.9350000000000001</c:v>
                </c:pt>
                <c:pt idx="1936">
                  <c:v>1.9359999999999999</c:v>
                </c:pt>
                <c:pt idx="1937">
                  <c:v>1.9370000000000001</c:v>
                </c:pt>
                <c:pt idx="1938">
                  <c:v>1.9379999999999999</c:v>
                </c:pt>
                <c:pt idx="1939">
                  <c:v>1.9390000000000001</c:v>
                </c:pt>
                <c:pt idx="1940">
                  <c:v>1.94</c:v>
                </c:pt>
                <c:pt idx="1941">
                  <c:v>1.9410000000000001</c:v>
                </c:pt>
                <c:pt idx="1942">
                  <c:v>1.9419999999999999</c:v>
                </c:pt>
                <c:pt idx="1943">
                  <c:v>1.9430000000000001</c:v>
                </c:pt>
                <c:pt idx="1944">
                  <c:v>1.944</c:v>
                </c:pt>
                <c:pt idx="1945">
                  <c:v>1.9450000000000001</c:v>
                </c:pt>
                <c:pt idx="1946">
                  <c:v>1.946</c:v>
                </c:pt>
                <c:pt idx="1947">
                  <c:v>1.9470000000000001</c:v>
                </c:pt>
                <c:pt idx="1948">
                  <c:v>1.948</c:v>
                </c:pt>
                <c:pt idx="1949">
                  <c:v>1.9490000000000001</c:v>
                </c:pt>
                <c:pt idx="1950">
                  <c:v>1.95</c:v>
                </c:pt>
                <c:pt idx="1951">
                  <c:v>1.9510000000000001</c:v>
                </c:pt>
                <c:pt idx="1952">
                  <c:v>1.952</c:v>
                </c:pt>
                <c:pt idx="1953">
                  <c:v>1.9530000000000001</c:v>
                </c:pt>
                <c:pt idx="1954">
                  <c:v>1.954</c:v>
                </c:pt>
                <c:pt idx="1955">
                  <c:v>1.9550000000000001</c:v>
                </c:pt>
                <c:pt idx="1956">
                  <c:v>1.956</c:v>
                </c:pt>
                <c:pt idx="1957">
                  <c:v>1.9570000000000001</c:v>
                </c:pt>
                <c:pt idx="1958">
                  <c:v>1.958</c:v>
                </c:pt>
                <c:pt idx="1959">
                  <c:v>1.9590000000000001</c:v>
                </c:pt>
                <c:pt idx="1960">
                  <c:v>1.96</c:v>
                </c:pt>
                <c:pt idx="1961">
                  <c:v>1.9610000000000001</c:v>
                </c:pt>
                <c:pt idx="1962">
                  <c:v>1.962</c:v>
                </c:pt>
                <c:pt idx="1963">
                  <c:v>1.9630000000000001</c:v>
                </c:pt>
                <c:pt idx="1964">
                  <c:v>1.964</c:v>
                </c:pt>
                <c:pt idx="1965">
                  <c:v>1.9650000000000001</c:v>
                </c:pt>
                <c:pt idx="1966">
                  <c:v>1.966</c:v>
                </c:pt>
                <c:pt idx="1967">
                  <c:v>1.9670000000000001</c:v>
                </c:pt>
                <c:pt idx="1968">
                  <c:v>1.968</c:v>
                </c:pt>
                <c:pt idx="1969">
                  <c:v>1.9690000000000001</c:v>
                </c:pt>
                <c:pt idx="1970">
                  <c:v>1.97</c:v>
                </c:pt>
                <c:pt idx="1971">
                  <c:v>1.9710000000000001</c:v>
                </c:pt>
                <c:pt idx="1972">
                  <c:v>1.972</c:v>
                </c:pt>
                <c:pt idx="1973">
                  <c:v>1.9730000000000001</c:v>
                </c:pt>
                <c:pt idx="1974">
                  <c:v>1.974</c:v>
                </c:pt>
                <c:pt idx="1975">
                  <c:v>1.9750000000000001</c:v>
                </c:pt>
                <c:pt idx="1976">
                  <c:v>1.976</c:v>
                </c:pt>
                <c:pt idx="1977">
                  <c:v>1.9770000000000001</c:v>
                </c:pt>
                <c:pt idx="1978">
                  <c:v>1.978</c:v>
                </c:pt>
                <c:pt idx="1979">
                  <c:v>1.9790000000000001</c:v>
                </c:pt>
                <c:pt idx="1980">
                  <c:v>1.98</c:v>
                </c:pt>
                <c:pt idx="1981">
                  <c:v>1.9810000000000001</c:v>
                </c:pt>
                <c:pt idx="1982">
                  <c:v>1.982</c:v>
                </c:pt>
                <c:pt idx="1983">
                  <c:v>1.9830000000000001</c:v>
                </c:pt>
                <c:pt idx="1984">
                  <c:v>1.984</c:v>
                </c:pt>
                <c:pt idx="1985">
                  <c:v>1.9850000000000001</c:v>
                </c:pt>
                <c:pt idx="1986">
                  <c:v>1.986</c:v>
                </c:pt>
                <c:pt idx="1987">
                  <c:v>1.9870000000000001</c:v>
                </c:pt>
                <c:pt idx="1988">
                  <c:v>1.988</c:v>
                </c:pt>
                <c:pt idx="1989">
                  <c:v>1.9890000000000001</c:v>
                </c:pt>
                <c:pt idx="1990">
                  <c:v>1.99</c:v>
                </c:pt>
                <c:pt idx="1991">
                  <c:v>1.9910000000000001</c:v>
                </c:pt>
                <c:pt idx="1992">
                  <c:v>1.992</c:v>
                </c:pt>
                <c:pt idx="1993">
                  <c:v>1.9930000000000001</c:v>
                </c:pt>
                <c:pt idx="1994">
                  <c:v>1.994</c:v>
                </c:pt>
                <c:pt idx="1995">
                  <c:v>1.9950000000000001</c:v>
                </c:pt>
                <c:pt idx="1996">
                  <c:v>1.996</c:v>
                </c:pt>
                <c:pt idx="1997">
                  <c:v>1.9970000000000001</c:v>
                </c:pt>
                <c:pt idx="1998">
                  <c:v>1.998</c:v>
                </c:pt>
                <c:pt idx="1999">
                  <c:v>1.9990000000000001</c:v>
                </c:pt>
                <c:pt idx="2000">
                  <c:v>2</c:v>
                </c:pt>
                <c:pt idx="2001">
                  <c:v>2.0009999999999999</c:v>
                </c:pt>
                <c:pt idx="2002">
                  <c:v>2.0019999999999998</c:v>
                </c:pt>
                <c:pt idx="2003">
                  <c:v>2.0030000000000001</c:v>
                </c:pt>
                <c:pt idx="2004">
                  <c:v>2.004</c:v>
                </c:pt>
                <c:pt idx="2005">
                  <c:v>2.0049999999999999</c:v>
                </c:pt>
                <c:pt idx="2006">
                  <c:v>2.0059999999999998</c:v>
                </c:pt>
                <c:pt idx="2007">
                  <c:v>2.0070000000000001</c:v>
                </c:pt>
                <c:pt idx="2008">
                  <c:v>2.008</c:v>
                </c:pt>
                <c:pt idx="2009">
                  <c:v>2.0089999999999999</c:v>
                </c:pt>
                <c:pt idx="2010">
                  <c:v>2.0099999999999998</c:v>
                </c:pt>
                <c:pt idx="2011">
                  <c:v>2.0110000000000001</c:v>
                </c:pt>
                <c:pt idx="2012">
                  <c:v>2.012</c:v>
                </c:pt>
                <c:pt idx="2013">
                  <c:v>2.0129999999999999</c:v>
                </c:pt>
                <c:pt idx="2014">
                  <c:v>2.0139999999999998</c:v>
                </c:pt>
                <c:pt idx="2015">
                  <c:v>2.0150000000000001</c:v>
                </c:pt>
                <c:pt idx="2016">
                  <c:v>2.016</c:v>
                </c:pt>
                <c:pt idx="2017">
                  <c:v>2.0169999999999999</c:v>
                </c:pt>
                <c:pt idx="2018">
                  <c:v>2.0179999999999998</c:v>
                </c:pt>
                <c:pt idx="2019">
                  <c:v>2.0190000000000001</c:v>
                </c:pt>
                <c:pt idx="2020">
                  <c:v>2.02</c:v>
                </c:pt>
                <c:pt idx="2021">
                  <c:v>2.0209999999999999</c:v>
                </c:pt>
                <c:pt idx="2022">
                  <c:v>2.0219999999999998</c:v>
                </c:pt>
                <c:pt idx="2023">
                  <c:v>2.0230000000000001</c:v>
                </c:pt>
                <c:pt idx="2024">
                  <c:v>2.024</c:v>
                </c:pt>
                <c:pt idx="2025">
                  <c:v>2.0249999999999999</c:v>
                </c:pt>
                <c:pt idx="2026">
                  <c:v>2.0259999999999998</c:v>
                </c:pt>
                <c:pt idx="2027">
                  <c:v>2.0270000000000001</c:v>
                </c:pt>
                <c:pt idx="2028">
                  <c:v>2.028</c:v>
                </c:pt>
                <c:pt idx="2029">
                  <c:v>2.0289999999999999</c:v>
                </c:pt>
                <c:pt idx="2030">
                  <c:v>2.0299999999999998</c:v>
                </c:pt>
                <c:pt idx="2031">
                  <c:v>2.0310000000000001</c:v>
                </c:pt>
                <c:pt idx="2032">
                  <c:v>2.032</c:v>
                </c:pt>
                <c:pt idx="2033">
                  <c:v>2.0329999999999999</c:v>
                </c:pt>
                <c:pt idx="2034">
                  <c:v>2.0339999999999998</c:v>
                </c:pt>
                <c:pt idx="2035">
                  <c:v>2.0350000000000001</c:v>
                </c:pt>
                <c:pt idx="2036">
                  <c:v>2.036</c:v>
                </c:pt>
                <c:pt idx="2037">
                  <c:v>2.0369999999999999</c:v>
                </c:pt>
                <c:pt idx="2038">
                  <c:v>2.0379999999999998</c:v>
                </c:pt>
                <c:pt idx="2039">
                  <c:v>2.0390000000000001</c:v>
                </c:pt>
                <c:pt idx="2040">
                  <c:v>2.04</c:v>
                </c:pt>
                <c:pt idx="2041">
                  <c:v>2.0409999999999999</c:v>
                </c:pt>
                <c:pt idx="2042">
                  <c:v>2.0419999999999998</c:v>
                </c:pt>
                <c:pt idx="2043">
                  <c:v>2.0430000000000001</c:v>
                </c:pt>
                <c:pt idx="2044">
                  <c:v>2.044</c:v>
                </c:pt>
                <c:pt idx="2045">
                  <c:v>2.0449999999999999</c:v>
                </c:pt>
                <c:pt idx="2046">
                  <c:v>2.0459999999999998</c:v>
                </c:pt>
                <c:pt idx="2047">
                  <c:v>2.0470000000000002</c:v>
                </c:pt>
                <c:pt idx="2048">
                  <c:v>2.048</c:v>
                </c:pt>
                <c:pt idx="2049">
                  <c:v>2.0489999999999999</c:v>
                </c:pt>
                <c:pt idx="2050">
                  <c:v>2.0499999999999998</c:v>
                </c:pt>
                <c:pt idx="2051">
                  <c:v>2.0510000000000002</c:v>
                </c:pt>
                <c:pt idx="2052">
                  <c:v>2.052</c:v>
                </c:pt>
                <c:pt idx="2053">
                  <c:v>2.0529999999999999</c:v>
                </c:pt>
                <c:pt idx="2054">
                  <c:v>2.0539999999999998</c:v>
                </c:pt>
                <c:pt idx="2055">
                  <c:v>2.0550000000000002</c:v>
                </c:pt>
                <c:pt idx="2056">
                  <c:v>2.056</c:v>
                </c:pt>
                <c:pt idx="2057">
                  <c:v>2.0569999999999999</c:v>
                </c:pt>
                <c:pt idx="2058">
                  <c:v>2.0579999999999998</c:v>
                </c:pt>
                <c:pt idx="2059">
                  <c:v>2.0590000000000002</c:v>
                </c:pt>
                <c:pt idx="2060">
                  <c:v>2.06</c:v>
                </c:pt>
                <c:pt idx="2061">
                  <c:v>2.0609999999999999</c:v>
                </c:pt>
                <c:pt idx="2062">
                  <c:v>2.0619999999999998</c:v>
                </c:pt>
                <c:pt idx="2063">
                  <c:v>2.0630000000000002</c:v>
                </c:pt>
                <c:pt idx="2064">
                  <c:v>2.0640000000000001</c:v>
                </c:pt>
                <c:pt idx="2065">
                  <c:v>2.0649999999999999</c:v>
                </c:pt>
                <c:pt idx="2066">
                  <c:v>2.0659999999999998</c:v>
                </c:pt>
                <c:pt idx="2067">
                  <c:v>2.0670000000000002</c:v>
                </c:pt>
                <c:pt idx="2068">
                  <c:v>2.0680000000000001</c:v>
                </c:pt>
                <c:pt idx="2069">
                  <c:v>2.069</c:v>
                </c:pt>
                <c:pt idx="2070">
                  <c:v>2.0699999999999998</c:v>
                </c:pt>
                <c:pt idx="2071">
                  <c:v>2.0710000000000002</c:v>
                </c:pt>
                <c:pt idx="2072">
                  <c:v>2.0720000000000001</c:v>
                </c:pt>
                <c:pt idx="2073">
                  <c:v>2.073</c:v>
                </c:pt>
                <c:pt idx="2074">
                  <c:v>2.0739999999999998</c:v>
                </c:pt>
                <c:pt idx="2075">
                  <c:v>2.0750000000000002</c:v>
                </c:pt>
                <c:pt idx="2076">
                  <c:v>2.0760000000000001</c:v>
                </c:pt>
                <c:pt idx="2077">
                  <c:v>2.077</c:v>
                </c:pt>
                <c:pt idx="2078">
                  <c:v>2.0779999999999998</c:v>
                </c:pt>
                <c:pt idx="2079">
                  <c:v>2.0790000000000002</c:v>
                </c:pt>
                <c:pt idx="2080">
                  <c:v>2.08</c:v>
                </c:pt>
                <c:pt idx="2081">
                  <c:v>2.081</c:v>
                </c:pt>
                <c:pt idx="2082">
                  <c:v>2.0819999999999999</c:v>
                </c:pt>
                <c:pt idx="2083">
                  <c:v>2.0830000000000002</c:v>
                </c:pt>
                <c:pt idx="2084">
                  <c:v>2.0840000000000001</c:v>
                </c:pt>
                <c:pt idx="2085">
                  <c:v>2.085</c:v>
                </c:pt>
                <c:pt idx="2086">
                  <c:v>2.0859999999999999</c:v>
                </c:pt>
                <c:pt idx="2087">
                  <c:v>2.0870000000000002</c:v>
                </c:pt>
                <c:pt idx="2088">
                  <c:v>2.0880000000000001</c:v>
                </c:pt>
                <c:pt idx="2089">
                  <c:v>2.089</c:v>
                </c:pt>
                <c:pt idx="2090">
                  <c:v>2.09</c:v>
                </c:pt>
                <c:pt idx="2091">
                  <c:v>2.0910000000000002</c:v>
                </c:pt>
                <c:pt idx="2092">
                  <c:v>2.0920000000000001</c:v>
                </c:pt>
                <c:pt idx="2093">
                  <c:v>2.093</c:v>
                </c:pt>
                <c:pt idx="2094">
                  <c:v>2.0939999999999999</c:v>
                </c:pt>
                <c:pt idx="2095">
                  <c:v>2.0950000000000002</c:v>
                </c:pt>
                <c:pt idx="2096">
                  <c:v>2.0960000000000001</c:v>
                </c:pt>
                <c:pt idx="2097">
                  <c:v>2.097</c:v>
                </c:pt>
                <c:pt idx="2098">
                  <c:v>2.0979999999999999</c:v>
                </c:pt>
                <c:pt idx="2099">
                  <c:v>2.0990000000000002</c:v>
                </c:pt>
                <c:pt idx="2100">
                  <c:v>2.1</c:v>
                </c:pt>
                <c:pt idx="2101">
                  <c:v>2.101</c:v>
                </c:pt>
                <c:pt idx="2102">
                  <c:v>2.1019999999999999</c:v>
                </c:pt>
                <c:pt idx="2103">
                  <c:v>2.1030000000000002</c:v>
                </c:pt>
                <c:pt idx="2104">
                  <c:v>2.1040000000000001</c:v>
                </c:pt>
                <c:pt idx="2105">
                  <c:v>2.105</c:v>
                </c:pt>
                <c:pt idx="2106">
                  <c:v>2.1059999999999999</c:v>
                </c:pt>
                <c:pt idx="2107">
                  <c:v>2.1070000000000002</c:v>
                </c:pt>
                <c:pt idx="2108">
                  <c:v>2.1080000000000001</c:v>
                </c:pt>
                <c:pt idx="2109">
                  <c:v>2.109</c:v>
                </c:pt>
                <c:pt idx="2110">
                  <c:v>2.11</c:v>
                </c:pt>
                <c:pt idx="2111">
                  <c:v>2.1110000000000002</c:v>
                </c:pt>
                <c:pt idx="2112">
                  <c:v>2.1120000000000001</c:v>
                </c:pt>
                <c:pt idx="2113">
                  <c:v>2.113</c:v>
                </c:pt>
                <c:pt idx="2114">
                  <c:v>2.1139999999999999</c:v>
                </c:pt>
                <c:pt idx="2115">
                  <c:v>2.1150000000000002</c:v>
                </c:pt>
                <c:pt idx="2116">
                  <c:v>2.1160000000000001</c:v>
                </c:pt>
                <c:pt idx="2117">
                  <c:v>2.117</c:v>
                </c:pt>
                <c:pt idx="2118">
                  <c:v>2.1179999999999999</c:v>
                </c:pt>
                <c:pt idx="2119">
                  <c:v>2.1190000000000002</c:v>
                </c:pt>
                <c:pt idx="2120">
                  <c:v>2.12</c:v>
                </c:pt>
                <c:pt idx="2121">
                  <c:v>2.121</c:v>
                </c:pt>
                <c:pt idx="2122">
                  <c:v>2.1219999999999999</c:v>
                </c:pt>
                <c:pt idx="2123">
                  <c:v>2.1230000000000002</c:v>
                </c:pt>
                <c:pt idx="2124">
                  <c:v>2.1240000000000001</c:v>
                </c:pt>
                <c:pt idx="2125">
                  <c:v>2.125</c:v>
                </c:pt>
                <c:pt idx="2126">
                  <c:v>2.1259999999999999</c:v>
                </c:pt>
                <c:pt idx="2127">
                  <c:v>2.1269999999999998</c:v>
                </c:pt>
                <c:pt idx="2128">
                  <c:v>2.1280000000000001</c:v>
                </c:pt>
                <c:pt idx="2129">
                  <c:v>2.129</c:v>
                </c:pt>
                <c:pt idx="2130">
                  <c:v>2.13</c:v>
                </c:pt>
                <c:pt idx="2131">
                  <c:v>2.1309999999999998</c:v>
                </c:pt>
                <c:pt idx="2132">
                  <c:v>2.1320000000000001</c:v>
                </c:pt>
                <c:pt idx="2133">
                  <c:v>2.133</c:v>
                </c:pt>
                <c:pt idx="2134">
                  <c:v>2.1339999999999999</c:v>
                </c:pt>
                <c:pt idx="2135">
                  <c:v>2.1349999999999998</c:v>
                </c:pt>
                <c:pt idx="2136">
                  <c:v>2.1360000000000001</c:v>
                </c:pt>
                <c:pt idx="2137">
                  <c:v>2.137</c:v>
                </c:pt>
                <c:pt idx="2138">
                  <c:v>2.1379999999999999</c:v>
                </c:pt>
                <c:pt idx="2139">
                  <c:v>2.1389999999999998</c:v>
                </c:pt>
                <c:pt idx="2140">
                  <c:v>2.14</c:v>
                </c:pt>
                <c:pt idx="2141">
                  <c:v>2.141</c:v>
                </c:pt>
                <c:pt idx="2142">
                  <c:v>2.1419999999999999</c:v>
                </c:pt>
                <c:pt idx="2143">
                  <c:v>2.1429999999999998</c:v>
                </c:pt>
                <c:pt idx="2144">
                  <c:v>2.1440000000000001</c:v>
                </c:pt>
                <c:pt idx="2145">
                  <c:v>2.145</c:v>
                </c:pt>
                <c:pt idx="2146">
                  <c:v>2.1459999999999999</c:v>
                </c:pt>
                <c:pt idx="2147">
                  <c:v>2.1469999999999998</c:v>
                </c:pt>
                <c:pt idx="2148">
                  <c:v>2.1480000000000001</c:v>
                </c:pt>
                <c:pt idx="2149">
                  <c:v>2.149</c:v>
                </c:pt>
                <c:pt idx="2150">
                  <c:v>2.15</c:v>
                </c:pt>
                <c:pt idx="2151">
                  <c:v>2.1509999999999998</c:v>
                </c:pt>
                <c:pt idx="2152">
                  <c:v>2.1520000000000001</c:v>
                </c:pt>
                <c:pt idx="2153">
                  <c:v>2.153</c:v>
                </c:pt>
                <c:pt idx="2154">
                  <c:v>2.1539999999999999</c:v>
                </c:pt>
                <c:pt idx="2155">
                  <c:v>2.1549999999999998</c:v>
                </c:pt>
                <c:pt idx="2156">
                  <c:v>2.1560000000000001</c:v>
                </c:pt>
                <c:pt idx="2157">
                  <c:v>2.157</c:v>
                </c:pt>
                <c:pt idx="2158">
                  <c:v>2.1579999999999999</c:v>
                </c:pt>
                <c:pt idx="2159">
                  <c:v>2.1589999999999998</c:v>
                </c:pt>
                <c:pt idx="2160">
                  <c:v>2.16</c:v>
                </c:pt>
                <c:pt idx="2161">
                  <c:v>2.161</c:v>
                </c:pt>
                <c:pt idx="2162">
                  <c:v>2.1619999999999999</c:v>
                </c:pt>
                <c:pt idx="2163">
                  <c:v>2.1629999999999998</c:v>
                </c:pt>
                <c:pt idx="2164">
                  <c:v>2.1640000000000001</c:v>
                </c:pt>
                <c:pt idx="2165">
                  <c:v>2.165</c:v>
                </c:pt>
                <c:pt idx="2166">
                  <c:v>2.1659999999999999</c:v>
                </c:pt>
                <c:pt idx="2167">
                  <c:v>2.1669999999999998</c:v>
                </c:pt>
                <c:pt idx="2168">
                  <c:v>2.1680000000000001</c:v>
                </c:pt>
                <c:pt idx="2169">
                  <c:v>2.169</c:v>
                </c:pt>
                <c:pt idx="2170">
                  <c:v>2.17</c:v>
                </c:pt>
                <c:pt idx="2171">
                  <c:v>2.1709999999999998</c:v>
                </c:pt>
                <c:pt idx="2172">
                  <c:v>2.1720000000000002</c:v>
                </c:pt>
                <c:pt idx="2173">
                  <c:v>2.173</c:v>
                </c:pt>
                <c:pt idx="2174">
                  <c:v>2.1739999999999999</c:v>
                </c:pt>
                <c:pt idx="2175">
                  <c:v>2.1749999999999998</c:v>
                </c:pt>
                <c:pt idx="2176">
                  <c:v>2.1760000000000002</c:v>
                </c:pt>
                <c:pt idx="2177">
                  <c:v>2.177</c:v>
                </c:pt>
                <c:pt idx="2178">
                  <c:v>2.1779999999999999</c:v>
                </c:pt>
                <c:pt idx="2179">
                  <c:v>2.1789999999999998</c:v>
                </c:pt>
                <c:pt idx="2180">
                  <c:v>2.1800000000000002</c:v>
                </c:pt>
                <c:pt idx="2181">
                  <c:v>2.181</c:v>
                </c:pt>
                <c:pt idx="2182">
                  <c:v>2.1819999999999999</c:v>
                </c:pt>
                <c:pt idx="2183">
                  <c:v>2.1829999999999998</c:v>
                </c:pt>
                <c:pt idx="2184">
                  <c:v>2.1840000000000002</c:v>
                </c:pt>
                <c:pt idx="2185">
                  <c:v>2.1850000000000001</c:v>
                </c:pt>
                <c:pt idx="2186">
                  <c:v>2.1859999999999999</c:v>
                </c:pt>
                <c:pt idx="2187">
                  <c:v>2.1869999999999998</c:v>
                </c:pt>
                <c:pt idx="2188">
                  <c:v>2.1880000000000002</c:v>
                </c:pt>
                <c:pt idx="2189">
                  <c:v>2.1890000000000001</c:v>
                </c:pt>
                <c:pt idx="2190">
                  <c:v>2.19</c:v>
                </c:pt>
                <c:pt idx="2191">
                  <c:v>2.1909999999999998</c:v>
                </c:pt>
                <c:pt idx="2192">
                  <c:v>2.1920000000000002</c:v>
                </c:pt>
                <c:pt idx="2193">
                  <c:v>2.1930000000000001</c:v>
                </c:pt>
                <c:pt idx="2194">
                  <c:v>2.194</c:v>
                </c:pt>
                <c:pt idx="2195">
                  <c:v>2.1949999999999998</c:v>
                </c:pt>
                <c:pt idx="2196">
                  <c:v>2.1960000000000002</c:v>
                </c:pt>
                <c:pt idx="2197">
                  <c:v>2.1970000000000001</c:v>
                </c:pt>
                <c:pt idx="2198">
                  <c:v>2.198</c:v>
                </c:pt>
                <c:pt idx="2199">
                  <c:v>2.1989999999999998</c:v>
                </c:pt>
                <c:pt idx="2200">
                  <c:v>2.2000000000000002</c:v>
                </c:pt>
                <c:pt idx="2201">
                  <c:v>2.2010000000000001</c:v>
                </c:pt>
                <c:pt idx="2202">
                  <c:v>2.202</c:v>
                </c:pt>
                <c:pt idx="2203">
                  <c:v>2.2029999999999998</c:v>
                </c:pt>
                <c:pt idx="2204">
                  <c:v>2.2040000000000002</c:v>
                </c:pt>
                <c:pt idx="2205">
                  <c:v>2.2050000000000001</c:v>
                </c:pt>
                <c:pt idx="2206">
                  <c:v>2.206</c:v>
                </c:pt>
                <c:pt idx="2207">
                  <c:v>2.2069999999999999</c:v>
                </c:pt>
                <c:pt idx="2208">
                  <c:v>2.2080000000000002</c:v>
                </c:pt>
                <c:pt idx="2209">
                  <c:v>2.2090000000000001</c:v>
                </c:pt>
                <c:pt idx="2210">
                  <c:v>2.21</c:v>
                </c:pt>
                <c:pt idx="2211">
                  <c:v>2.2109999999999999</c:v>
                </c:pt>
                <c:pt idx="2212">
                  <c:v>2.2120000000000002</c:v>
                </c:pt>
                <c:pt idx="2213">
                  <c:v>2.2130000000000001</c:v>
                </c:pt>
                <c:pt idx="2214">
                  <c:v>2.214</c:v>
                </c:pt>
                <c:pt idx="2215">
                  <c:v>2.2149999999999999</c:v>
                </c:pt>
                <c:pt idx="2216">
                  <c:v>2.2160000000000002</c:v>
                </c:pt>
                <c:pt idx="2217">
                  <c:v>2.2170000000000001</c:v>
                </c:pt>
                <c:pt idx="2218">
                  <c:v>2.218</c:v>
                </c:pt>
                <c:pt idx="2219">
                  <c:v>2.2189999999999999</c:v>
                </c:pt>
                <c:pt idx="2220">
                  <c:v>2.2200000000000002</c:v>
                </c:pt>
                <c:pt idx="2221">
                  <c:v>2.2210000000000001</c:v>
                </c:pt>
                <c:pt idx="2222">
                  <c:v>2.222</c:v>
                </c:pt>
                <c:pt idx="2223">
                  <c:v>2.2229999999999999</c:v>
                </c:pt>
                <c:pt idx="2224">
                  <c:v>2.2240000000000002</c:v>
                </c:pt>
                <c:pt idx="2225">
                  <c:v>2.2250000000000001</c:v>
                </c:pt>
                <c:pt idx="2226">
                  <c:v>2.226</c:v>
                </c:pt>
                <c:pt idx="2227">
                  <c:v>2.2269999999999999</c:v>
                </c:pt>
                <c:pt idx="2228">
                  <c:v>2.2280000000000002</c:v>
                </c:pt>
                <c:pt idx="2229">
                  <c:v>2.2290000000000001</c:v>
                </c:pt>
                <c:pt idx="2230">
                  <c:v>2.23</c:v>
                </c:pt>
                <c:pt idx="2231">
                  <c:v>2.2309999999999999</c:v>
                </c:pt>
                <c:pt idx="2232">
                  <c:v>2.2320000000000002</c:v>
                </c:pt>
                <c:pt idx="2233">
                  <c:v>2.2330000000000001</c:v>
                </c:pt>
                <c:pt idx="2234">
                  <c:v>2.234</c:v>
                </c:pt>
                <c:pt idx="2235">
                  <c:v>2.2349999999999999</c:v>
                </c:pt>
                <c:pt idx="2236">
                  <c:v>2.2360000000000002</c:v>
                </c:pt>
                <c:pt idx="2237">
                  <c:v>2.2370000000000001</c:v>
                </c:pt>
                <c:pt idx="2238">
                  <c:v>2.238</c:v>
                </c:pt>
                <c:pt idx="2239">
                  <c:v>2.2389999999999999</c:v>
                </c:pt>
                <c:pt idx="2240">
                  <c:v>2.2400000000000002</c:v>
                </c:pt>
                <c:pt idx="2241">
                  <c:v>2.2410000000000001</c:v>
                </c:pt>
                <c:pt idx="2242">
                  <c:v>2.242</c:v>
                </c:pt>
                <c:pt idx="2243">
                  <c:v>2.2429999999999999</c:v>
                </c:pt>
                <c:pt idx="2244">
                  <c:v>2.2440000000000002</c:v>
                </c:pt>
                <c:pt idx="2245">
                  <c:v>2.2450000000000001</c:v>
                </c:pt>
                <c:pt idx="2246">
                  <c:v>2.246</c:v>
                </c:pt>
                <c:pt idx="2247">
                  <c:v>2.2469999999999999</c:v>
                </c:pt>
                <c:pt idx="2248">
                  <c:v>2.2480000000000002</c:v>
                </c:pt>
                <c:pt idx="2249">
                  <c:v>2.2490000000000001</c:v>
                </c:pt>
                <c:pt idx="2250">
                  <c:v>2.25</c:v>
                </c:pt>
                <c:pt idx="2251">
                  <c:v>2.2509999999999999</c:v>
                </c:pt>
                <c:pt idx="2252">
                  <c:v>2.2519999999999998</c:v>
                </c:pt>
                <c:pt idx="2253">
                  <c:v>2.2530000000000001</c:v>
                </c:pt>
                <c:pt idx="2254">
                  <c:v>2.254</c:v>
                </c:pt>
                <c:pt idx="2255">
                  <c:v>2.2549999999999999</c:v>
                </c:pt>
                <c:pt idx="2256">
                  <c:v>2.2559999999999998</c:v>
                </c:pt>
                <c:pt idx="2257">
                  <c:v>2.2570000000000001</c:v>
                </c:pt>
                <c:pt idx="2258">
                  <c:v>2.258</c:v>
                </c:pt>
                <c:pt idx="2259">
                  <c:v>2.2589999999999999</c:v>
                </c:pt>
                <c:pt idx="2260">
                  <c:v>2.2599999999999998</c:v>
                </c:pt>
                <c:pt idx="2261">
                  <c:v>2.2610000000000001</c:v>
                </c:pt>
                <c:pt idx="2262">
                  <c:v>2.262</c:v>
                </c:pt>
                <c:pt idx="2263">
                  <c:v>2.2629999999999999</c:v>
                </c:pt>
                <c:pt idx="2264">
                  <c:v>2.2639999999999998</c:v>
                </c:pt>
                <c:pt idx="2265">
                  <c:v>2.2650000000000001</c:v>
                </c:pt>
                <c:pt idx="2266">
                  <c:v>2.266</c:v>
                </c:pt>
                <c:pt idx="2267">
                  <c:v>2.2669999999999999</c:v>
                </c:pt>
                <c:pt idx="2268">
                  <c:v>2.2679999999999998</c:v>
                </c:pt>
                <c:pt idx="2269">
                  <c:v>2.2690000000000001</c:v>
                </c:pt>
                <c:pt idx="2270">
                  <c:v>2.27</c:v>
                </c:pt>
                <c:pt idx="2271">
                  <c:v>2.2709999999999999</c:v>
                </c:pt>
                <c:pt idx="2272">
                  <c:v>2.2719999999999998</c:v>
                </c:pt>
                <c:pt idx="2273">
                  <c:v>2.2730000000000001</c:v>
                </c:pt>
                <c:pt idx="2274">
                  <c:v>2.274</c:v>
                </c:pt>
                <c:pt idx="2275">
                  <c:v>2.2749999999999999</c:v>
                </c:pt>
                <c:pt idx="2276">
                  <c:v>2.2759999999999998</c:v>
                </c:pt>
                <c:pt idx="2277">
                  <c:v>2.2770000000000001</c:v>
                </c:pt>
                <c:pt idx="2278">
                  <c:v>2.278</c:v>
                </c:pt>
                <c:pt idx="2279">
                  <c:v>2.2789999999999999</c:v>
                </c:pt>
                <c:pt idx="2280">
                  <c:v>2.2799999999999998</c:v>
                </c:pt>
                <c:pt idx="2281">
                  <c:v>2.2810000000000001</c:v>
                </c:pt>
                <c:pt idx="2282">
                  <c:v>2.282</c:v>
                </c:pt>
                <c:pt idx="2283">
                  <c:v>2.2829999999999999</c:v>
                </c:pt>
                <c:pt idx="2284">
                  <c:v>2.2839999999999998</c:v>
                </c:pt>
                <c:pt idx="2285">
                  <c:v>2.2850000000000001</c:v>
                </c:pt>
                <c:pt idx="2286">
                  <c:v>2.286</c:v>
                </c:pt>
                <c:pt idx="2287">
                  <c:v>2.2869999999999999</c:v>
                </c:pt>
                <c:pt idx="2288">
                  <c:v>2.2879999999999998</c:v>
                </c:pt>
                <c:pt idx="2289">
                  <c:v>2.2890000000000001</c:v>
                </c:pt>
                <c:pt idx="2290">
                  <c:v>2.29</c:v>
                </c:pt>
                <c:pt idx="2291">
                  <c:v>2.2909999999999999</c:v>
                </c:pt>
                <c:pt idx="2292">
                  <c:v>2.2919999999999998</c:v>
                </c:pt>
                <c:pt idx="2293">
                  <c:v>2.2930000000000001</c:v>
                </c:pt>
                <c:pt idx="2294">
                  <c:v>2.294</c:v>
                </c:pt>
                <c:pt idx="2295">
                  <c:v>2.2949999999999999</c:v>
                </c:pt>
                <c:pt idx="2296">
                  <c:v>2.2959999999999998</c:v>
                </c:pt>
                <c:pt idx="2297">
                  <c:v>2.2970000000000002</c:v>
                </c:pt>
                <c:pt idx="2298">
                  <c:v>2.298</c:v>
                </c:pt>
                <c:pt idx="2299">
                  <c:v>2.2989999999999999</c:v>
                </c:pt>
                <c:pt idx="2300">
                  <c:v>2.2999999999999998</c:v>
                </c:pt>
                <c:pt idx="2301">
                  <c:v>2.3010000000000002</c:v>
                </c:pt>
                <c:pt idx="2302">
                  <c:v>2.302</c:v>
                </c:pt>
                <c:pt idx="2303">
                  <c:v>2.3029999999999999</c:v>
                </c:pt>
                <c:pt idx="2304">
                  <c:v>2.3039999999999998</c:v>
                </c:pt>
                <c:pt idx="2305">
                  <c:v>2.3050000000000002</c:v>
                </c:pt>
                <c:pt idx="2306">
                  <c:v>2.306</c:v>
                </c:pt>
                <c:pt idx="2307">
                  <c:v>2.3069999999999999</c:v>
                </c:pt>
                <c:pt idx="2308">
                  <c:v>2.3079999999999998</c:v>
                </c:pt>
                <c:pt idx="2309">
                  <c:v>2.3090000000000002</c:v>
                </c:pt>
                <c:pt idx="2310">
                  <c:v>2.31</c:v>
                </c:pt>
                <c:pt idx="2311">
                  <c:v>2.3109999999999999</c:v>
                </c:pt>
                <c:pt idx="2312">
                  <c:v>2.3119999999999998</c:v>
                </c:pt>
                <c:pt idx="2313">
                  <c:v>2.3130000000000002</c:v>
                </c:pt>
                <c:pt idx="2314">
                  <c:v>2.3140000000000001</c:v>
                </c:pt>
                <c:pt idx="2315">
                  <c:v>2.3149999999999999</c:v>
                </c:pt>
                <c:pt idx="2316">
                  <c:v>2.3159999999999998</c:v>
                </c:pt>
                <c:pt idx="2317">
                  <c:v>2.3170000000000002</c:v>
                </c:pt>
                <c:pt idx="2318">
                  <c:v>2.3180000000000001</c:v>
                </c:pt>
                <c:pt idx="2319">
                  <c:v>2.319</c:v>
                </c:pt>
                <c:pt idx="2320">
                  <c:v>2.3199999999999998</c:v>
                </c:pt>
                <c:pt idx="2321">
                  <c:v>2.3210000000000002</c:v>
                </c:pt>
                <c:pt idx="2322">
                  <c:v>2.3220000000000001</c:v>
                </c:pt>
                <c:pt idx="2323">
                  <c:v>2.323</c:v>
                </c:pt>
                <c:pt idx="2324">
                  <c:v>2.3239999999999998</c:v>
                </c:pt>
                <c:pt idx="2325">
                  <c:v>2.3250000000000002</c:v>
                </c:pt>
                <c:pt idx="2326">
                  <c:v>2.3260000000000001</c:v>
                </c:pt>
                <c:pt idx="2327">
                  <c:v>2.327</c:v>
                </c:pt>
                <c:pt idx="2328">
                  <c:v>2.3279999999999998</c:v>
                </c:pt>
                <c:pt idx="2329">
                  <c:v>2.3290000000000002</c:v>
                </c:pt>
                <c:pt idx="2330">
                  <c:v>2.33</c:v>
                </c:pt>
                <c:pt idx="2331">
                  <c:v>2.331</c:v>
                </c:pt>
                <c:pt idx="2332">
                  <c:v>2.3319999999999999</c:v>
                </c:pt>
                <c:pt idx="2333">
                  <c:v>2.3330000000000002</c:v>
                </c:pt>
                <c:pt idx="2334">
                  <c:v>2.3340000000000001</c:v>
                </c:pt>
                <c:pt idx="2335">
                  <c:v>2.335</c:v>
                </c:pt>
                <c:pt idx="2336">
                  <c:v>2.3359999999999999</c:v>
                </c:pt>
                <c:pt idx="2337">
                  <c:v>2.3370000000000002</c:v>
                </c:pt>
                <c:pt idx="2338">
                  <c:v>2.3380000000000001</c:v>
                </c:pt>
                <c:pt idx="2339">
                  <c:v>2.339</c:v>
                </c:pt>
                <c:pt idx="2340">
                  <c:v>2.34</c:v>
                </c:pt>
                <c:pt idx="2341">
                  <c:v>2.3410000000000002</c:v>
                </c:pt>
                <c:pt idx="2342">
                  <c:v>2.3420000000000001</c:v>
                </c:pt>
                <c:pt idx="2343">
                  <c:v>2.343</c:v>
                </c:pt>
                <c:pt idx="2344">
                  <c:v>2.3439999999999999</c:v>
                </c:pt>
                <c:pt idx="2345">
                  <c:v>2.3450000000000002</c:v>
                </c:pt>
                <c:pt idx="2346">
                  <c:v>2.3460000000000001</c:v>
                </c:pt>
                <c:pt idx="2347">
                  <c:v>2.347</c:v>
                </c:pt>
                <c:pt idx="2348">
                  <c:v>2.3479999999999999</c:v>
                </c:pt>
                <c:pt idx="2349">
                  <c:v>2.3490000000000002</c:v>
                </c:pt>
                <c:pt idx="2350">
                  <c:v>2.35</c:v>
                </c:pt>
                <c:pt idx="2351">
                  <c:v>2.351</c:v>
                </c:pt>
                <c:pt idx="2352">
                  <c:v>2.3519999999999999</c:v>
                </c:pt>
                <c:pt idx="2353">
                  <c:v>2.3530000000000002</c:v>
                </c:pt>
                <c:pt idx="2354">
                  <c:v>2.3540000000000001</c:v>
                </c:pt>
                <c:pt idx="2355">
                  <c:v>2.355</c:v>
                </c:pt>
                <c:pt idx="2356">
                  <c:v>2.3559999999999999</c:v>
                </c:pt>
                <c:pt idx="2357">
                  <c:v>2.3570000000000002</c:v>
                </c:pt>
                <c:pt idx="2358">
                  <c:v>2.3580000000000001</c:v>
                </c:pt>
                <c:pt idx="2359">
                  <c:v>2.359</c:v>
                </c:pt>
                <c:pt idx="2360">
                  <c:v>2.36</c:v>
                </c:pt>
                <c:pt idx="2361">
                  <c:v>2.3610000000000002</c:v>
                </c:pt>
                <c:pt idx="2362">
                  <c:v>2.3620000000000001</c:v>
                </c:pt>
                <c:pt idx="2363">
                  <c:v>2.363</c:v>
                </c:pt>
                <c:pt idx="2364">
                  <c:v>2.3639999999999999</c:v>
                </c:pt>
                <c:pt idx="2365">
                  <c:v>2.3650000000000002</c:v>
                </c:pt>
                <c:pt idx="2366">
                  <c:v>2.3660000000000001</c:v>
                </c:pt>
                <c:pt idx="2367">
                  <c:v>2.367</c:v>
                </c:pt>
                <c:pt idx="2368">
                  <c:v>2.3679999999999999</c:v>
                </c:pt>
                <c:pt idx="2369">
                  <c:v>2.3690000000000002</c:v>
                </c:pt>
                <c:pt idx="2370">
                  <c:v>2.37</c:v>
                </c:pt>
                <c:pt idx="2371">
                  <c:v>2.371</c:v>
                </c:pt>
                <c:pt idx="2372">
                  <c:v>2.3719999999999999</c:v>
                </c:pt>
                <c:pt idx="2373">
                  <c:v>2.3730000000000002</c:v>
                </c:pt>
                <c:pt idx="2374">
                  <c:v>2.3740000000000001</c:v>
                </c:pt>
                <c:pt idx="2375">
                  <c:v>2.375</c:v>
                </c:pt>
                <c:pt idx="2376">
                  <c:v>2.3759999999999999</c:v>
                </c:pt>
                <c:pt idx="2377">
                  <c:v>2.3769999999999998</c:v>
                </c:pt>
                <c:pt idx="2378">
                  <c:v>2.3780000000000001</c:v>
                </c:pt>
                <c:pt idx="2379">
                  <c:v>2.379</c:v>
                </c:pt>
                <c:pt idx="2380">
                  <c:v>2.38</c:v>
                </c:pt>
                <c:pt idx="2381">
                  <c:v>2.3809999999999998</c:v>
                </c:pt>
                <c:pt idx="2382">
                  <c:v>2.3820000000000001</c:v>
                </c:pt>
                <c:pt idx="2383">
                  <c:v>2.383</c:v>
                </c:pt>
                <c:pt idx="2384">
                  <c:v>2.3839999999999999</c:v>
                </c:pt>
                <c:pt idx="2385">
                  <c:v>2.3849999999999998</c:v>
                </c:pt>
                <c:pt idx="2386">
                  <c:v>2.3860000000000001</c:v>
                </c:pt>
                <c:pt idx="2387">
                  <c:v>2.387</c:v>
                </c:pt>
                <c:pt idx="2388">
                  <c:v>2.3879999999999999</c:v>
                </c:pt>
                <c:pt idx="2389">
                  <c:v>2.3889999999999998</c:v>
                </c:pt>
                <c:pt idx="2390">
                  <c:v>2.39</c:v>
                </c:pt>
                <c:pt idx="2391">
                  <c:v>2.391</c:v>
                </c:pt>
                <c:pt idx="2392">
                  <c:v>2.3919999999999999</c:v>
                </c:pt>
                <c:pt idx="2393">
                  <c:v>2.3929999999999998</c:v>
                </c:pt>
                <c:pt idx="2394">
                  <c:v>2.3940000000000001</c:v>
                </c:pt>
                <c:pt idx="2395">
                  <c:v>2.395</c:v>
                </c:pt>
                <c:pt idx="2396">
                  <c:v>2.3959999999999999</c:v>
                </c:pt>
                <c:pt idx="2397">
                  <c:v>2.3969999999999998</c:v>
                </c:pt>
                <c:pt idx="2398">
                  <c:v>2.3980000000000001</c:v>
                </c:pt>
                <c:pt idx="2399">
                  <c:v>2.399</c:v>
                </c:pt>
                <c:pt idx="2400">
                  <c:v>2.4</c:v>
                </c:pt>
                <c:pt idx="2401">
                  <c:v>2.4009999999999998</c:v>
                </c:pt>
                <c:pt idx="2402">
                  <c:v>2.4020000000000001</c:v>
                </c:pt>
                <c:pt idx="2403">
                  <c:v>2.403</c:v>
                </c:pt>
                <c:pt idx="2404">
                  <c:v>2.4039999999999999</c:v>
                </c:pt>
                <c:pt idx="2405">
                  <c:v>2.4049999999999998</c:v>
                </c:pt>
                <c:pt idx="2406">
                  <c:v>2.4060000000000001</c:v>
                </c:pt>
                <c:pt idx="2407">
                  <c:v>2.407</c:v>
                </c:pt>
                <c:pt idx="2408">
                  <c:v>2.4079999999999999</c:v>
                </c:pt>
                <c:pt idx="2409">
                  <c:v>2.4089999999999998</c:v>
                </c:pt>
                <c:pt idx="2410">
                  <c:v>2.41</c:v>
                </c:pt>
                <c:pt idx="2411">
                  <c:v>2.411</c:v>
                </c:pt>
                <c:pt idx="2412">
                  <c:v>2.4119999999999999</c:v>
                </c:pt>
                <c:pt idx="2413">
                  <c:v>2.4129999999999998</c:v>
                </c:pt>
                <c:pt idx="2414">
                  <c:v>2.4140000000000001</c:v>
                </c:pt>
                <c:pt idx="2415">
                  <c:v>2.415</c:v>
                </c:pt>
                <c:pt idx="2416">
                  <c:v>2.4159999999999999</c:v>
                </c:pt>
                <c:pt idx="2417">
                  <c:v>2.4169999999999998</c:v>
                </c:pt>
                <c:pt idx="2418">
                  <c:v>2.4180000000000001</c:v>
                </c:pt>
                <c:pt idx="2419">
                  <c:v>2.419</c:v>
                </c:pt>
                <c:pt idx="2420">
                  <c:v>2.42</c:v>
                </c:pt>
                <c:pt idx="2421">
                  <c:v>2.4209999999999998</c:v>
                </c:pt>
                <c:pt idx="2422">
                  <c:v>2.4220000000000002</c:v>
                </c:pt>
                <c:pt idx="2423">
                  <c:v>2.423</c:v>
                </c:pt>
                <c:pt idx="2424">
                  <c:v>2.4239999999999999</c:v>
                </c:pt>
                <c:pt idx="2425">
                  <c:v>2.4249999999999998</c:v>
                </c:pt>
                <c:pt idx="2426">
                  <c:v>2.4260000000000002</c:v>
                </c:pt>
                <c:pt idx="2427">
                  <c:v>2.427</c:v>
                </c:pt>
                <c:pt idx="2428">
                  <c:v>2.4279999999999999</c:v>
                </c:pt>
                <c:pt idx="2429">
                  <c:v>2.4289999999999998</c:v>
                </c:pt>
                <c:pt idx="2430">
                  <c:v>2.4300000000000002</c:v>
                </c:pt>
                <c:pt idx="2431">
                  <c:v>2.431</c:v>
                </c:pt>
                <c:pt idx="2432">
                  <c:v>2.4319999999999999</c:v>
                </c:pt>
                <c:pt idx="2433">
                  <c:v>2.4329999999999998</c:v>
                </c:pt>
                <c:pt idx="2434">
                  <c:v>2.4340000000000002</c:v>
                </c:pt>
                <c:pt idx="2435">
                  <c:v>2.4350000000000001</c:v>
                </c:pt>
                <c:pt idx="2436">
                  <c:v>2.4359999999999999</c:v>
                </c:pt>
                <c:pt idx="2437">
                  <c:v>2.4369999999999998</c:v>
                </c:pt>
                <c:pt idx="2438">
                  <c:v>2.4380000000000002</c:v>
                </c:pt>
                <c:pt idx="2439">
                  <c:v>2.4390000000000001</c:v>
                </c:pt>
                <c:pt idx="2440">
                  <c:v>2.44</c:v>
                </c:pt>
                <c:pt idx="2441">
                  <c:v>2.4409999999999998</c:v>
                </c:pt>
                <c:pt idx="2442">
                  <c:v>2.4420000000000002</c:v>
                </c:pt>
                <c:pt idx="2443">
                  <c:v>2.4430000000000001</c:v>
                </c:pt>
                <c:pt idx="2444">
                  <c:v>2.444</c:v>
                </c:pt>
                <c:pt idx="2445">
                  <c:v>2.4449999999999998</c:v>
                </c:pt>
                <c:pt idx="2446">
                  <c:v>2.4460000000000002</c:v>
                </c:pt>
                <c:pt idx="2447">
                  <c:v>2.4470000000000001</c:v>
                </c:pt>
                <c:pt idx="2448">
                  <c:v>2.448</c:v>
                </c:pt>
                <c:pt idx="2449">
                  <c:v>2.4489999999999998</c:v>
                </c:pt>
                <c:pt idx="2450">
                  <c:v>2.4500000000000002</c:v>
                </c:pt>
                <c:pt idx="2451">
                  <c:v>2.4510000000000001</c:v>
                </c:pt>
                <c:pt idx="2452">
                  <c:v>2.452</c:v>
                </c:pt>
                <c:pt idx="2453">
                  <c:v>2.4529999999999998</c:v>
                </c:pt>
                <c:pt idx="2454">
                  <c:v>2.4540000000000002</c:v>
                </c:pt>
                <c:pt idx="2455">
                  <c:v>2.4550000000000001</c:v>
                </c:pt>
                <c:pt idx="2456">
                  <c:v>2.456</c:v>
                </c:pt>
                <c:pt idx="2457">
                  <c:v>2.4569999999999999</c:v>
                </c:pt>
                <c:pt idx="2458">
                  <c:v>2.4580000000000002</c:v>
                </c:pt>
                <c:pt idx="2459">
                  <c:v>2.4590000000000001</c:v>
                </c:pt>
                <c:pt idx="2460">
                  <c:v>2.46</c:v>
                </c:pt>
                <c:pt idx="2461">
                  <c:v>2.4609999999999999</c:v>
                </c:pt>
                <c:pt idx="2462">
                  <c:v>2.4620000000000002</c:v>
                </c:pt>
                <c:pt idx="2463">
                  <c:v>2.4630000000000001</c:v>
                </c:pt>
                <c:pt idx="2464">
                  <c:v>2.464</c:v>
                </c:pt>
                <c:pt idx="2465">
                  <c:v>2.4649999999999999</c:v>
                </c:pt>
                <c:pt idx="2466">
                  <c:v>2.4660000000000002</c:v>
                </c:pt>
                <c:pt idx="2467">
                  <c:v>2.4670000000000001</c:v>
                </c:pt>
                <c:pt idx="2468">
                  <c:v>2.468</c:v>
                </c:pt>
                <c:pt idx="2469">
                  <c:v>2.4689999999999999</c:v>
                </c:pt>
                <c:pt idx="2470">
                  <c:v>2.4700000000000002</c:v>
                </c:pt>
                <c:pt idx="2471">
                  <c:v>2.4710000000000001</c:v>
                </c:pt>
                <c:pt idx="2472">
                  <c:v>2.472</c:v>
                </c:pt>
                <c:pt idx="2473">
                  <c:v>2.4729999999999999</c:v>
                </c:pt>
                <c:pt idx="2474">
                  <c:v>2.4740000000000002</c:v>
                </c:pt>
                <c:pt idx="2475">
                  <c:v>2.4750000000000001</c:v>
                </c:pt>
                <c:pt idx="2476">
                  <c:v>2.476</c:v>
                </c:pt>
                <c:pt idx="2477">
                  <c:v>2.4769999999999999</c:v>
                </c:pt>
                <c:pt idx="2478">
                  <c:v>2.4780000000000002</c:v>
                </c:pt>
                <c:pt idx="2479">
                  <c:v>2.4790000000000001</c:v>
                </c:pt>
                <c:pt idx="2480">
                  <c:v>2.48</c:v>
                </c:pt>
                <c:pt idx="2481">
                  <c:v>2.4809999999999999</c:v>
                </c:pt>
                <c:pt idx="2482">
                  <c:v>2.4820000000000002</c:v>
                </c:pt>
                <c:pt idx="2483">
                  <c:v>2.4830000000000001</c:v>
                </c:pt>
                <c:pt idx="2484">
                  <c:v>2.484</c:v>
                </c:pt>
                <c:pt idx="2485">
                  <c:v>2.4849999999999999</c:v>
                </c:pt>
                <c:pt idx="2486">
                  <c:v>2.4860000000000002</c:v>
                </c:pt>
                <c:pt idx="2487">
                  <c:v>2.4870000000000001</c:v>
                </c:pt>
                <c:pt idx="2488">
                  <c:v>2.488</c:v>
                </c:pt>
                <c:pt idx="2489">
                  <c:v>2.4889999999999999</c:v>
                </c:pt>
                <c:pt idx="2490">
                  <c:v>2.4900000000000002</c:v>
                </c:pt>
                <c:pt idx="2491">
                  <c:v>2.4910000000000001</c:v>
                </c:pt>
                <c:pt idx="2492">
                  <c:v>2.492</c:v>
                </c:pt>
                <c:pt idx="2493">
                  <c:v>2.4929999999999999</c:v>
                </c:pt>
                <c:pt idx="2494">
                  <c:v>2.4940000000000002</c:v>
                </c:pt>
                <c:pt idx="2495">
                  <c:v>2.4950000000000001</c:v>
                </c:pt>
                <c:pt idx="2496">
                  <c:v>2.496</c:v>
                </c:pt>
                <c:pt idx="2497">
                  <c:v>2.4969999999999999</c:v>
                </c:pt>
                <c:pt idx="2498">
                  <c:v>2.4980000000000002</c:v>
                </c:pt>
                <c:pt idx="2499">
                  <c:v>2.4990000000000001</c:v>
                </c:pt>
                <c:pt idx="2500">
                  <c:v>2.5</c:v>
                </c:pt>
                <c:pt idx="2501">
                  <c:v>2.5009999999999999</c:v>
                </c:pt>
                <c:pt idx="2502">
                  <c:v>2.5019999999999998</c:v>
                </c:pt>
                <c:pt idx="2503">
                  <c:v>2.5030000000000001</c:v>
                </c:pt>
                <c:pt idx="2504">
                  <c:v>2.504</c:v>
                </c:pt>
                <c:pt idx="2505">
                  <c:v>2.5049999999999999</c:v>
                </c:pt>
                <c:pt idx="2506">
                  <c:v>2.5059999999999998</c:v>
                </c:pt>
                <c:pt idx="2507">
                  <c:v>2.5070000000000001</c:v>
                </c:pt>
                <c:pt idx="2508">
                  <c:v>2.508</c:v>
                </c:pt>
                <c:pt idx="2509">
                  <c:v>2.5089999999999999</c:v>
                </c:pt>
                <c:pt idx="2510">
                  <c:v>2.5099999999999998</c:v>
                </c:pt>
                <c:pt idx="2511">
                  <c:v>2.5110000000000001</c:v>
                </c:pt>
                <c:pt idx="2512">
                  <c:v>2.512</c:v>
                </c:pt>
                <c:pt idx="2513">
                  <c:v>2.5129999999999999</c:v>
                </c:pt>
                <c:pt idx="2514">
                  <c:v>2.5139999999999998</c:v>
                </c:pt>
                <c:pt idx="2515">
                  <c:v>2.5150000000000001</c:v>
                </c:pt>
                <c:pt idx="2516">
                  <c:v>2.516</c:v>
                </c:pt>
                <c:pt idx="2517">
                  <c:v>2.5169999999999999</c:v>
                </c:pt>
                <c:pt idx="2518">
                  <c:v>2.5179999999999998</c:v>
                </c:pt>
                <c:pt idx="2519">
                  <c:v>2.5190000000000001</c:v>
                </c:pt>
                <c:pt idx="2520">
                  <c:v>2.52</c:v>
                </c:pt>
                <c:pt idx="2521">
                  <c:v>2.5209999999999999</c:v>
                </c:pt>
                <c:pt idx="2522">
                  <c:v>2.5219999999999998</c:v>
                </c:pt>
                <c:pt idx="2523">
                  <c:v>2.5230000000000001</c:v>
                </c:pt>
                <c:pt idx="2524">
                  <c:v>2.524</c:v>
                </c:pt>
                <c:pt idx="2525">
                  <c:v>2.5249999999999999</c:v>
                </c:pt>
                <c:pt idx="2526">
                  <c:v>2.5259999999999998</c:v>
                </c:pt>
                <c:pt idx="2527">
                  <c:v>2.5270000000000001</c:v>
                </c:pt>
                <c:pt idx="2528">
                  <c:v>2.528</c:v>
                </c:pt>
                <c:pt idx="2529">
                  <c:v>2.5289999999999999</c:v>
                </c:pt>
                <c:pt idx="2530">
                  <c:v>2.5299999999999998</c:v>
                </c:pt>
                <c:pt idx="2531">
                  <c:v>2.5310000000000001</c:v>
                </c:pt>
                <c:pt idx="2532">
                  <c:v>2.532</c:v>
                </c:pt>
                <c:pt idx="2533">
                  <c:v>2.5329999999999999</c:v>
                </c:pt>
                <c:pt idx="2534">
                  <c:v>2.5339999999999998</c:v>
                </c:pt>
                <c:pt idx="2535">
                  <c:v>2.5350000000000001</c:v>
                </c:pt>
                <c:pt idx="2536">
                  <c:v>2.536</c:v>
                </c:pt>
                <c:pt idx="2537">
                  <c:v>2.5369999999999999</c:v>
                </c:pt>
                <c:pt idx="2538">
                  <c:v>2.5379999999999998</c:v>
                </c:pt>
                <c:pt idx="2539">
                  <c:v>2.5390000000000001</c:v>
                </c:pt>
                <c:pt idx="2540">
                  <c:v>2.54</c:v>
                </c:pt>
                <c:pt idx="2541">
                  <c:v>2.5409999999999999</c:v>
                </c:pt>
                <c:pt idx="2542">
                  <c:v>2.5419999999999998</c:v>
                </c:pt>
                <c:pt idx="2543">
                  <c:v>2.5430000000000001</c:v>
                </c:pt>
                <c:pt idx="2544">
                  <c:v>2.544</c:v>
                </c:pt>
                <c:pt idx="2545">
                  <c:v>2.5449999999999999</c:v>
                </c:pt>
                <c:pt idx="2546">
                  <c:v>2.5459999999999998</c:v>
                </c:pt>
                <c:pt idx="2547">
                  <c:v>2.5470000000000002</c:v>
                </c:pt>
                <c:pt idx="2548">
                  <c:v>2.548</c:v>
                </c:pt>
                <c:pt idx="2549">
                  <c:v>2.5489999999999999</c:v>
                </c:pt>
                <c:pt idx="2550">
                  <c:v>2.5499999999999998</c:v>
                </c:pt>
                <c:pt idx="2551">
                  <c:v>2.5510000000000002</c:v>
                </c:pt>
                <c:pt idx="2552">
                  <c:v>2.552</c:v>
                </c:pt>
                <c:pt idx="2553">
                  <c:v>2.5529999999999999</c:v>
                </c:pt>
                <c:pt idx="2554">
                  <c:v>2.5539999999999998</c:v>
                </c:pt>
                <c:pt idx="2555">
                  <c:v>2.5550000000000002</c:v>
                </c:pt>
                <c:pt idx="2556">
                  <c:v>2.556</c:v>
                </c:pt>
                <c:pt idx="2557">
                  <c:v>2.5569999999999999</c:v>
                </c:pt>
                <c:pt idx="2558">
                  <c:v>2.5579999999999998</c:v>
                </c:pt>
                <c:pt idx="2559">
                  <c:v>2.5590000000000002</c:v>
                </c:pt>
                <c:pt idx="2560">
                  <c:v>2.56</c:v>
                </c:pt>
                <c:pt idx="2561">
                  <c:v>2.5609999999999999</c:v>
                </c:pt>
                <c:pt idx="2562">
                  <c:v>2.5619999999999998</c:v>
                </c:pt>
                <c:pt idx="2563">
                  <c:v>2.5630000000000002</c:v>
                </c:pt>
                <c:pt idx="2564">
                  <c:v>2.5640000000000001</c:v>
                </c:pt>
                <c:pt idx="2565">
                  <c:v>2.5649999999999999</c:v>
                </c:pt>
                <c:pt idx="2566">
                  <c:v>2.5659999999999998</c:v>
                </c:pt>
                <c:pt idx="2567">
                  <c:v>2.5670000000000002</c:v>
                </c:pt>
                <c:pt idx="2568">
                  <c:v>2.5680000000000001</c:v>
                </c:pt>
                <c:pt idx="2569">
                  <c:v>2.569</c:v>
                </c:pt>
                <c:pt idx="2570">
                  <c:v>2.57</c:v>
                </c:pt>
                <c:pt idx="2571">
                  <c:v>2.5710000000000002</c:v>
                </c:pt>
                <c:pt idx="2572">
                  <c:v>2.5720000000000001</c:v>
                </c:pt>
                <c:pt idx="2573">
                  <c:v>2.573</c:v>
                </c:pt>
                <c:pt idx="2574">
                  <c:v>2.5739999999999998</c:v>
                </c:pt>
                <c:pt idx="2575">
                  <c:v>2.5750000000000002</c:v>
                </c:pt>
                <c:pt idx="2576">
                  <c:v>2.5760000000000001</c:v>
                </c:pt>
                <c:pt idx="2577">
                  <c:v>2.577</c:v>
                </c:pt>
                <c:pt idx="2578">
                  <c:v>2.5779999999999998</c:v>
                </c:pt>
                <c:pt idx="2579">
                  <c:v>2.5790000000000002</c:v>
                </c:pt>
                <c:pt idx="2580">
                  <c:v>2.58</c:v>
                </c:pt>
                <c:pt idx="2581">
                  <c:v>2.581</c:v>
                </c:pt>
                <c:pt idx="2582">
                  <c:v>2.5819999999999999</c:v>
                </c:pt>
                <c:pt idx="2583">
                  <c:v>2.5830000000000002</c:v>
                </c:pt>
                <c:pt idx="2584">
                  <c:v>2.5840000000000001</c:v>
                </c:pt>
                <c:pt idx="2585">
                  <c:v>2.585</c:v>
                </c:pt>
                <c:pt idx="2586">
                  <c:v>2.5859999999999999</c:v>
                </c:pt>
                <c:pt idx="2587">
                  <c:v>2.5870000000000002</c:v>
                </c:pt>
                <c:pt idx="2588">
                  <c:v>2.5880000000000001</c:v>
                </c:pt>
                <c:pt idx="2589">
                  <c:v>2.589</c:v>
                </c:pt>
                <c:pt idx="2590">
                  <c:v>2.59</c:v>
                </c:pt>
                <c:pt idx="2591">
                  <c:v>2.5910000000000002</c:v>
                </c:pt>
                <c:pt idx="2592">
                  <c:v>2.5920000000000001</c:v>
                </c:pt>
                <c:pt idx="2593">
                  <c:v>2.593</c:v>
                </c:pt>
                <c:pt idx="2594">
                  <c:v>2.5939999999999999</c:v>
                </c:pt>
                <c:pt idx="2595">
                  <c:v>2.5950000000000002</c:v>
                </c:pt>
                <c:pt idx="2596">
                  <c:v>2.5960000000000001</c:v>
                </c:pt>
                <c:pt idx="2597">
                  <c:v>2.597</c:v>
                </c:pt>
                <c:pt idx="2598">
                  <c:v>2.5979999999999999</c:v>
                </c:pt>
                <c:pt idx="2599">
                  <c:v>2.5990000000000002</c:v>
                </c:pt>
                <c:pt idx="2600">
                  <c:v>2.6</c:v>
                </c:pt>
                <c:pt idx="2601">
                  <c:v>2.601</c:v>
                </c:pt>
                <c:pt idx="2602">
                  <c:v>2.6019999999999999</c:v>
                </c:pt>
                <c:pt idx="2603">
                  <c:v>2.6030000000000002</c:v>
                </c:pt>
                <c:pt idx="2604">
                  <c:v>2.6040000000000001</c:v>
                </c:pt>
                <c:pt idx="2605">
                  <c:v>2.605</c:v>
                </c:pt>
                <c:pt idx="2606">
                  <c:v>2.6059999999999999</c:v>
                </c:pt>
                <c:pt idx="2607">
                  <c:v>2.6070000000000002</c:v>
                </c:pt>
                <c:pt idx="2608">
                  <c:v>2.6080000000000001</c:v>
                </c:pt>
                <c:pt idx="2609">
                  <c:v>2.609</c:v>
                </c:pt>
                <c:pt idx="2610">
                  <c:v>2.61</c:v>
                </c:pt>
                <c:pt idx="2611">
                  <c:v>2.6110000000000002</c:v>
                </c:pt>
                <c:pt idx="2612">
                  <c:v>2.6120000000000001</c:v>
                </c:pt>
                <c:pt idx="2613">
                  <c:v>2.613</c:v>
                </c:pt>
                <c:pt idx="2614">
                  <c:v>2.6139999999999999</c:v>
                </c:pt>
                <c:pt idx="2615">
                  <c:v>2.6150000000000002</c:v>
                </c:pt>
                <c:pt idx="2616">
                  <c:v>2.6160000000000001</c:v>
                </c:pt>
                <c:pt idx="2617">
                  <c:v>2.617</c:v>
                </c:pt>
                <c:pt idx="2618">
                  <c:v>2.6179999999999999</c:v>
                </c:pt>
                <c:pt idx="2619">
                  <c:v>2.6190000000000002</c:v>
                </c:pt>
                <c:pt idx="2620">
                  <c:v>2.62</c:v>
                </c:pt>
                <c:pt idx="2621">
                  <c:v>2.621</c:v>
                </c:pt>
                <c:pt idx="2622">
                  <c:v>2.6219999999999999</c:v>
                </c:pt>
                <c:pt idx="2623">
                  <c:v>2.6230000000000002</c:v>
                </c:pt>
                <c:pt idx="2624">
                  <c:v>2.6240000000000001</c:v>
                </c:pt>
                <c:pt idx="2625">
                  <c:v>2.625</c:v>
                </c:pt>
                <c:pt idx="2626">
                  <c:v>2.6259999999999999</c:v>
                </c:pt>
                <c:pt idx="2627">
                  <c:v>2.6269999999999998</c:v>
                </c:pt>
                <c:pt idx="2628">
                  <c:v>2.6280000000000001</c:v>
                </c:pt>
                <c:pt idx="2629">
                  <c:v>2.629</c:v>
                </c:pt>
                <c:pt idx="2630">
                  <c:v>2.63</c:v>
                </c:pt>
                <c:pt idx="2631">
                  <c:v>2.6309999999999998</c:v>
                </c:pt>
                <c:pt idx="2632">
                  <c:v>2.6320000000000001</c:v>
                </c:pt>
                <c:pt idx="2633">
                  <c:v>2.633</c:v>
                </c:pt>
                <c:pt idx="2634">
                  <c:v>2.6339999999999999</c:v>
                </c:pt>
                <c:pt idx="2635">
                  <c:v>2.6349999999999998</c:v>
                </c:pt>
                <c:pt idx="2636">
                  <c:v>2.6360000000000001</c:v>
                </c:pt>
                <c:pt idx="2637">
                  <c:v>2.637</c:v>
                </c:pt>
                <c:pt idx="2638">
                  <c:v>2.6379999999999999</c:v>
                </c:pt>
                <c:pt idx="2639">
                  <c:v>2.6389999999999998</c:v>
                </c:pt>
                <c:pt idx="2640">
                  <c:v>2.64</c:v>
                </c:pt>
                <c:pt idx="2641">
                  <c:v>2.641</c:v>
                </c:pt>
                <c:pt idx="2642">
                  <c:v>2.6419999999999999</c:v>
                </c:pt>
                <c:pt idx="2643">
                  <c:v>2.6429999999999998</c:v>
                </c:pt>
                <c:pt idx="2644">
                  <c:v>2.6440000000000001</c:v>
                </c:pt>
                <c:pt idx="2645">
                  <c:v>2.645</c:v>
                </c:pt>
                <c:pt idx="2646">
                  <c:v>2.6459999999999999</c:v>
                </c:pt>
                <c:pt idx="2647">
                  <c:v>2.6469999999999998</c:v>
                </c:pt>
                <c:pt idx="2648">
                  <c:v>2.6480000000000001</c:v>
                </c:pt>
                <c:pt idx="2649">
                  <c:v>2.649</c:v>
                </c:pt>
                <c:pt idx="2650">
                  <c:v>2.65</c:v>
                </c:pt>
                <c:pt idx="2651">
                  <c:v>2.6509999999999998</c:v>
                </c:pt>
                <c:pt idx="2652">
                  <c:v>2.6520000000000001</c:v>
                </c:pt>
                <c:pt idx="2653">
                  <c:v>2.653</c:v>
                </c:pt>
                <c:pt idx="2654">
                  <c:v>2.6539999999999999</c:v>
                </c:pt>
                <c:pt idx="2655">
                  <c:v>2.6549999999999998</c:v>
                </c:pt>
                <c:pt idx="2656">
                  <c:v>2.6560000000000001</c:v>
                </c:pt>
                <c:pt idx="2657">
                  <c:v>2.657</c:v>
                </c:pt>
                <c:pt idx="2658">
                  <c:v>2.6579999999999999</c:v>
                </c:pt>
                <c:pt idx="2659">
                  <c:v>2.6589999999999998</c:v>
                </c:pt>
                <c:pt idx="2660">
                  <c:v>2.66</c:v>
                </c:pt>
                <c:pt idx="2661">
                  <c:v>2.661</c:v>
                </c:pt>
                <c:pt idx="2662">
                  <c:v>2.6619999999999999</c:v>
                </c:pt>
                <c:pt idx="2663">
                  <c:v>2.6629999999999998</c:v>
                </c:pt>
                <c:pt idx="2664">
                  <c:v>2.6640000000000001</c:v>
                </c:pt>
                <c:pt idx="2665">
                  <c:v>2.665</c:v>
                </c:pt>
                <c:pt idx="2666">
                  <c:v>2.6659999999999999</c:v>
                </c:pt>
                <c:pt idx="2667">
                  <c:v>2.6669999999999998</c:v>
                </c:pt>
                <c:pt idx="2668">
                  <c:v>2.6680000000000001</c:v>
                </c:pt>
                <c:pt idx="2669">
                  <c:v>2.669</c:v>
                </c:pt>
                <c:pt idx="2670">
                  <c:v>2.67</c:v>
                </c:pt>
                <c:pt idx="2671">
                  <c:v>2.6709999999999998</c:v>
                </c:pt>
                <c:pt idx="2672">
                  <c:v>2.6720000000000002</c:v>
                </c:pt>
                <c:pt idx="2673">
                  <c:v>2.673</c:v>
                </c:pt>
                <c:pt idx="2674">
                  <c:v>2.6739999999999999</c:v>
                </c:pt>
                <c:pt idx="2675">
                  <c:v>2.6749999999999998</c:v>
                </c:pt>
                <c:pt idx="2676">
                  <c:v>2.6760000000000002</c:v>
                </c:pt>
                <c:pt idx="2677">
                  <c:v>2.677</c:v>
                </c:pt>
                <c:pt idx="2678">
                  <c:v>2.6779999999999999</c:v>
                </c:pt>
                <c:pt idx="2679">
                  <c:v>2.6789999999999998</c:v>
                </c:pt>
                <c:pt idx="2680">
                  <c:v>2.68</c:v>
                </c:pt>
                <c:pt idx="2681">
                  <c:v>2.681</c:v>
                </c:pt>
                <c:pt idx="2682">
                  <c:v>2.6819999999999999</c:v>
                </c:pt>
                <c:pt idx="2683">
                  <c:v>2.6829999999999998</c:v>
                </c:pt>
                <c:pt idx="2684">
                  <c:v>2.6840000000000002</c:v>
                </c:pt>
                <c:pt idx="2685">
                  <c:v>2.6850000000000001</c:v>
                </c:pt>
                <c:pt idx="2686">
                  <c:v>2.6859999999999999</c:v>
                </c:pt>
                <c:pt idx="2687">
                  <c:v>2.6869999999999998</c:v>
                </c:pt>
                <c:pt idx="2688">
                  <c:v>2.6880000000000002</c:v>
                </c:pt>
                <c:pt idx="2689">
                  <c:v>2.6890000000000001</c:v>
                </c:pt>
                <c:pt idx="2690">
                  <c:v>2.69</c:v>
                </c:pt>
                <c:pt idx="2691">
                  <c:v>2.6909999999999998</c:v>
                </c:pt>
                <c:pt idx="2692">
                  <c:v>2.6920000000000002</c:v>
                </c:pt>
                <c:pt idx="2693">
                  <c:v>2.6930000000000001</c:v>
                </c:pt>
                <c:pt idx="2694">
                  <c:v>2.694</c:v>
                </c:pt>
                <c:pt idx="2695">
                  <c:v>2.6949999999999998</c:v>
                </c:pt>
                <c:pt idx="2696">
                  <c:v>2.6960000000000002</c:v>
                </c:pt>
                <c:pt idx="2697">
                  <c:v>2.6970000000000001</c:v>
                </c:pt>
                <c:pt idx="2698">
                  <c:v>2.698</c:v>
                </c:pt>
                <c:pt idx="2699">
                  <c:v>2.6989999999999998</c:v>
                </c:pt>
                <c:pt idx="2700">
                  <c:v>2.7</c:v>
                </c:pt>
                <c:pt idx="2701">
                  <c:v>2.7010000000000001</c:v>
                </c:pt>
                <c:pt idx="2702">
                  <c:v>2.702</c:v>
                </c:pt>
                <c:pt idx="2703">
                  <c:v>2.7029999999999998</c:v>
                </c:pt>
                <c:pt idx="2704">
                  <c:v>2.7040000000000002</c:v>
                </c:pt>
                <c:pt idx="2705">
                  <c:v>2.7050000000000001</c:v>
                </c:pt>
                <c:pt idx="2706">
                  <c:v>2.706</c:v>
                </c:pt>
                <c:pt idx="2707">
                  <c:v>2.7069999999999999</c:v>
                </c:pt>
                <c:pt idx="2708">
                  <c:v>2.7080000000000002</c:v>
                </c:pt>
                <c:pt idx="2709">
                  <c:v>2.7090000000000001</c:v>
                </c:pt>
                <c:pt idx="2710">
                  <c:v>2.71</c:v>
                </c:pt>
                <c:pt idx="2711">
                  <c:v>2.7109999999999999</c:v>
                </c:pt>
                <c:pt idx="2712">
                  <c:v>2.7120000000000002</c:v>
                </c:pt>
                <c:pt idx="2713">
                  <c:v>2.7130000000000001</c:v>
                </c:pt>
                <c:pt idx="2714">
                  <c:v>2.714</c:v>
                </c:pt>
                <c:pt idx="2715">
                  <c:v>2.7149999999999999</c:v>
                </c:pt>
                <c:pt idx="2716">
                  <c:v>2.7160000000000002</c:v>
                </c:pt>
                <c:pt idx="2717">
                  <c:v>2.7170000000000001</c:v>
                </c:pt>
                <c:pt idx="2718">
                  <c:v>2.718</c:v>
                </c:pt>
                <c:pt idx="2719">
                  <c:v>2.7189999999999999</c:v>
                </c:pt>
                <c:pt idx="2720">
                  <c:v>2.72</c:v>
                </c:pt>
                <c:pt idx="2721">
                  <c:v>2.7210000000000001</c:v>
                </c:pt>
                <c:pt idx="2722">
                  <c:v>2.722</c:v>
                </c:pt>
                <c:pt idx="2723">
                  <c:v>2.7229999999999999</c:v>
                </c:pt>
                <c:pt idx="2724">
                  <c:v>2.7240000000000002</c:v>
                </c:pt>
                <c:pt idx="2725">
                  <c:v>2.7250000000000001</c:v>
                </c:pt>
                <c:pt idx="2726">
                  <c:v>2.726</c:v>
                </c:pt>
                <c:pt idx="2727">
                  <c:v>2.7269999999999999</c:v>
                </c:pt>
                <c:pt idx="2728">
                  <c:v>2.7280000000000002</c:v>
                </c:pt>
                <c:pt idx="2729">
                  <c:v>2.7290000000000001</c:v>
                </c:pt>
                <c:pt idx="2730">
                  <c:v>2.73</c:v>
                </c:pt>
                <c:pt idx="2731">
                  <c:v>2.7309999999999999</c:v>
                </c:pt>
                <c:pt idx="2732">
                  <c:v>2.7320000000000002</c:v>
                </c:pt>
                <c:pt idx="2733">
                  <c:v>2.7330000000000001</c:v>
                </c:pt>
                <c:pt idx="2734">
                  <c:v>2.734</c:v>
                </c:pt>
                <c:pt idx="2735">
                  <c:v>2.7349999999999999</c:v>
                </c:pt>
                <c:pt idx="2736">
                  <c:v>2.7360000000000002</c:v>
                </c:pt>
                <c:pt idx="2737">
                  <c:v>2.7370000000000001</c:v>
                </c:pt>
                <c:pt idx="2738">
                  <c:v>2.738</c:v>
                </c:pt>
                <c:pt idx="2739">
                  <c:v>2.7389999999999999</c:v>
                </c:pt>
                <c:pt idx="2740">
                  <c:v>2.74</c:v>
                </c:pt>
                <c:pt idx="2741">
                  <c:v>2.7410000000000001</c:v>
                </c:pt>
                <c:pt idx="2742">
                  <c:v>2.742</c:v>
                </c:pt>
                <c:pt idx="2743">
                  <c:v>2.7429999999999999</c:v>
                </c:pt>
                <c:pt idx="2744">
                  <c:v>2.7440000000000002</c:v>
                </c:pt>
                <c:pt idx="2745">
                  <c:v>2.7450000000000001</c:v>
                </c:pt>
                <c:pt idx="2746">
                  <c:v>2.746</c:v>
                </c:pt>
                <c:pt idx="2747">
                  <c:v>2.7469999999999999</c:v>
                </c:pt>
                <c:pt idx="2748">
                  <c:v>2.7480000000000002</c:v>
                </c:pt>
                <c:pt idx="2749">
                  <c:v>2.7490000000000001</c:v>
                </c:pt>
                <c:pt idx="2750">
                  <c:v>2.75</c:v>
                </c:pt>
                <c:pt idx="2751">
                  <c:v>2.7509999999999999</c:v>
                </c:pt>
                <c:pt idx="2752">
                  <c:v>2.7519999999999998</c:v>
                </c:pt>
                <c:pt idx="2753">
                  <c:v>2.7530000000000001</c:v>
                </c:pt>
                <c:pt idx="2754">
                  <c:v>2.754</c:v>
                </c:pt>
                <c:pt idx="2755">
                  <c:v>2.7549999999999999</c:v>
                </c:pt>
                <c:pt idx="2756">
                  <c:v>2.7559999999999998</c:v>
                </c:pt>
                <c:pt idx="2757">
                  <c:v>2.7570000000000001</c:v>
                </c:pt>
                <c:pt idx="2758">
                  <c:v>2.758</c:v>
                </c:pt>
                <c:pt idx="2759">
                  <c:v>2.7589999999999999</c:v>
                </c:pt>
                <c:pt idx="2760">
                  <c:v>2.76</c:v>
                </c:pt>
                <c:pt idx="2761">
                  <c:v>2.7610000000000001</c:v>
                </c:pt>
                <c:pt idx="2762">
                  <c:v>2.762</c:v>
                </c:pt>
                <c:pt idx="2763">
                  <c:v>2.7629999999999999</c:v>
                </c:pt>
                <c:pt idx="2764">
                  <c:v>2.7639999999999998</c:v>
                </c:pt>
                <c:pt idx="2765">
                  <c:v>2.7650000000000001</c:v>
                </c:pt>
                <c:pt idx="2766">
                  <c:v>2.766</c:v>
                </c:pt>
                <c:pt idx="2767">
                  <c:v>2.7669999999999999</c:v>
                </c:pt>
                <c:pt idx="2768">
                  <c:v>2.7679999999999998</c:v>
                </c:pt>
                <c:pt idx="2769">
                  <c:v>2.7690000000000001</c:v>
                </c:pt>
                <c:pt idx="2770">
                  <c:v>2.77</c:v>
                </c:pt>
                <c:pt idx="2771">
                  <c:v>2.7709999999999999</c:v>
                </c:pt>
                <c:pt idx="2772">
                  <c:v>2.7719999999999998</c:v>
                </c:pt>
                <c:pt idx="2773">
                  <c:v>2.7730000000000001</c:v>
                </c:pt>
                <c:pt idx="2774">
                  <c:v>2.774</c:v>
                </c:pt>
                <c:pt idx="2775">
                  <c:v>2.7749999999999999</c:v>
                </c:pt>
                <c:pt idx="2776">
                  <c:v>2.7759999999999998</c:v>
                </c:pt>
                <c:pt idx="2777">
                  <c:v>2.7770000000000001</c:v>
                </c:pt>
                <c:pt idx="2778">
                  <c:v>2.778</c:v>
                </c:pt>
                <c:pt idx="2779">
                  <c:v>2.7789999999999999</c:v>
                </c:pt>
                <c:pt idx="2780">
                  <c:v>2.78</c:v>
                </c:pt>
                <c:pt idx="2781">
                  <c:v>2.7810000000000001</c:v>
                </c:pt>
                <c:pt idx="2782">
                  <c:v>2.782</c:v>
                </c:pt>
                <c:pt idx="2783">
                  <c:v>2.7829999999999999</c:v>
                </c:pt>
                <c:pt idx="2784">
                  <c:v>2.7839999999999998</c:v>
                </c:pt>
                <c:pt idx="2785">
                  <c:v>2.7850000000000001</c:v>
                </c:pt>
                <c:pt idx="2786">
                  <c:v>2.786</c:v>
                </c:pt>
                <c:pt idx="2787">
                  <c:v>2.7869999999999999</c:v>
                </c:pt>
                <c:pt idx="2788">
                  <c:v>2.7879999999999998</c:v>
                </c:pt>
                <c:pt idx="2789">
                  <c:v>2.7890000000000001</c:v>
                </c:pt>
                <c:pt idx="2790">
                  <c:v>2.79</c:v>
                </c:pt>
                <c:pt idx="2791">
                  <c:v>2.7909999999999999</c:v>
                </c:pt>
                <c:pt idx="2792">
                  <c:v>2.7919999999999998</c:v>
                </c:pt>
                <c:pt idx="2793">
                  <c:v>2.7930000000000001</c:v>
                </c:pt>
                <c:pt idx="2794">
                  <c:v>2.794</c:v>
                </c:pt>
                <c:pt idx="2795">
                  <c:v>2.7949999999999999</c:v>
                </c:pt>
                <c:pt idx="2796">
                  <c:v>2.7959999999999998</c:v>
                </c:pt>
                <c:pt idx="2797">
                  <c:v>2.7970000000000002</c:v>
                </c:pt>
                <c:pt idx="2798">
                  <c:v>2.798</c:v>
                </c:pt>
                <c:pt idx="2799">
                  <c:v>2.7989999999999999</c:v>
                </c:pt>
                <c:pt idx="2800">
                  <c:v>2.8</c:v>
                </c:pt>
                <c:pt idx="2801">
                  <c:v>2.8010000000000002</c:v>
                </c:pt>
                <c:pt idx="2802">
                  <c:v>2.802</c:v>
                </c:pt>
                <c:pt idx="2803">
                  <c:v>2.8029999999999999</c:v>
                </c:pt>
                <c:pt idx="2804">
                  <c:v>2.8039999999999998</c:v>
                </c:pt>
                <c:pt idx="2805">
                  <c:v>2.8050000000000002</c:v>
                </c:pt>
                <c:pt idx="2806">
                  <c:v>2.806</c:v>
                </c:pt>
                <c:pt idx="2807">
                  <c:v>2.8069999999999999</c:v>
                </c:pt>
                <c:pt idx="2808">
                  <c:v>2.8079999999999998</c:v>
                </c:pt>
                <c:pt idx="2809">
                  <c:v>2.8090000000000002</c:v>
                </c:pt>
                <c:pt idx="2810">
                  <c:v>2.81</c:v>
                </c:pt>
                <c:pt idx="2811">
                  <c:v>2.8109999999999999</c:v>
                </c:pt>
                <c:pt idx="2812">
                  <c:v>2.8119999999999998</c:v>
                </c:pt>
                <c:pt idx="2813">
                  <c:v>2.8130000000000002</c:v>
                </c:pt>
                <c:pt idx="2814">
                  <c:v>2.8140000000000001</c:v>
                </c:pt>
                <c:pt idx="2815">
                  <c:v>2.8149999999999999</c:v>
                </c:pt>
                <c:pt idx="2816">
                  <c:v>2.8159999999999998</c:v>
                </c:pt>
                <c:pt idx="2817">
                  <c:v>2.8170000000000002</c:v>
                </c:pt>
                <c:pt idx="2818">
                  <c:v>2.8180000000000001</c:v>
                </c:pt>
                <c:pt idx="2819">
                  <c:v>2.819</c:v>
                </c:pt>
                <c:pt idx="2820">
                  <c:v>2.82</c:v>
                </c:pt>
                <c:pt idx="2821">
                  <c:v>2.8210000000000002</c:v>
                </c:pt>
                <c:pt idx="2822">
                  <c:v>2.8220000000000001</c:v>
                </c:pt>
                <c:pt idx="2823">
                  <c:v>2.823</c:v>
                </c:pt>
                <c:pt idx="2824">
                  <c:v>2.8239999999999998</c:v>
                </c:pt>
                <c:pt idx="2825">
                  <c:v>2.8250000000000002</c:v>
                </c:pt>
                <c:pt idx="2826">
                  <c:v>2.8260000000000001</c:v>
                </c:pt>
                <c:pt idx="2827">
                  <c:v>2.827</c:v>
                </c:pt>
                <c:pt idx="2828">
                  <c:v>2.8279999999999998</c:v>
                </c:pt>
                <c:pt idx="2829">
                  <c:v>2.8290000000000002</c:v>
                </c:pt>
                <c:pt idx="2830">
                  <c:v>2.83</c:v>
                </c:pt>
                <c:pt idx="2831">
                  <c:v>2.831</c:v>
                </c:pt>
                <c:pt idx="2832">
                  <c:v>2.8319999999999999</c:v>
                </c:pt>
                <c:pt idx="2833">
                  <c:v>2.8330000000000002</c:v>
                </c:pt>
                <c:pt idx="2834">
                  <c:v>2.8340000000000001</c:v>
                </c:pt>
                <c:pt idx="2835">
                  <c:v>2.835</c:v>
                </c:pt>
                <c:pt idx="2836">
                  <c:v>2.8359999999999999</c:v>
                </c:pt>
                <c:pt idx="2837">
                  <c:v>2.8370000000000002</c:v>
                </c:pt>
                <c:pt idx="2838">
                  <c:v>2.8380000000000001</c:v>
                </c:pt>
                <c:pt idx="2839">
                  <c:v>2.839</c:v>
                </c:pt>
                <c:pt idx="2840">
                  <c:v>2.84</c:v>
                </c:pt>
                <c:pt idx="2841">
                  <c:v>2.8410000000000002</c:v>
                </c:pt>
                <c:pt idx="2842">
                  <c:v>2.8420000000000001</c:v>
                </c:pt>
                <c:pt idx="2843">
                  <c:v>2.843</c:v>
                </c:pt>
                <c:pt idx="2844">
                  <c:v>2.8439999999999999</c:v>
                </c:pt>
                <c:pt idx="2845">
                  <c:v>2.8450000000000002</c:v>
                </c:pt>
                <c:pt idx="2846">
                  <c:v>2.8460000000000001</c:v>
                </c:pt>
                <c:pt idx="2847">
                  <c:v>2.847</c:v>
                </c:pt>
                <c:pt idx="2848">
                  <c:v>2.8479999999999999</c:v>
                </c:pt>
                <c:pt idx="2849">
                  <c:v>2.8490000000000002</c:v>
                </c:pt>
                <c:pt idx="2850">
                  <c:v>2.85</c:v>
                </c:pt>
                <c:pt idx="2851">
                  <c:v>2.851</c:v>
                </c:pt>
                <c:pt idx="2852">
                  <c:v>2.8519999999999999</c:v>
                </c:pt>
                <c:pt idx="2853">
                  <c:v>2.8530000000000002</c:v>
                </c:pt>
                <c:pt idx="2854">
                  <c:v>2.8540000000000001</c:v>
                </c:pt>
                <c:pt idx="2855">
                  <c:v>2.855</c:v>
                </c:pt>
                <c:pt idx="2856">
                  <c:v>2.8559999999999999</c:v>
                </c:pt>
                <c:pt idx="2857">
                  <c:v>2.8570000000000002</c:v>
                </c:pt>
                <c:pt idx="2858">
                  <c:v>2.8580000000000001</c:v>
                </c:pt>
                <c:pt idx="2859">
                  <c:v>2.859</c:v>
                </c:pt>
                <c:pt idx="2860">
                  <c:v>2.86</c:v>
                </c:pt>
                <c:pt idx="2861">
                  <c:v>2.8610000000000002</c:v>
                </c:pt>
                <c:pt idx="2862">
                  <c:v>2.8620000000000001</c:v>
                </c:pt>
                <c:pt idx="2863">
                  <c:v>2.863</c:v>
                </c:pt>
                <c:pt idx="2864">
                  <c:v>2.8639999999999999</c:v>
                </c:pt>
                <c:pt idx="2865">
                  <c:v>2.8650000000000002</c:v>
                </c:pt>
                <c:pt idx="2866">
                  <c:v>2.8660000000000001</c:v>
                </c:pt>
                <c:pt idx="2867">
                  <c:v>2.867</c:v>
                </c:pt>
                <c:pt idx="2868">
                  <c:v>2.8679999999999999</c:v>
                </c:pt>
                <c:pt idx="2869">
                  <c:v>2.8690000000000002</c:v>
                </c:pt>
                <c:pt idx="2870">
                  <c:v>2.87</c:v>
                </c:pt>
                <c:pt idx="2871">
                  <c:v>2.871</c:v>
                </c:pt>
                <c:pt idx="2872">
                  <c:v>2.8719999999999999</c:v>
                </c:pt>
                <c:pt idx="2873">
                  <c:v>2.8730000000000002</c:v>
                </c:pt>
                <c:pt idx="2874">
                  <c:v>2.8740000000000001</c:v>
                </c:pt>
                <c:pt idx="2875">
                  <c:v>2.875</c:v>
                </c:pt>
                <c:pt idx="2876">
                  <c:v>2.8759999999999999</c:v>
                </c:pt>
                <c:pt idx="2877">
                  <c:v>2.8769999999999998</c:v>
                </c:pt>
                <c:pt idx="2878">
                  <c:v>2.8780000000000001</c:v>
                </c:pt>
                <c:pt idx="2879">
                  <c:v>2.879</c:v>
                </c:pt>
                <c:pt idx="2880">
                  <c:v>2.88</c:v>
                </c:pt>
                <c:pt idx="2881">
                  <c:v>2.8809999999999998</c:v>
                </c:pt>
                <c:pt idx="2882">
                  <c:v>2.8820000000000001</c:v>
                </c:pt>
                <c:pt idx="2883">
                  <c:v>2.883</c:v>
                </c:pt>
                <c:pt idx="2884">
                  <c:v>2.8839999999999999</c:v>
                </c:pt>
                <c:pt idx="2885">
                  <c:v>2.8849999999999998</c:v>
                </c:pt>
                <c:pt idx="2886">
                  <c:v>2.8860000000000001</c:v>
                </c:pt>
                <c:pt idx="2887">
                  <c:v>2.887</c:v>
                </c:pt>
                <c:pt idx="2888">
                  <c:v>2.8879999999999999</c:v>
                </c:pt>
                <c:pt idx="2889">
                  <c:v>2.8889999999999998</c:v>
                </c:pt>
                <c:pt idx="2890">
                  <c:v>2.89</c:v>
                </c:pt>
                <c:pt idx="2891">
                  <c:v>2.891</c:v>
                </c:pt>
                <c:pt idx="2892">
                  <c:v>2.8919999999999999</c:v>
                </c:pt>
                <c:pt idx="2893">
                  <c:v>2.8929999999999998</c:v>
                </c:pt>
                <c:pt idx="2894">
                  <c:v>2.8940000000000001</c:v>
                </c:pt>
                <c:pt idx="2895">
                  <c:v>2.895</c:v>
                </c:pt>
                <c:pt idx="2896">
                  <c:v>2.8959999999999999</c:v>
                </c:pt>
                <c:pt idx="2897">
                  <c:v>2.8969999999999998</c:v>
                </c:pt>
                <c:pt idx="2898">
                  <c:v>2.8980000000000001</c:v>
                </c:pt>
                <c:pt idx="2899">
                  <c:v>2.899</c:v>
                </c:pt>
                <c:pt idx="2900">
                  <c:v>2.9</c:v>
                </c:pt>
                <c:pt idx="2901">
                  <c:v>2.9009999999999998</c:v>
                </c:pt>
                <c:pt idx="2902">
                  <c:v>2.9020000000000001</c:v>
                </c:pt>
                <c:pt idx="2903">
                  <c:v>2.903</c:v>
                </c:pt>
                <c:pt idx="2904">
                  <c:v>2.9039999999999999</c:v>
                </c:pt>
                <c:pt idx="2905">
                  <c:v>2.9049999999999998</c:v>
                </c:pt>
                <c:pt idx="2906">
                  <c:v>2.9060000000000001</c:v>
                </c:pt>
                <c:pt idx="2907">
                  <c:v>2.907</c:v>
                </c:pt>
                <c:pt idx="2908">
                  <c:v>2.9079999999999999</c:v>
                </c:pt>
                <c:pt idx="2909">
                  <c:v>2.9089999999999998</c:v>
                </c:pt>
                <c:pt idx="2910">
                  <c:v>2.91</c:v>
                </c:pt>
                <c:pt idx="2911">
                  <c:v>2.911</c:v>
                </c:pt>
                <c:pt idx="2912">
                  <c:v>2.9119999999999999</c:v>
                </c:pt>
                <c:pt idx="2913">
                  <c:v>2.9129999999999998</c:v>
                </c:pt>
                <c:pt idx="2914">
                  <c:v>2.9140000000000001</c:v>
                </c:pt>
                <c:pt idx="2915">
                  <c:v>2.915</c:v>
                </c:pt>
                <c:pt idx="2916">
                  <c:v>2.9159999999999999</c:v>
                </c:pt>
                <c:pt idx="2917">
                  <c:v>2.9169999999999998</c:v>
                </c:pt>
                <c:pt idx="2918">
                  <c:v>2.9180000000000001</c:v>
                </c:pt>
                <c:pt idx="2919">
                  <c:v>2.919</c:v>
                </c:pt>
                <c:pt idx="2920">
                  <c:v>2.92</c:v>
                </c:pt>
                <c:pt idx="2921">
                  <c:v>2.9209999999999998</c:v>
                </c:pt>
                <c:pt idx="2922">
                  <c:v>2.9220000000000002</c:v>
                </c:pt>
                <c:pt idx="2923">
                  <c:v>2.923</c:v>
                </c:pt>
                <c:pt idx="2924">
                  <c:v>2.9239999999999999</c:v>
                </c:pt>
                <c:pt idx="2925">
                  <c:v>2.9249999999999998</c:v>
                </c:pt>
                <c:pt idx="2926">
                  <c:v>2.9260000000000002</c:v>
                </c:pt>
                <c:pt idx="2927">
                  <c:v>2.927</c:v>
                </c:pt>
                <c:pt idx="2928">
                  <c:v>2.9279999999999999</c:v>
                </c:pt>
                <c:pt idx="2929">
                  <c:v>2.9289999999999998</c:v>
                </c:pt>
                <c:pt idx="2930">
                  <c:v>2.93</c:v>
                </c:pt>
                <c:pt idx="2931">
                  <c:v>2.931</c:v>
                </c:pt>
                <c:pt idx="2932">
                  <c:v>2.9319999999999999</c:v>
                </c:pt>
                <c:pt idx="2933">
                  <c:v>2.9329999999999998</c:v>
                </c:pt>
                <c:pt idx="2934">
                  <c:v>2.9340000000000002</c:v>
                </c:pt>
                <c:pt idx="2935">
                  <c:v>2.9350000000000001</c:v>
                </c:pt>
                <c:pt idx="2936">
                  <c:v>2.9359999999999999</c:v>
                </c:pt>
                <c:pt idx="2937">
                  <c:v>2.9369999999999998</c:v>
                </c:pt>
                <c:pt idx="2938">
                  <c:v>2.9380000000000002</c:v>
                </c:pt>
                <c:pt idx="2939">
                  <c:v>2.9390000000000001</c:v>
                </c:pt>
                <c:pt idx="2940">
                  <c:v>2.94</c:v>
                </c:pt>
                <c:pt idx="2941">
                  <c:v>2.9409999999999998</c:v>
                </c:pt>
                <c:pt idx="2942">
                  <c:v>2.9420000000000002</c:v>
                </c:pt>
                <c:pt idx="2943">
                  <c:v>2.9430000000000001</c:v>
                </c:pt>
                <c:pt idx="2944">
                  <c:v>2.944</c:v>
                </c:pt>
                <c:pt idx="2945">
                  <c:v>2.9449999999999998</c:v>
                </c:pt>
                <c:pt idx="2946">
                  <c:v>2.9460000000000002</c:v>
                </c:pt>
                <c:pt idx="2947">
                  <c:v>2.9470000000000001</c:v>
                </c:pt>
                <c:pt idx="2948">
                  <c:v>2.948</c:v>
                </c:pt>
                <c:pt idx="2949">
                  <c:v>2.9489999999999998</c:v>
                </c:pt>
                <c:pt idx="2950">
                  <c:v>2.95</c:v>
                </c:pt>
                <c:pt idx="2951">
                  <c:v>2.9510000000000001</c:v>
                </c:pt>
                <c:pt idx="2952">
                  <c:v>2.952</c:v>
                </c:pt>
                <c:pt idx="2953">
                  <c:v>2.9529999999999998</c:v>
                </c:pt>
                <c:pt idx="2954">
                  <c:v>2.9540000000000002</c:v>
                </c:pt>
                <c:pt idx="2955">
                  <c:v>2.9550000000000001</c:v>
                </c:pt>
                <c:pt idx="2956">
                  <c:v>2.956</c:v>
                </c:pt>
                <c:pt idx="2957">
                  <c:v>2.9569999999999999</c:v>
                </c:pt>
                <c:pt idx="2958">
                  <c:v>2.9580000000000002</c:v>
                </c:pt>
                <c:pt idx="2959">
                  <c:v>2.9590000000000001</c:v>
                </c:pt>
                <c:pt idx="2960">
                  <c:v>2.96</c:v>
                </c:pt>
                <c:pt idx="2961">
                  <c:v>2.9609999999999999</c:v>
                </c:pt>
                <c:pt idx="2962">
                  <c:v>2.9620000000000002</c:v>
                </c:pt>
                <c:pt idx="2963">
                  <c:v>2.9630000000000001</c:v>
                </c:pt>
                <c:pt idx="2964">
                  <c:v>2.964</c:v>
                </c:pt>
                <c:pt idx="2965">
                  <c:v>2.9649999999999999</c:v>
                </c:pt>
                <c:pt idx="2966">
                  <c:v>2.9660000000000002</c:v>
                </c:pt>
                <c:pt idx="2967">
                  <c:v>2.9670000000000001</c:v>
                </c:pt>
                <c:pt idx="2968">
                  <c:v>2.968</c:v>
                </c:pt>
                <c:pt idx="2969">
                  <c:v>2.9689999999999999</c:v>
                </c:pt>
                <c:pt idx="2970">
                  <c:v>2.97</c:v>
                </c:pt>
                <c:pt idx="2971">
                  <c:v>2.9710000000000001</c:v>
                </c:pt>
                <c:pt idx="2972">
                  <c:v>2.972</c:v>
                </c:pt>
                <c:pt idx="2973">
                  <c:v>2.9729999999999999</c:v>
                </c:pt>
                <c:pt idx="2974">
                  <c:v>2.9740000000000002</c:v>
                </c:pt>
                <c:pt idx="2975">
                  <c:v>2.9750000000000001</c:v>
                </c:pt>
                <c:pt idx="2976">
                  <c:v>2.976</c:v>
                </c:pt>
                <c:pt idx="2977">
                  <c:v>2.9769999999999999</c:v>
                </c:pt>
                <c:pt idx="2978">
                  <c:v>2.9780000000000002</c:v>
                </c:pt>
                <c:pt idx="2979">
                  <c:v>2.9790000000000001</c:v>
                </c:pt>
                <c:pt idx="2980">
                  <c:v>2.98</c:v>
                </c:pt>
                <c:pt idx="2981">
                  <c:v>2.9809999999999999</c:v>
                </c:pt>
                <c:pt idx="2982">
                  <c:v>2.9820000000000002</c:v>
                </c:pt>
                <c:pt idx="2983">
                  <c:v>2.9830000000000001</c:v>
                </c:pt>
                <c:pt idx="2984">
                  <c:v>2.984</c:v>
                </c:pt>
                <c:pt idx="2985">
                  <c:v>2.9849999999999999</c:v>
                </c:pt>
                <c:pt idx="2986">
                  <c:v>2.9860000000000002</c:v>
                </c:pt>
                <c:pt idx="2987">
                  <c:v>2.9870000000000001</c:v>
                </c:pt>
                <c:pt idx="2988">
                  <c:v>2.988</c:v>
                </c:pt>
                <c:pt idx="2989">
                  <c:v>2.9889999999999999</c:v>
                </c:pt>
                <c:pt idx="2990">
                  <c:v>2.99</c:v>
                </c:pt>
                <c:pt idx="2991">
                  <c:v>2.9910000000000001</c:v>
                </c:pt>
                <c:pt idx="2992">
                  <c:v>2.992</c:v>
                </c:pt>
                <c:pt idx="2993">
                  <c:v>2.9929999999999999</c:v>
                </c:pt>
                <c:pt idx="2994">
                  <c:v>2.9940000000000002</c:v>
                </c:pt>
                <c:pt idx="2995">
                  <c:v>2.9950000000000001</c:v>
                </c:pt>
                <c:pt idx="2996">
                  <c:v>2.996</c:v>
                </c:pt>
                <c:pt idx="2997">
                  <c:v>2.9969999999999999</c:v>
                </c:pt>
                <c:pt idx="2998">
                  <c:v>2.9980000000000002</c:v>
                </c:pt>
                <c:pt idx="2999">
                  <c:v>2.9990000000000001</c:v>
                </c:pt>
                <c:pt idx="3000">
                  <c:v>3</c:v>
                </c:pt>
                <c:pt idx="3001">
                  <c:v>3.0009999999999999</c:v>
                </c:pt>
                <c:pt idx="3002">
                  <c:v>3.0019999999999998</c:v>
                </c:pt>
                <c:pt idx="3003">
                  <c:v>3.0030000000000001</c:v>
                </c:pt>
                <c:pt idx="3004">
                  <c:v>3.004</c:v>
                </c:pt>
                <c:pt idx="3005">
                  <c:v>3.0049999999999999</c:v>
                </c:pt>
                <c:pt idx="3006">
                  <c:v>3.0059999999999998</c:v>
                </c:pt>
                <c:pt idx="3007">
                  <c:v>3.0070000000000001</c:v>
                </c:pt>
                <c:pt idx="3008">
                  <c:v>3.008</c:v>
                </c:pt>
                <c:pt idx="3009">
                  <c:v>3.0089999999999999</c:v>
                </c:pt>
                <c:pt idx="3010">
                  <c:v>3.01</c:v>
                </c:pt>
                <c:pt idx="3011">
                  <c:v>3.0110000000000001</c:v>
                </c:pt>
                <c:pt idx="3012">
                  <c:v>3.012</c:v>
                </c:pt>
                <c:pt idx="3013">
                  <c:v>3.0129999999999999</c:v>
                </c:pt>
                <c:pt idx="3014">
                  <c:v>3.0139999999999998</c:v>
                </c:pt>
                <c:pt idx="3015">
                  <c:v>3.0150000000000001</c:v>
                </c:pt>
                <c:pt idx="3016">
                  <c:v>3.016</c:v>
                </c:pt>
                <c:pt idx="3017">
                  <c:v>3.0169999999999999</c:v>
                </c:pt>
                <c:pt idx="3018">
                  <c:v>3.0179999999999998</c:v>
                </c:pt>
                <c:pt idx="3019">
                  <c:v>3.0190000000000001</c:v>
                </c:pt>
                <c:pt idx="3020">
                  <c:v>3.02</c:v>
                </c:pt>
                <c:pt idx="3021">
                  <c:v>3.0209999999999999</c:v>
                </c:pt>
                <c:pt idx="3022">
                  <c:v>3.0219999999999998</c:v>
                </c:pt>
                <c:pt idx="3023">
                  <c:v>3.0230000000000001</c:v>
                </c:pt>
                <c:pt idx="3024">
                  <c:v>3.024</c:v>
                </c:pt>
                <c:pt idx="3025">
                  <c:v>3.0249999999999999</c:v>
                </c:pt>
                <c:pt idx="3026">
                  <c:v>3.0259999999999998</c:v>
                </c:pt>
                <c:pt idx="3027">
                  <c:v>3.0270000000000001</c:v>
                </c:pt>
                <c:pt idx="3028">
                  <c:v>3.028</c:v>
                </c:pt>
                <c:pt idx="3029">
                  <c:v>3.0289999999999999</c:v>
                </c:pt>
                <c:pt idx="3030">
                  <c:v>3.03</c:v>
                </c:pt>
                <c:pt idx="3031">
                  <c:v>3.0310000000000001</c:v>
                </c:pt>
                <c:pt idx="3032">
                  <c:v>3.032</c:v>
                </c:pt>
                <c:pt idx="3033">
                  <c:v>3.0329999999999999</c:v>
                </c:pt>
                <c:pt idx="3034">
                  <c:v>3.0339999999999998</c:v>
                </c:pt>
                <c:pt idx="3035">
                  <c:v>3.0350000000000001</c:v>
                </c:pt>
                <c:pt idx="3036">
                  <c:v>3.036</c:v>
                </c:pt>
                <c:pt idx="3037">
                  <c:v>3.0369999999999999</c:v>
                </c:pt>
                <c:pt idx="3038">
                  <c:v>3.0379999999999998</c:v>
                </c:pt>
                <c:pt idx="3039">
                  <c:v>3.0390000000000001</c:v>
                </c:pt>
                <c:pt idx="3040">
                  <c:v>3.04</c:v>
                </c:pt>
                <c:pt idx="3041">
                  <c:v>3.0409999999999999</c:v>
                </c:pt>
                <c:pt idx="3042">
                  <c:v>3.0419999999999998</c:v>
                </c:pt>
                <c:pt idx="3043">
                  <c:v>3.0430000000000001</c:v>
                </c:pt>
                <c:pt idx="3044">
                  <c:v>3.044</c:v>
                </c:pt>
                <c:pt idx="3045">
                  <c:v>3.0449999999999999</c:v>
                </c:pt>
                <c:pt idx="3046">
                  <c:v>3.0459999999999998</c:v>
                </c:pt>
                <c:pt idx="3047">
                  <c:v>3.0470000000000002</c:v>
                </c:pt>
                <c:pt idx="3048">
                  <c:v>3.048</c:v>
                </c:pt>
                <c:pt idx="3049">
                  <c:v>3.0489999999999999</c:v>
                </c:pt>
                <c:pt idx="3050">
                  <c:v>3.05</c:v>
                </c:pt>
                <c:pt idx="3051">
                  <c:v>3.0510000000000002</c:v>
                </c:pt>
                <c:pt idx="3052">
                  <c:v>3.052</c:v>
                </c:pt>
                <c:pt idx="3053">
                  <c:v>3.0529999999999999</c:v>
                </c:pt>
                <c:pt idx="3054">
                  <c:v>3.0539999999999998</c:v>
                </c:pt>
                <c:pt idx="3055">
                  <c:v>3.0550000000000002</c:v>
                </c:pt>
                <c:pt idx="3056">
                  <c:v>3.056</c:v>
                </c:pt>
                <c:pt idx="3057">
                  <c:v>3.0569999999999999</c:v>
                </c:pt>
                <c:pt idx="3058">
                  <c:v>3.0579999999999998</c:v>
                </c:pt>
                <c:pt idx="3059">
                  <c:v>3.0590000000000002</c:v>
                </c:pt>
                <c:pt idx="3060">
                  <c:v>3.06</c:v>
                </c:pt>
                <c:pt idx="3061">
                  <c:v>3.0609999999999999</c:v>
                </c:pt>
                <c:pt idx="3062">
                  <c:v>3.0619999999999998</c:v>
                </c:pt>
                <c:pt idx="3063">
                  <c:v>3.0630000000000002</c:v>
                </c:pt>
                <c:pt idx="3064">
                  <c:v>3.0640000000000001</c:v>
                </c:pt>
                <c:pt idx="3065">
                  <c:v>3.0649999999999999</c:v>
                </c:pt>
                <c:pt idx="3066">
                  <c:v>3.0659999999999998</c:v>
                </c:pt>
                <c:pt idx="3067">
                  <c:v>3.0670000000000002</c:v>
                </c:pt>
                <c:pt idx="3068">
                  <c:v>3.0680000000000001</c:v>
                </c:pt>
                <c:pt idx="3069">
                  <c:v>3.069</c:v>
                </c:pt>
                <c:pt idx="3070">
                  <c:v>3.07</c:v>
                </c:pt>
                <c:pt idx="3071">
                  <c:v>3.0710000000000002</c:v>
                </c:pt>
                <c:pt idx="3072">
                  <c:v>3.0720000000000001</c:v>
                </c:pt>
                <c:pt idx="3073">
                  <c:v>3.073</c:v>
                </c:pt>
                <c:pt idx="3074">
                  <c:v>3.0739999999999998</c:v>
                </c:pt>
                <c:pt idx="3075">
                  <c:v>3.0750000000000002</c:v>
                </c:pt>
                <c:pt idx="3076">
                  <c:v>3.0760000000000001</c:v>
                </c:pt>
                <c:pt idx="3077">
                  <c:v>3.077</c:v>
                </c:pt>
                <c:pt idx="3078">
                  <c:v>3.0779999999999998</c:v>
                </c:pt>
                <c:pt idx="3079">
                  <c:v>3.0790000000000002</c:v>
                </c:pt>
                <c:pt idx="3080">
                  <c:v>3.08</c:v>
                </c:pt>
                <c:pt idx="3081">
                  <c:v>3.081</c:v>
                </c:pt>
                <c:pt idx="3082">
                  <c:v>3.0819999999999999</c:v>
                </c:pt>
                <c:pt idx="3083">
                  <c:v>3.0830000000000002</c:v>
                </c:pt>
                <c:pt idx="3084">
                  <c:v>3.0840000000000001</c:v>
                </c:pt>
                <c:pt idx="3085">
                  <c:v>3.085</c:v>
                </c:pt>
                <c:pt idx="3086">
                  <c:v>3.0859999999999999</c:v>
                </c:pt>
                <c:pt idx="3087">
                  <c:v>3.0870000000000002</c:v>
                </c:pt>
                <c:pt idx="3088">
                  <c:v>3.0880000000000001</c:v>
                </c:pt>
                <c:pt idx="3089">
                  <c:v>3.089</c:v>
                </c:pt>
                <c:pt idx="3090">
                  <c:v>3.09</c:v>
                </c:pt>
                <c:pt idx="3091">
                  <c:v>3.0910000000000002</c:v>
                </c:pt>
                <c:pt idx="3092">
                  <c:v>3.0920000000000001</c:v>
                </c:pt>
                <c:pt idx="3093">
                  <c:v>3.093</c:v>
                </c:pt>
                <c:pt idx="3094">
                  <c:v>3.0939999999999999</c:v>
                </c:pt>
                <c:pt idx="3095">
                  <c:v>3.0950000000000002</c:v>
                </c:pt>
                <c:pt idx="3096">
                  <c:v>3.0960000000000001</c:v>
                </c:pt>
                <c:pt idx="3097">
                  <c:v>3.097</c:v>
                </c:pt>
                <c:pt idx="3098">
                  <c:v>3.0979999999999999</c:v>
                </c:pt>
                <c:pt idx="3099">
                  <c:v>3.0990000000000002</c:v>
                </c:pt>
                <c:pt idx="3100">
                  <c:v>3.1</c:v>
                </c:pt>
                <c:pt idx="3101">
                  <c:v>3.101</c:v>
                </c:pt>
                <c:pt idx="3102">
                  <c:v>3.1019999999999999</c:v>
                </c:pt>
                <c:pt idx="3103">
                  <c:v>3.1030000000000002</c:v>
                </c:pt>
                <c:pt idx="3104">
                  <c:v>3.1040000000000001</c:v>
                </c:pt>
                <c:pt idx="3105">
                  <c:v>3.105</c:v>
                </c:pt>
                <c:pt idx="3106">
                  <c:v>3.1059999999999999</c:v>
                </c:pt>
                <c:pt idx="3107">
                  <c:v>3.1070000000000002</c:v>
                </c:pt>
                <c:pt idx="3108">
                  <c:v>3.1080000000000001</c:v>
                </c:pt>
                <c:pt idx="3109">
                  <c:v>3.109</c:v>
                </c:pt>
                <c:pt idx="3110">
                  <c:v>3.11</c:v>
                </c:pt>
                <c:pt idx="3111">
                  <c:v>3.1110000000000002</c:v>
                </c:pt>
                <c:pt idx="3112">
                  <c:v>3.1120000000000001</c:v>
                </c:pt>
                <c:pt idx="3113">
                  <c:v>3.113</c:v>
                </c:pt>
                <c:pt idx="3114">
                  <c:v>3.1139999999999999</c:v>
                </c:pt>
                <c:pt idx="3115">
                  <c:v>3.1150000000000002</c:v>
                </c:pt>
                <c:pt idx="3116">
                  <c:v>3.1160000000000001</c:v>
                </c:pt>
                <c:pt idx="3117">
                  <c:v>3.117</c:v>
                </c:pt>
                <c:pt idx="3118">
                  <c:v>3.1179999999999999</c:v>
                </c:pt>
                <c:pt idx="3119">
                  <c:v>3.1190000000000002</c:v>
                </c:pt>
                <c:pt idx="3120">
                  <c:v>3.12</c:v>
                </c:pt>
                <c:pt idx="3121">
                  <c:v>3.121</c:v>
                </c:pt>
                <c:pt idx="3122">
                  <c:v>3.1219999999999999</c:v>
                </c:pt>
                <c:pt idx="3123">
                  <c:v>3.1230000000000002</c:v>
                </c:pt>
                <c:pt idx="3124">
                  <c:v>3.1240000000000001</c:v>
                </c:pt>
                <c:pt idx="3125">
                  <c:v>3.125</c:v>
                </c:pt>
                <c:pt idx="3126">
                  <c:v>3.1259999999999999</c:v>
                </c:pt>
                <c:pt idx="3127">
                  <c:v>3.1269999999999998</c:v>
                </c:pt>
                <c:pt idx="3128">
                  <c:v>3.1280000000000001</c:v>
                </c:pt>
                <c:pt idx="3129">
                  <c:v>3.129</c:v>
                </c:pt>
                <c:pt idx="3130">
                  <c:v>3.13</c:v>
                </c:pt>
                <c:pt idx="3131">
                  <c:v>3.1309999999999998</c:v>
                </c:pt>
                <c:pt idx="3132">
                  <c:v>3.1320000000000001</c:v>
                </c:pt>
                <c:pt idx="3133">
                  <c:v>3.133</c:v>
                </c:pt>
                <c:pt idx="3134">
                  <c:v>3.1339999999999999</c:v>
                </c:pt>
                <c:pt idx="3135">
                  <c:v>3.1349999999999998</c:v>
                </c:pt>
                <c:pt idx="3136">
                  <c:v>3.1360000000000001</c:v>
                </c:pt>
                <c:pt idx="3137">
                  <c:v>3.137</c:v>
                </c:pt>
                <c:pt idx="3138">
                  <c:v>3.1379999999999999</c:v>
                </c:pt>
                <c:pt idx="3139">
                  <c:v>3.1389999999999998</c:v>
                </c:pt>
                <c:pt idx="3140">
                  <c:v>3.14</c:v>
                </c:pt>
                <c:pt idx="3141">
                  <c:v>3.141</c:v>
                </c:pt>
                <c:pt idx="3142">
                  <c:v>3.1419999999999999</c:v>
                </c:pt>
                <c:pt idx="3143">
                  <c:v>3.1429999999999998</c:v>
                </c:pt>
                <c:pt idx="3144">
                  <c:v>3.1440000000000001</c:v>
                </c:pt>
                <c:pt idx="3145">
                  <c:v>3.145</c:v>
                </c:pt>
                <c:pt idx="3146">
                  <c:v>3.1459999999999999</c:v>
                </c:pt>
                <c:pt idx="3147">
                  <c:v>3.1469999999999998</c:v>
                </c:pt>
                <c:pt idx="3148">
                  <c:v>3.1480000000000001</c:v>
                </c:pt>
                <c:pt idx="3149">
                  <c:v>3.149</c:v>
                </c:pt>
                <c:pt idx="3150">
                  <c:v>3.15</c:v>
                </c:pt>
                <c:pt idx="3151">
                  <c:v>3.1509999999999998</c:v>
                </c:pt>
                <c:pt idx="3152">
                  <c:v>3.1520000000000001</c:v>
                </c:pt>
                <c:pt idx="3153">
                  <c:v>3.153</c:v>
                </c:pt>
                <c:pt idx="3154">
                  <c:v>3.1539999999999999</c:v>
                </c:pt>
                <c:pt idx="3155">
                  <c:v>3.1549999999999998</c:v>
                </c:pt>
                <c:pt idx="3156">
                  <c:v>3.1560000000000001</c:v>
                </c:pt>
                <c:pt idx="3157">
                  <c:v>3.157</c:v>
                </c:pt>
                <c:pt idx="3158">
                  <c:v>3.1579999999999999</c:v>
                </c:pt>
                <c:pt idx="3159">
                  <c:v>3.1589999999999998</c:v>
                </c:pt>
                <c:pt idx="3160">
                  <c:v>3.16</c:v>
                </c:pt>
                <c:pt idx="3161">
                  <c:v>3.161</c:v>
                </c:pt>
                <c:pt idx="3162">
                  <c:v>3.1619999999999999</c:v>
                </c:pt>
                <c:pt idx="3163">
                  <c:v>3.1629999999999998</c:v>
                </c:pt>
                <c:pt idx="3164">
                  <c:v>3.1640000000000001</c:v>
                </c:pt>
                <c:pt idx="3165">
                  <c:v>3.165</c:v>
                </c:pt>
                <c:pt idx="3166">
                  <c:v>3.1659999999999999</c:v>
                </c:pt>
                <c:pt idx="3167">
                  <c:v>3.1669999999999998</c:v>
                </c:pt>
                <c:pt idx="3168">
                  <c:v>3.1680000000000001</c:v>
                </c:pt>
                <c:pt idx="3169">
                  <c:v>3.169</c:v>
                </c:pt>
                <c:pt idx="3170">
                  <c:v>3.17</c:v>
                </c:pt>
                <c:pt idx="3171">
                  <c:v>3.1709999999999998</c:v>
                </c:pt>
                <c:pt idx="3172">
                  <c:v>3.1720000000000002</c:v>
                </c:pt>
                <c:pt idx="3173">
                  <c:v>3.173</c:v>
                </c:pt>
                <c:pt idx="3174">
                  <c:v>3.1739999999999999</c:v>
                </c:pt>
                <c:pt idx="3175">
                  <c:v>3.1749999999999998</c:v>
                </c:pt>
                <c:pt idx="3176">
                  <c:v>3.1760000000000002</c:v>
                </c:pt>
                <c:pt idx="3177">
                  <c:v>3.177</c:v>
                </c:pt>
                <c:pt idx="3178">
                  <c:v>3.1779999999999999</c:v>
                </c:pt>
                <c:pt idx="3179">
                  <c:v>3.1789999999999998</c:v>
                </c:pt>
                <c:pt idx="3180">
                  <c:v>3.18</c:v>
                </c:pt>
                <c:pt idx="3181">
                  <c:v>3.181</c:v>
                </c:pt>
                <c:pt idx="3182">
                  <c:v>3.1819999999999999</c:v>
                </c:pt>
                <c:pt idx="3183">
                  <c:v>3.1829999999999998</c:v>
                </c:pt>
                <c:pt idx="3184">
                  <c:v>3.1840000000000002</c:v>
                </c:pt>
                <c:pt idx="3185">
                  <c:v>3.1850000000000001</c:v>
                </c:pt>
                <c:pt idx="3186">
                  <c:v>3.1859999999999999</c:v>
                </c:pt>
                <c:pt idx="3187">
                  <c:v>3.1869999999999998</c:v>
                </c:pt>
                <c:pt idx="3188">
                  <c:v>3.1880000000000002</c:v>
                </c:pt>
                <c:pt idx="3189">
                  <c:v>3.1890000000000001</c:v>
                </c:pt>
                <c:pt idx="3190">
                  <c:v>3.19</c:v>
                </c:pt>
                <c:pt idx="3191">
                  <c:v>3.1909999999999998</c:v>
                </c:pt>
                <c:pt idx="3192">
                  <c:v>3.1920000000000002</c:v>
                </c:pt>
                <c:pt idx="3193">
                  <c:v>3.1930000000000001</c:v>
                </c:pt>
                <c:pt idx="3194">
                  <c:v>3.194</c:v>
                </c:pt>
                <c:pt idx="3195">
                  <c:v>3.1949999999999998</c:v>
                </c:pt>
                <c:pt idx="3196">
                  <c:v>3.1960000000000002</c:v>
                </c:pt>
                <c:pt idx="3197">
                  <c:v>3.1970000000000001</c:v>
                </c:pt>
                <c:pt idx="3198">
                  <c:v>3.198</c:v>
                </c:pt>
                <c:pt idx="3199">
                  <c:v>3.1989999999999998</c:v>
                </c:pt>
                <c:pt idx="3200">
                  <c:v>3.2</c:v>
                </c:pt>
                <c:pt idx="3201">
                  <c:v>3.2010000000000001</c:v>
                </c:pt>
                <c:pt idx="3202">
                  <c:v>3.202</c:v>
                </c:pt>
                <c:pt idx="3203">
                  <c:v>3.2029999999999998</c:v>
                </c:pt>
                <c:pt idx="3204">
                  <c:v>3.2040000000000002</c:v>
                </c:pt>
                <c:pt idx="3205">
                  <c:v>3.2050000000000001</c:v>
                </c:pt>
                <c:pt idx="3206">
                  <c:v>3.206</c:v>
                </c:pt>
                <c:pt idx="3207">
                  <c:v>3.2069999999999999</c:v>
                </c:pt>
                <c:pt idx="3208">
                  <c:v>3.2080000000000002</c:v>
                </c:pt>
                <c:pt idx="3209">
                  <c:v>3.2090000000000001</c:v>
                </c:pt>
                <c:pt idx="3210">
                  <c:v>3.21</c:v>
                </c:pt>
                <c:pt idx="3211">
                  <c:v>3.2109999999999999</c:v>
                </c:pt>
                <c:pt idx="3212">
                  <c:v>3.2120000000000002</c:v>
                </c:pt>
                <c:pt idx="3213">
                  <c:v>3.2130000000000001</c:v>
                </c:pt>
                <c:pt idx="3214">
                  <c:v>3.214</c:v>
                </c:pt>
                <c:pt idx="3215">
                  <c:v>3.2149999999999999</c:v>
                </c:pt>
                <c:pt idx="3216">
                  <c:v>3.2160000000000002</c:v>
                </c:pt>
                <c:pt idx="3217">
                  <c:v>3.2170000000000001</c:v>
                </c:pt>
                <c:pt idx="3218">
                  <c:v>3.218</c:v>
                </c:pt>
                <c:pt idx="3219">
                  <c:v>3.2189999999999999</c:v>
                </c:pt>
                <c:pt idx="3220">
                  <c:v>3.22</c:v>
                </c:pt>
                <c:pt idx="3221">
                  <c:v>3.2210000000000001</c:v>
                </c:pt>
                <c:pt idx="3222">
                  <c:v>3.222</c:v>
                </c:pt>
                <c:pt idx="3223">
                  <c:v>3.2229999999999999</c:v>
                </c:pt>
                <c:pt idx="3224">
                  <c:v>3.2240000000000002</c:v>
                </c:pt>
                <c:pt idx="3225">
                  <c:v>3.2250000000000001</c:v>
                </c:pt>
                <c:pt idx="3226">
                  <c:v>3.226</c:v>
                </c:pt>
                <c:pt idx="3227">
                  <c:v>3.2269999999999999</c:v>
                </c:pt>
                <c:pt idx="3228">
                  <c:v>3.2280000000000002</c:v>
                </c:pt>
                <c:pt idx="3229">
                  <c:v>3.2290000000000001</c:v>
                </c:pt>
              </c:numCache>
            </c:numRef>
          </c:xVal>
          <c:yVal>
            <c:numRef>
              <c:f>Sheet2!$C$2:$C$3231</c:f>
              <c:numCache>
                <c:formatCode>General</c:formatCode>
                <c:ptCount val="3230"/>
                <c:pt idx="0">
                  <c:v>20</c:v>
                </c:pt>
                <c:pt idx="1">
                  <c:v>19.996735159366516</c:v>
                </c:pt>
                <c:pt idx="2">
                  <c:v>19.986949565236689</c:v>
                </c:pt>
                <c:pt idx="3">
                  <c:v>19.970658186818465</c:v>
                </c:pt>
                <c:pt idx="4">
                  <c:v>19.947878089683286</c:v>
                </c:pt>
                <c:pt idx="5">
                  <c:v>19.918628426410425</c:v>
                </c:pt>
                <c:pt idx="6">
                  <c:v>19.882930426567139</c:v>
                </c:pt>
                <c:pt idx="7">
                  <c:v>19.840807386028931</c:v>
                </c:pt>
                <c:pt idx="8">
                  <c:v>19.792284655644739</c:v>
                </c:pt>
                <c:pt idx="9">
                  <c:v>19.737389629251851</c:v>
                </c:pt>
                <c:pt idx="10">
                  <c:v>19.676151731045685</c:v>
                </c:pt>
                <c:pt idx="11">
                  <c:v>19.608602402309668</c:v>
                </c:pt>
                <c:pt idx="12">
                  <c:v>19.534775087510745</c:v>
                </c:pt>
                <c:pt idx="13">
                  <c:v>19.454705219766204</c:v>
                </c:pt>
                <c:pt idx="14">
                  <c:v>19.368430205687638</c:v>
                </c:pt>
                <c:pt idx="15">
                  <c:v>19.275989409608187</c:v>
                </c:pt>
                <c:pt idx="16">
                  <c:v>19.177424137199289</c:v>
                </c:pt>
                <c:pt idx="17">
                  <c:v>19.072777618483375</c:v>
                </c:pt>
                <c:pt idx="18">
                  <c:v>18.962094990249163</c:v>
                </c:pt>
                <c:pt idx="19">
                  <c:v>18.845423277876385</c:v>
                </c:pt>
                <c:pt idx="20">
                  <c:v>18.72281137657691</c:v>
                </c:pt>
                <c:pt idx="21">
                  <c:v>18.594310032059429</c:v>
                </c:pt>
                <c:pt idx="22">
                  <c:v>18.459971820625157</c:v>
                </c:pt>
                <c:pt idx="23">
                  <c:v>18.319851128701906</c:v>
                </c:pt>
                <c:pt idx="24">
                  <c:v>18.174004131824386</c:v>
                </c:pt>
                <c:pt idx="25">
                  <c:v>18.022488773068503</c:v>
                </c:pt>
                <c:pt idx="26">
                  <c:v>17.865364740947683</c:v>
                </c:pt>
                <c:pt idx="27">
                  <c:v>17.702693446779445</c:v>
                </c:pt>
                <c:pt idx="28">
                  <c:v>17.534538001530546</c:v>
                </c:pt>
                <c:pt idx="29">
                  <c:v>17.360963192149196</c:v>
                </c:pt>
                <c:pt idx="30">
                  <c:v>17.182035457392988</c:v>
                </c:pt>
                <c:pt idx="31">
                  <c:v>16.997822863161371</c:v>
                </c:pt>
                <c:pt idx="32">
                  <c:v>16.808395077341569</c:v>
                </c:pt>
                <c:pt idx="33">
                  <c:v>16.613823344177064</c:v>
                </c:pt>
                <c:pt idx="34">
                  <c:v>16.414180458167891</c:v>
                </c:pt>
                <c:pt idx="35">
                  <c:v>16.20954073751205</c:v>
                </c:pt>
                <c:pt idx="36">
                  <c:v>15.999979997097563</c:v>
                </c:pt>
                <c:pt idx="37">
                  <c:v>15.785575521054831</c:v>
                </c:pt>
                <c:pt idx="38">
                  <c:v>15.566406034879016</c:v>
                </c:pt>
                <c:pt idx="39">
                  <c:v>15.342551677132292</c:v>
                </c:pt>
                <c:pt idx="40">
                  <c:v>15.114093970736004</c:v>
                </c:pt>
                <c:pt idx="41">
                  <c:v>14.881115793862872</c:v>
                </c:pt>
                <c:pt idx="42">
                  <c:v>14.643701350439361</c:v>
                </c:pt>
                <c:pt idx="43">
                  <c:v>14.401936140268672</c:v>
                </c:pt>
                <c:pt idx="44">
                  <c:v>14.15590692878467</c:v>
                </c:pt>
                <c:pt idx="45">
                  <c:v>13.9057017164474</c:v>
                </c:pt>
                <c:pt idx="46">
                  <c:v>13.651409707790744</c:v>
                </c:pt>
                <c:pt idx="47">
                  <c:v>13.393121280132995</c:v>
                </c:pt>
                <c:pt idx="48">
                  <c:v>13.130927951961132</c:v>
                </c:pt>
                <c:pt idx="49">
                  <c:v>12.864922350999763</c:v>
                </c:pt>
                <c:pt idx="50">
                  <c:v>12.595198181975654</c:v>
                </c:pt>
                <c:pt idx="51">
                  <c:v>12.321850194088972</c:v>
                </c:pt>
                <c:pt idx="52">
                  <c:v>12.044974148202353</c:v>
                </c:pt>
                <c:pt idx="53">
                  <c:v>11.764666783759058</c:v>
                </c:pt>
                <c:pt idx="54">
                  <c:v>11.481025785441437</c:v>
                </c:pt>
                <c:pt idx="55">
                  <c:v>11.194149749581111</c:v>
                </c:pt>
                <c:pt idx="56">
                  <c:v>10.904138150332265</c:v>
                </c:pt>
                <c:pt idx="57">
                  <c:v>10.6110913056195</c:v>
                </c:pt>
                <c:pt idx="58">
                  <c:v>10.315110342871789</c:v>
                </c:pt>
                <c:pt idx="59">
                  <c:v>10.016297164554134</c:v>
                </c:pt>
                <c:pt idx="60">
                  <c:v>9.7147544135084249</c:v>
                </c:pt>
                <c:pt idx="61">
                  <c:v>9.4105854381153318</c:v>
                </c:pt>
                <c:pt idx="62">
                  <c:v>9.103894257288788</c:v>
                </c:pt>
                <c:pt idx="63">
                  <c:v>8.7947855253147988</c:v>
                </c:pt>
                <c:pt idx="64">
                  <c:v>8.4833644965464465</c:v>
                </c:pt>
                <c:pt idx="65">
                  <c:v>8.169736989966724</c:v>
                </c:pt>
                <c:pt idx="66">
                  <c:v>7.8540093536311302</c:v>
                </c:pt>
                <c:pt idx="67">
                  <c:v>7.5362884290017549</c:v>
                </c:pt>
                <c:pt idx="68">
                  <c:v>7.2166815151847423</c:v>
                </c:pt>
                <c:pt idx="69">
                  <c:v>6.8952963330829746</c:v>
                </c:pt>
                <c:pt idx="70">
                  <c:v>6.5722409894758229</c:v>
                </c:pt>
                <c:pt idx="71">
                  <c:v>6.2476239410377934</c:v>
                </c:pt>
                <c:pt idx="72">
                  <c:v>5.921553958307971</c:v>
                </c:pt>
                <c:pt idx="73">
                  <c:v>5.5941400896220941</c:v>
                </c:pt>
                <c:pt idx="74">
                  <c:v>5.265491625019064</c:v>
                </c:pt>
                <c:pt idx="75">
                  <c:v>4.9357180601337891</c:v>
                </c:pt>
                <c:pt idx="76">
                  <c:v>4.6049290600880601</c:v>
                </c:pt>
                <c:pt idx="77">
                  <c:v>4.2732344233913908</c:v>
                </c:pt>
                <c:pt idx="78">
                  <c:v>3.9407440458634544</c:v>
                </c:pt>
                <c:pt idx="79">
                  <c:v>3.6075678845899368</c:v>
                </c:pt>
                <c:pt idx="80">
                  <c:v>3.2738159219234868</c:v>
                </c:pt>
                <c:pt idx="81">
                  <c:v>2.9395981295413929</c:v>
                </c:pt>
                <c:pt idx="82">
                  <c:v>2.6050244325716929</c:v>
                </c:pt>
                <c:pt idx="83">
                  <c:v>2.2702046737992299</c:v>
                </c:pt>
                <c:pt idx="84">
                  <c:v>1.9352485779632449</c:v>
                </c:pt>
                <c:pt idx="85">
                  <c:v>1.6002657161579348</c:v>
                </c:pt>
                <c:pt idx="86">
                  <c:v>1.265365470347483</c:v>
                </c:pt>
                <c:pt idx="87">
                  <c:v>0.93065699800686319</c:v>
                </c:pt>
                <c:pt idx="88">
                  <c:v>0.59624919689980349</c:v>
                </c:pt>
                <c:pt idx="89">
                  <c:v>0.26225067000510061</c:v>
                </c:pt>
                <c:pt idx="90">
                  <c:v>-7.1230309397532651E-2</c:v>
                </c:pt>
                <c:pt idx="91">
                  <c:v>-0.40408583247092855</c:v>
                </c:pt>
                <c:pt idx="92">
                  <c:v>-0.73620838938225919</c:v>
                </c:pt>
                <c:pt idx="93">
                  <c:v>-1.0674909036721658</c:v>
                </c:pt>
                <c:pt idx="94">
                  <c:v>-1.397826766420416</c:v>
                </c:pt>
                <c:pt idx="95">
                  <c:v>-1.7271098701972261</c:v>
                </c:pt>
                <c:pt idx="96">
                  <c:v>-2.0552346427896171</c:v>
                </c:pt>
                <c:pt idx="97">
                  <c:v>-2.3820960806921594</c:v>
                </c:pt>
                <c:pt idx="98">
                  <c:v>-2.7075897823516537</c:v>
                </c:pt>
                <c:pt idx="99">
                  <c:v>-3.0316119811552813</c:v>
                </c:pt>
                <c:pt idx="100">
                  <c:v>-3.3540595781519507</c:v>
                </c:pt>
                <c:pt idx="101">
                  <c:v>-3.6748301744966585</c:v>
                </c:pt>
                <c:pt idx="102">
                  <c:v>-3.9938221036077191</c:v>
                </c:pt>
                <c:pt idx="103">
                  <c:v>-4.3109344630269923</c:v>
                </c:pt>
                <c:pt idx="104">
                  <c:v>-4.6260671459730931</c:v>
                </c:pt>
                <c:pt idx="105">
                  <c:v>-4.9391208725779849</c:v>
                </c:pt>
                <c:pt idx="106">
                  <c:v>-5.2499972207972565</c:v>
                </c:pt>
                <c:pt idx="107">
                  <c:v>-5.5585986569845778</c:v>
                </c:pt>
                <c:pt idx="108">
                  <c:v>-5.8648285661210249</c:v>
                </c:pt>
                <c:pt idx="109">
                  <c:v>-6.1685912816899471</c:v>
                </c:pt>
                <c:pt idx="110">
                  <c:v>-6.4697921151883415</c:v>
                </c:pt>
                <c:pt idx="111">
                  <c:v>-6.7683373852656894</c:v>
                </c:pt>
                <c:pt idx="112">
                  <c:v>-7.0641344464814999</c:v>
                </c:pt>
                <c:pt idx="113">
                  <c:v>-7.3570917176727662</c:v>
                </c:pt>
                <c:pt idx="114">
                  <c:v>-7.6471187099228706</c:v>
                </c:pt>
                <c:pt idx="115">
                  <c:v>-7.9341260541234613</c:v>
                </c:pt>
                <c:pt idx="116">
                  <c:v>-8.2180255281210997</c:v>
                </c:pt>
                <c:pt idx="117">
                  <c:v>-8.4987300834404671</c:v>
                </c:pt>
                <c:pt idx="118">
                  <c:v>-8.7761538715763425</c:v>
                </c:pt>
                <c:pt idx="119">
                  <c:v>-9.0502122698463943</c:v>
                </c:pt>
                <c:pt idx="120">
                  <c:v>-9.3208219067971534</c:v>
                </c:pt>
                <c:pt idx="121">
                  <c:v>-9.5879006871558072</c:v>
                </c:pt>
                <c:pt idx="122">
                  <c:v>-9.8513678163203444</c:v>
                </c:pt>
                <c:pt idx="123">
                  <c:v>-10.111143824381003</c:v>
                </c:pt>
                <c:pt idx="124">
                  <c:v>-10.367150589665947</c:v>
                </c:pt>
                <c:pt idx="125">
                  <c:v>-10.619311361804369</c:v>
                </c:pt>
                <c:pt idx="126">
                  <c:v>-10.867550784300422</c:v>
                </c:pt>
                <c:pt idx="127">
                  <c:v>-11.111794916611377</c:v>
                </c:pt>
                <c:pt idx="128">
                  <c:v>-11.351971255723832</c:v>
                </c:pt>
                <c:pt idx="129">
                  <c:v>-11.588008757221715</c:v>
                </c:pt>
                <c:pt idx="130">
                  <c:v>-11.81983785584022</c:v>
                </c:pt>
                <c:pt idx="131">
                  <c:v>-12.047390485499797</c:v>
                </c:pt>
                <c:pt idx="132">
                  <c:v>-12.270600098814729</c:v>
                </c:pt>
                <c:pt idx="133">
                  <c:v>-12.489401686070732</c:v>
                </c:pt>
                <c:pt idx="134">
                  <c:v>-12.70373179366643</c:v>
                </c:pt>
                <c:pt idx="135">
                  <c:v>-12.913528542013662</c:v>
                </c:pt>
                <c:pt idx="136">
                  <c:v>-13.118731642891694</c:v>
                </c:pt>
                <c:pt idx="137">
                  <c:v>-13.319282416250699</c:v>
                </c:pt>
                <c:pt idx="138">
                  <c:v>-13.515123806460039</c:v>
                </c:pt>
                <c:pt idx="139">
                  <c:v>-13.706200397996962</c:v>
                </c:pt>
                <c:pt idx="140">
                  <c:v>-13.892458430571729</c:v>
                </c:pt>
                <c:pt idx="141">
                  <c:v>-14.073845813685113</c:v>
                </c:pt>
                <c:pt idx="142">
                  <c:v>-14.250312140614678</c:v>
                </c:pt>
                <c:pt idx="143">
                  <c:v>-14.421808701826212</c:v>
                </c:pt>
                <c:pt idx="144">
                  <c:v>-14.588288497806948</c:v>
                </c:pt>
                <c:pt idx="145">
                  <c:v>-14.749706251317615</c:v>
                </c:pt>
                <c:pt idx="146">
                  <c:v>-14.906018419060105</c:v>
                </c:pt>
                <c:pt idx="147">
                  <c:v>-15.057183202758226</c:v>
                </c:pt>
                <c:pt idx="148">
                  <c:v>-15.203160559648843</c:v>
                </c:pt>
                <c:pt idx="149">
                  <c:v>-15.343912212381118</c:v>
                </c:pt>
                <c:pt idx="150">
                  <c:v>-15.479401658321677</c:v>
                </c:pt>
                <c:pt idx="151">
                  <c:v>-15.609594178263725</c:v>
                </c:pt>
                <c:pt idx="152">
                  <c:v>-15.734456844538339</c:v>
                </c:pt>
                <c:pt idx="153">
                  <c:v>-15.853958528526395</c:v>
                </c:pt>
                <c:pt idx="154">
                  <c:v>-15.968069907569729</c:v>
                </c:pt>
                <c:pt idx="155">
                  <c:v>-16.076763471280394</c:v>
                </c:pt>
                <c:pt idx="156">
                  <c:v>-16.180013527247024</c:v>
                </c:pt>
                <c:pt idx="157">
                  <c:v>-16.27779620613752</c:v>
                </c:pt>
                <c:pt idx="158">
                  <c:v>-16.370089466197495</c:v>
                </c:pt>
                <c:pt idx="159">
                  <c:v>-16.456873097144118</c:v>
                </c:pt>
                <c:pt idx="160">
                  <c:v>-16.538128723455134</c:v>
                </c:pt>
                <c:pt idx="161">
                  <c:v>-16.613839807053132</c:v>
                </c:pt>
                <c:pt idx="162">
                  <c:v>-16.683991649385227</c:v>
                </c:pt>
                <c:pt idx="163">
                  <c:v>-16.748571392898615</c:v>
                </c:pt>
                <c:pt idx="164">
                  <c:v>-16.807568021912548</c:v>
                </c:pt>
                <c:pt idx="165">
                  <c:v>-16.860972362887626</c:v>
                </c:pt>
                <c:pt idx="166">
                  <c:v>-16.908777084093316</c:v>
                </c:pt>
                <c:pt idx="167">
                  <c:v>-16.950976694674942</c:v>
                </c:pt>
                <c:pt idx="168">
                  <c:v>-16.987567543121521</c:v>
                </c:pt>
                <c:pt idx="169">
                  <c:v>-17.018547815136053</c:v>
                </c:pt>
                <c:pt idx="170">
                  <c:v>-17.043917530909969</c:v>
                </c:pt>
                <c:pt idx="171">
                  <c:v>-17.063678541803807</c:v>
                </c:pt>
                <c:pt idx="172">
                  <c:v>-17.077834526436167</c:v>
                </c:pt>
                <c:pt idx="173">
                  <c:v>-17.08639098618336</c:v>
                </c:pt>
                <c:pt idx="174">
                  <c:v>-17.089355240092264</c:v>
                </c:pt>
                <c:pt idx="175">
                  <c:v>-17.086736419209096</c:v>
                </c:pt>
                <c:pt idx="176">
                  <c:v>-17.078545460327028</c:v>
                </c:pt>
                <c:pt idx="177">
                  <c:v>-17.064795099155685</c:v>
                </c:pt>
                <c:pt idx="178">
                  <c:v>-17.045499862915896</c:v>
                </c:pt>
                <c:pt idx="179">
                  <c:v>-17.020676062363059</c:v>
                </c:pt>
                <c:pt idx="180">
                  <c:v>-16.990341783242769</c:v>
                </c:pt>
                <c:pt idx="181">
                  <c:v>-16.954516877182606</c:v>
                </c:pt>
                <c:pt idx="182">
                  <c:v>-16.913222952023943</c:v>
                </c:pt>
                <c:pt idx="183">
                  <c:v>-16.866483361598071</c:v>
                </c:pt>
                <c:pt idx="184">
                  <c:v>-16.81432319495087</c:v>
                </c:pt>
                <c:pt idx="185">
                  <c:v>-16.756769265020612</c:v>
                </c:pt>
                <c:pt idx="186">
                  <c:v>-16.693850096773584</c:v>
                </c:pt>
                <c:pt idx="187">
                  <c:v>-16.625595914802282</c:v>
                </c:pt>
                <c:pt idx="188">
                  <c:v>-16.552038630391344</c:v>
                </c:pt>
                <c:pt idx="189">
                  <c:v>-16.473211828056272</c:v>
                </c:pt>
                <c:pt idx="190">
                  <c:v>-16.389150751560376</c:v>
                </c:pt>
                <c:pt idx="191">
                  <c:v>-16.299892289415421</c:v>
                </c:pt>
                <c:pt idx="192">
                  <c:v>-16.205474959871566</c:v>
                </c:pt>
                <c:pt idx="193">
                  <c:v>-16.105938895402605</c:v>
                </c:pt>
                <c:pt idx="194">
                  <c:v>-16.001325826692231</c:v>
                </c:pt>
                <c:pt idx="195">
                  <c:v>-15.891679066127699</c:v>
                </c:pt>
                <c:pt idx="196">
                  <c:v>-15.777043490806975</c:v>
                </c:pt>
                <c:pt idx="197">
                  <c:v>-15.65746552506592</c:v>
                </c:pt>
                <c:pt idx="198">
                  <c:v>-15.532993122531993</c:v>
                </c:pt>
                <c:pt idx="199">
                  <c:v>-15.403675747711249</c:v>
                </c:pt>
                <c:pt idx="200">
                  <c:v>-15.269564357115442</c:v>
                </c:pt>
                <c:pt idx="201">
                  <c:v>-15.130711379936267</c:v>
                </c:pt>
                <c:pt idx="202">
                  <c:v>-14.9871706982738</c:v>
                </c:pt>
                <c:pt idx="203">
                  <c:v>-14.838997626926458</c:v>
                </c:pt>
                <c:pt idx="204">
                  <c:v>-14.68624889274983</c:v>
                </c:pt>
                <c:pt idx="205">
                  <c:v>-14.528982613591939</c:v>
                </c:pt>
                <c:pt idx="206">
                  <c:v>-14.367258276812475</c:v>
                </c:pt>
                <c:pt idx="207">
                  <c:v>-14.201136717393929</c:v>
                </c:pt>
                <c:pt idx="208">
                  <c:v>-14.030680095652302</c:v>
                </c:pt>
                <c:pt idx="209">
                  <c:v>-13.855951874555585</c:v>
                </c:pt>
                <c:pt idx="210">
                  <c:v>-13.677016796657949</c:v>
                </c:pt>
                <c:pt idx="211">
                  <c:v>-13.493940860658046</c:v>
                </c:pt>
                <c:pt idx="212">
                  <c:v>-13.306791297589555</c:v>
                </c:pt>
                <c:pt idx="213">
                  <c:v>-13.115636546652558</c:v>
                </c:pt>
                <c:pt idx="214">
                  <c:v>-12.920546230694262</c:v>
                </c:pt>
                <c:pt idx="215">
                  <c:v>-12.72159113134758</c:v>
                </c:pt>
                <c:pt idx="216">
                  <c:v>-12.518843163836504</c:v>
                </c:pt>
                <c:pt idx="217">
                  <c:v>-12.3123753514569</c:v>
                </c:pt>
                <c:pt idx="218">
                  <c:v>-12.102261799741788</c:v>
                </c:pt>
                <c:pt idx="219">
                  <c:v>-11.888577670320007</c:v>
                </c:pt>
                <c:pt idx="220">
                  <c:v>-11.671399154477424</c:v>
                </c:pt>
                <c:pt idx="221">
                  <c:v>-11.450803446429784</c:v>
                </c:pt>
                <c:pt idx="222">
                  <c:v>-11.226868716316526</c:v>
                </c:pt>
                <c:pt idx="223">
                  <c:v>-10.999674082924804</c:v>
                </c:pt>
                <c:pt idx="224">
                  <c:v>-10.769299586153164</c:v>
                </c:pt>
                <c:pt idx="225">
                  <c:v>-10.535826159224285</c:v>
                </c:pt>
                <c:pt idx="226">
                  <c:v>-10.299335600656358</c:v>
                </c:pt>
                <c:pt idx="227">
                  <c:v>-10.059910546002628</c:v>
                </c:pt>
                <c:pt idx="228">
                  <c:v>-9.8176344393688115</c:v>
                </c:pt>
                <c:pt idx="229">
                  <c:v>-9.5725915047180052</c:v>
                </c:pt>
                <c:pt idx="230">
                  <c:v>-9.3248667169729131</c:v>
                </c:pt>
                <c:pt idx="231">
                  <c:v>-9.0745457729251484</c:v>
                </c:pt>
                <c:pt idx="232">
                  <c:v>-8.821715061961422</c:v>
                </c:pt>
                <c:pt idx="233">
                  <c:v>-8.5664616366166459</c:v>
                </c:pt>
                <c:pt idx="234">
                  <c:v>-8.308873182963616</c:v>
                </c:pt>
                <c:pt idx="235">
                  <c:v>-8.04903799084952</c:v>
                </c:pt>
                <c:pt idx="236">
                  <c:v>-7.7870449239890416</c:v>
                </c:pt>
                <c:pt idx="237">
                  <c:v>-7.5229833899242644</c:v>
                </c:pt>
                <c:pt idx="238">
                  <c:v>-7.2569433098612226</c:v>
                </c:pt>
                <c:pt idx="239">
                  <c:v>-6.9890150883933364</c:v>
                </c:pt>
                <c:pt idx="240">
                  <c:v>-6.7192895831217179</c:v>
                </c:pt>
                <c:pt idx="241">
                  <c:v>-6.447858074182502</c:v>
                </c:pt>
                <c:pt idx="242">
                  <c:v>-6.1748122336912674</c:v>
                </c:pt>
                <c:pt idx="243">
                  <c:v>-5.9002440951147799</c:v>
                </c:pt>
                <c:pt idx="244">
                  <c:v>-5.6242460225799613</c:v>
                </c:pt>
                <c:pt idx="245">
                  <c:v>-5.3469106801304935</c:v>
                </c:pt>
                <c:pt idx="246">
                  <c:v>-5.0683310009409883</c:v>
                </c:pt>
                <c:pt idx="247">
                  <c:v>-4.7886001564989229</c:v>
                </c:pt>
                <c:pt idx="248">
                  <c:v>-4.5078115257644384</c:v>
                </c:pt>
                <c:pt idx="249">
                  <c:v>-4.2260586643181242</c:v>
                </c:pt>
                <c:pt idx="250">
                  <c:v>-3.9434352735068638</c:v>
                </c:pt>
                <c:pt idx="251">
                  <c:v>-3.6600351695978248</c:v>
                </c:pt>
                <c:pt idx="252">
                  <c:v>-3.3759522529506385</c:v>
                </c:pt>
                <c:pt idx="253">
                  <c:v>-3.0912804772178055</c:v>
                </c:pt>
                <c:pt idx="254">
                  <c:v>-2.8061138185833285</c:v>
                </c:pt>
                <c:pt idx="255">
                  <c:v>-2.5205462450495353</c:v>
                </c:pt>
                <c:pt idx="256">
                  <c:v>-2.2346716857820383</c:v>
                </c:pt>
                <c:pt idx="257">
                  <c:v>-1.9485840005227262</c:v>
                </c:pt>
                <c:pt idx="258">
                  <c:v>-1.6623769490806506</c:v>
                </c:pt>
                <c:pt idx="259">
                  <c:v>-1.3761441609106067</c:v>
                </c:pt>
                <c:pt idx="260">
                  <c:v>-1.089979104789268</c:v>
                </c:pt>
                <c:pt idx="261">
                  <c:v>-0.80397505859838303</c:v>
                </c:pt>
                <c:pt idx="262">
                  <c:v>-0.5182250792249824</c:v>
                </c:pt>
                <c:pt idx="263">
                  <c:v>-0.23282197258800166</c:v>
                </c:pt>
                <c:pt idx="264">
                  <c:v>5.2141736199042894E-2</c:v>
                </c:pt>
                <c:pt idx="265">
                  <c:v>0.33657383251984724</c:v>
                </c:pt>
                <c:pt idx="266">
                  <c:v>0.62038244179215329</c:v>
                </c:pt>
                <c:pt idx="267">
                  <c:v>0.90347605884025917</c:v>
                </c:pt>
                <c:pt idx="268">
                  <c:v>1.1857635770939221</c:v>
                </c:pt>
                <c:pt idx="269">
                  <c:v>1.4671543176044319</c:v>
                </c:pt>
                <c:pt idx="270">
                  <c:v>1.7475580578687193</c:v>
                </c:pt>
                <c:pt idx="271">
                  <c:v>2.0268850604524329</c:v>
                </c:pt>
                <c:pt idx="272">
                  <c:v>2.3050461014030099</c:v>
                </c:pt>
                <c:pt idx="273">
                  <c:v>2.5819524984438447</c:v>
                </c:pt>
                <c:pt idx="274">
                  <c:v>2.8575161389407486</c:v>
                </c:pt>
                <c:pt idx="275">
                  <c:v>3.131649507631983</c:v>
                </c:pt>
                <c:pt idx="276">
                  <c:v>3.4042657141132566</c:v>
                </c:pt>
                <c:pt idx="277">
                  <c:v>3.6752785200690821</c:v>
                </c:pt>
                <c:pt idx="278">
                  <c:v>3.9446023662422491</c:v>
                </c:pt>
                <c:pt idx="279">
                  <c:v>4.2121523991328429</c:v>
                </c:pt>
                <c:pt idx="280">
                  <c:v>4.4778444974187428</c:v>
                </c:pt>
                <c:pt idx="281">
                  <c:v>4.7415952980894556</c:v>
                </c:pt>
                <c:pt idx="282">
                  <c:v>5.0033222222852078</c:v>
                </c:pt>
                <c:pt idx="283">
                  <c:v>5.2629435008335301</c:v>
                </c:pt>
                <c:pt idx="284">
                  <c:v>5.5203781994753234</c:v>
                </c:pt>
                <c:pt idx="285">
                  <c:v>5.7755462437729816</c:v>
                </c:pt>
                <c:pt idx="286">
                  <c:v>6.0283684436928553</c:v>
                </c:pt>
                <c:pt idx="287">
                  <c:v>6.2787665178546694</c:v>
                </c:pt>
                <c:pt idx="288">
                  <c:v>6.5266631174405809</c:v>
                </c:pt>
                <c:pt idx="289">
                  <c:v>6.7719818497566981</c:v>
                </c:pt>
                <c:pt idx="290">
                  <c:v>7.0146473014399522</c:v>
                </c:pt>
                <c:pt idx="291">
                  <c:v>7.2545850613034668</c:v>
                </c:pt>
                <c:pt idx="292">
                  <c:v>7.4917217428135494</c:v>
                </c:pt>
                <c:pt idx="293">
                  <c:v>7.7259850061916593</c:v>
                </c:pt>
                <c:pt idx="294">
                  <c:v>7.9573035801348331</c:v>
                </c:pt>
                <c:pt idx="295">
                  <c:v>8.1856072831481406</c:v>
                </c:pt>
                <c:pt idx="296">
                  <c:v>8.4108270444829323</c:v>
                </c:pt>
                <c:pt idx="297">
                  <c:v>8.632894924674698</c:v>
                </c:pt>
                <c:pt idx="298">
                  <c:v>8.8517441356746911</c:v>
                </c:pt>
                <c:pt idx="299">
                  <c:v>9.0673090605693165</c:v>
                </c:pt>
                <c:pt idx="300">
                  <c:v>9.2795252728816902</c:v>
                </c:pt>
                <c:pt idx="301">
                  <c:v>9.4883295554498126</c:v>
                </c:pt>
                <c:pt idx="302">
                  <c:v>9.693659918875932</c:v>
                </c:pt>
                <c:pt idx="303">
                  <c:v>9.8954556195418721</c:v>
                </c:pt>
                <c:pt idx="304">
                  <c:v>10.093657177185246</c:v>
                </c:pt>
                <c:pt idx="305">
                  <c:v>10.288206392031535</c:v>
                </c:pt>
                <c:pt idx="306">
                  <c:v>10.47904636147736</c:v>
                </c:pt>
                <c:pt idx="307">
                  <c:v>10.666121496320205</c:v>
                </c:pt>
                <c:pt idx="308">
                  <c:v>10.849377536530167</c:v>
                </c:pt>
                <c:pt idx="309">
                  <c:v>11.028761566559405</c:v>
                </c:pt>
                <c:pt idx="310">
                  <c:v>11.204222030185136</c:v>
                </c:pt>
                <c:pt idx="311">
                  <c:v>11.375708744882138</c:v>
                </c:pt>
                <c:pt idx="312">
                  <c:v>11.543172915720957</c:v>
                </c:pt>
                <c:pt idx="313">
                  <c:v>11.70656714878813</c:v>
                </c:pt>
                <c:pt idx="314">
                  <c:v>11.86584546412487</c:v>
                </c:pt>
                <c:pt idx="315">
                  <c:v>12.020963308180958</c:v>
                </c:pt>
                <c:pt idx="316">
                  <c:v>12.171877565780514</c:v>
                </c:pt>
                <c:pt idx="317">
                  <c:v>12.318546571596737</c:v>
                </c:pt>
                <c:pt idx="318">
                  <c:v>12.460930121132693</c:v>
                </c:pt>
                <c:pt idx="319">
                  <c:v>12.5989894812055</c:v>
                </c:pt>
                <c:pt idx="320">
                  <c:v>12.732687399931345</c:v>
                </c:pt>
                <c:pt idx="321">
                  <c:v>12.861988116209011</c:v>
                </c:pt>
                <c:pt idx="322">
                  <c:v>12.986857368699685</c:v>
                </c:pt>
                <c:pt idx="323">
                  <c:v>13.107262404301084</c:v>
                </c:pt>
                <c:pt idx="324">
                  <c:v>13.223171986113982</c:v>
                </c:pt>
                <c:pt idx="325">
                  <c:v>13.334556400899489</c:v>
                </c:pt>
                <c:pt idx="326">
                  <c:v>13.441387466025578</c:v>
                </c:pt>
                <c:pt idx="327">
                  <c:v>13.543638535901474</c:v>
                </c:pt>
                <c:pt idx="328">
                  <c:v>13.641284507898781</c:v>
                </c:pt>
                <c:pt idx="329">
                  <c:v>13.734301827758308</c:v>
                </c:pt>
                <c:pt idx="330">
                  <c:v>13.82266849448175</c:v>
                </c:pt>
                <c:pt idx="331">
                  <c:v>13.906364064707587</c:v>
                </c:pt>
                <c:pt idx="332">
                  <c:v>13.98536965657069</c:v>
                </c:pt>
                <c:pt idx="333">
                  <c:v>14.059667953045327</c:v>
                </c:pt>
                <c:pt idx="334">
                  <c:v>14.129243204771322</c:v>
                </c:pt>
                <c:pt idx="335">
                  <c:v>14.194081232363551</c:v>
                </c:pt>
                <c:pt idx="336">
                  <c:v>14.254169428204747</c:v>
                </c:pt>
                <c:pt idx="337">
                  <c:v>14.309496757722135</c:v>
                </c:pt>
                <c:pt idx="338">
                  <c:v>14.360053760148309</c:v>
                </c:pt>
                <c:pt idx="339">
                  <c:v>14.405832548767085</c:v>
                </c:pt>
                <c:pt idx="340">
                  <c:v>14.446826810645154</c:v>
                </c:pt>
                <c:pt idx="341">
                  <c:v>14.483031805850549</c:v>
                </c:pt>
                <c:pt idx="342">
                  <c:v>14.514444366159138</c:v>
                </c:pt>
                <c:pt idx="343">
                  <c:v>14.54106289325045</c:v>
                </c:pt>
                <c:pt idx="344">
                  <c:v>14.562887356394397</c:v>
                </c:pt>
                <c:pt idx="345">
                  <c:v>14.579919289630487</c:v>
                </c:pt>
                <c:pt idx="346">
                  <c:v>14.592161788441453</c:v>
                </c:pt>
                <c:pt idx="347">
                  <c:v>14.599619505923227</c:v>
                </c:pt>
                <c:pt idx="348">
                  <c:v>14.602298648453488</c:v>
                </c:pt>
                <c:pt idx="349">
                  <c:v>14.600206970861</c:v>
                </c:pt>
                <c:pt idx="350">
                  <c:v>14.593353771098357</c:v>
                </c:pt>
                <c:pt idx="351">
                  <c:v>14.581749884420613</c:v>
                </c:pt>
                <c:pt idx="352">
                  <c:v>14.565407677072749</c:v>
                </c:pt>
                <c:pt idx="353">
                  <c:v>14.54434103948878</c:v>
                </c:pt>
                <c:pt idx="354">
                  <c:v>14.518565379005731</c:v>
                </c:pt>
                <c:pt idx="355">
                  <c:v>14.488097612095604</c:v>
                </c:pt>
                <c:pt idx="356">
                  <c:v>14.452956156118892</c:v>
                </c:pt>
                <c:pt idx="357">
                  <c:v>14.413160920603039</c:v>
                </c:pt>
                <c:pt idx="358">
                  <c:v>14.368733298049694</c:v>
                </c:pt>
                <c:pt idx="359">
                  <c:v>14.319696154274485</c:v>
                </c:pt>
                <c:pt idx="360">
                  <c:v>14.266073818283434</c:v>
                </c:pt>
                <c:pt idx="361">
                  <c:v>14.20789207169001</c:v>
                </c:pt>
                <c:pt idx="362">
                  <c:v>14.14517813767727</c:v>
                </c:pt>
                <c:pt idx="363">
                  <c:v>14.07796066950934</c:v>
                </c:pt>
                <c:pt idx="364">
                  <c:v>14.00626973859695</c:v>
                </c:pt>
                <c:pt idx="365">
                  <c:v>13.930136822121625</c:v>
                </c:pt>
                <c:pt idx="366">
                  <c:v>13.849594790223403</c:v>
                </c:pt>
                <c:pt idx="367">
                  <c:v>13.764677892757057</c:v>
                </c:pt>
                <c:pt idx="368">
                  <c:v>13.675421745621916</c:v>
                </c:pt>
                <c:pt idx="369">
                  <c:v>13.581863316670493</c:v>
                </c:pt>
                <c:pt idx="370">
                  <c:v>13.484040911201326</c:v>
                </c:pt>
                <c:pt idx="371">
                  <c:v>13.381994157041493</c:v>
                </c:pt>
                <c:pt idx="372">
                  <c:v>13.275763989224368</c:v>
                </c:pt>
                <c:pt idx="373">
                  <c:v>13.165392634268471</c:v>
                </c:pt>
                <c:pt idx="374">
                  <c:v>13.050923594063102</c:v>
                </c:pt>
                <c:pt idx="375">
                  <c:v>12.932401629366881</c:v>
                </c:pt>
                <c:pt idx="376">
                  <c:v>12.80987274292514</c:v>
                </c:pt>
                <c:pt idx="377">
                  <c:v>12.683384162212521</c:v>
                </c:pt>
                <c:pt idx="378">
                  <c:v>12.552984321806925</c:v>
                </c:pt>
                <c:pt idx="379">
                  <c:v>12.418722845401343</c:v>
                </c:pt>
                <c:pt idx="380">
                  <c:v>12.280650527460081</c:v>
                </c:pt>
                <c:pt idx="381">
                  <c:v>12.138819314525932</c:v>
                </c:pt>
                <c:pt idx="382">
                  <c:v>11.993282286185135</c:v>
                </c:pt>
                <c:pt idx="383">
                  <c:v>11.844093635696888</c:v>
                </c:pt>
                <c:pt idx="384">
                  <c:v>11.691308650294305</c:v>
                </c:pt>
                <c:pt idx="385">
                  <c:v>11.53498369116399</c:v>
                </c:pt>
                <c:pt idx="386">
                  <c:v>11.375176173111116</c:v>
                </c:pt>
                <c:pt idx="387">
                  <c:v>11.211944543917433</c:v>
                </c:pt>
                <c:pt idx="388">
                  <c:v>11.045348263399376</c:v>
                </c:pt>
                <c:pt idx="389">
                  <c:v>10.875447782173657</c:v>
                </c:pt>
                <c:pt idx="390">
                  <c:v>10.702304520137849</c:v>
                </c:pt>
                <c:pt idx="391">
                  <c:v>10.525980844673445</c:v>
                </c:pt>
                <c:pt idx="392">
                  <c:v>10.34654004857906</c:v>
                </c:pt>
                <c:pt idx="393">
                  <c:v>10.164046327741408</c:v>
                </c:pt>
                <c:pt idx="394">
                  <c:v>9.9785647585518742</c:v>
                </c:pt>
                <c:pt idx="395">
                  <c:v>9.7901612750764695</c:v>
                </c:pt>
                <c:pt idx="396">
                  <c:v>9.5989026459870779</c:v>
                </c:pt>
                <c:pt idx="397">
                  <c:v>9.4048564512619706</c:v>
                </c:pt>
                <c:pt idx="398">
                  <c:v>9.2080910586635802</c:v>
                </c:pt>
                <c:pt idx="399">
                  <c:v>9.0086756000016504</c:v>
                </c:pt>
                <c:pt idx="400">
                  <c:v>8.8066799471898527</c:v>
                </c:pt>
                <c:pt idx="401">
                  <c:v>8.602174688104089</c:v>
                </c:pt>
                <c:pt idx="402">
                  <c:v>8.3952311022507526</c:v>
                </c:pt>
                <c:pt idx="403">
                  <c:v>8.1859211362530946</c:v>
                </c:pt>
                <c:pt idx="404">
                  <c:v>7.974317379164213</c:v>
                </c:pt>
                <c:pt idx="405">
                  <c:v>7.7604930376148875</c:v>
                </c:pt>
                <c:pt idx="406">
                  <c:v>7.5445219108047663</c:v>
                </c:pt>
                <c:pt idx="407">
                  <c:v>7.326478365345273</c:v>
                </c:pt>
                <c:pt idx="408">
                  <c:v>7.1064373099627254</c:v>
                </c:pt>
                <c:pt idx="409">
                  <c:v>6.8844741700702965</c:v>
                </c:pt>
                <c:pt idx="410">
                  <c:v>6.6606648622171498</c:v>
                </c:pt>
                <c:pt idx="411">
                  <c:v>6.4350857684234519</c:v>
                </c:pt>
                <c:pt idx="412">
                  <c:v>6.207813710409833</c:v>
                </c:pt>
                <c:pt idx="413">
                  <c:v>5.9789259237298324</c:v>
                </c:pt>
                <c:pt idx="414">
                  <c:v>5.7485000318140189</c:v>
                </c:pt>
                <c:pt idx="415">
                  <c:v>5.5166140199343641</c:v>
                </c:pt>
                <c:pt idx="416">
                  <c:v>5.2833462090975445</c:v>
                </c:pt>
                <c:pt idx="417">
                  <c:v>5.0487752298758046</c:v>
                </c:pt>
                <c:pt idx="418">
                  <c:v>4.8129799961840334</c:v>
                </c:pt>
                <c:pt idx="419">
                  <c:v>4.5760396790117266</c:v>
                </c:pt>
                <c:pt idx="420">
                  <c:v>4.3380336801184702</c:v>
                </c:pt>
                <c:pt idx="421">
                  <c:v>4.099041605701597</c:v>
                </c:pt>
                <c:pt idx="422">
                  <c:v>3.8591432400447294</c:v>
                </c:pt>
                <c:pt idx="423">
                  <c:v>3.6184185191556604</c:v>
                </c:pt>
                <c:pt idx="424">
                  <c:v>3.3769475044024437</c:v>
                </c:pt>
                <c:pt idx="425">
                  <c:v>3.1348103561561134</c:v>
                </c:pt>
                <c:pt idx="426">
                  <c:v>2.8920873074486968</c:v>
                </c:pt>
                <c:pt idx="427">
                  <c:v>2.6488586376550907</c:v>
                </c:pt>
                <c:pt idx="428">
                  <c:v>2.4052046462073253</c:v>
                </c:pt>
                <c:pt idx="429">
                  <c:v>2.1612056263497568</c:v>
                </c:pt>
                <c:pt idx="430">
                  <c:v>1.9169418389436719</c:v>
                </c:pt>
                <c:pt idx="431">
                  <c:v>1.6724934863297642</c:v>
                </c:pt>
                <c:pt idx="432">
                  <c:v>1.4279406862569122</c:v>
                </c:pt>
                <c:pt idx="433">
                  <c:v>1.1833634458856459</c:v>
                </c:pt>
                <c:pt idx="434">
                  <c:v>0.93884163587465386</c:v>
                </c:pt>
                <c:pt idx="435">
                  <c:v>0.69445496455863776</c:v>
                </c:pt>
                <c:pt idx="436">
                  <c:v>0.45028295222577525</c:v>
                </c:pt>
                <c:pt idx="437">
                  <c:v>0.20640490550301288</c:v>
                </c:pt>
                <c:pt idx="438">
                  <c:v>-3.71001081426654E-2</c:v>
                </c:pt>
                <c:pt idx="439">
                  <c:v>-0.2801532857788025</c:v>
                </c:pt>
                <c:pt idx="440">
                  <c:v>-0.52267611424999116</c:v>
                </c:pt>
                <c:pt idx="441">
                  <c:v>-0.76459039528011474</c:v>
                </c:pt>
                <c:pt idx="442">
                  <c:v>-1.0058182704265441</c:v>
                </c:pt>
                <c:pt idx="443">
                  <c:v>-1.2462822458783447</c:v>
                </c:pt>
                <c:pt idx="444">
                  <c:v>-1.4859052170906906</c:v>
                </c:pt>
                <c:pt idx="445">
                  <c:v>-1.7246104932477313</c:v>
                </c:pt>
                <c:pt idx="446">
                  <c:v>-1.9623218215463156</c:v>
                </c:pt>
                <c:pt idx="447">
                  <c:v>-2.1989634112927443</c:v>
                </c:pt>
                <c:pt idx="448">
                  <c:v>-2.4344599578053394</c:v>
                </c:pt>
                <c:pt idx="449">
                  <c:v>-2.668736666115235</c:v>
                </c:pt>
                <c:pt idx="450">
                  <c:v>-2.9017192744577796</c:v>
                </c:pt>
                <c:pt idx="451">
                  <c:v>-3.1333340775478233</c:v>
                </c:pt>
                <c:pt idx="452">
                  <c:v>-3.3635079496309914</c:v>
                </c:pt>
                <c:pt idx="453">
                  <c:v>-3.5921683673045339</c:v>
                </c:pt>
                <c:pt idx="454">
                  <c:v>-3.8192434321000102</c:v>
                </c:pt>
                <c:pt idx="455">
                  <c:v>-4.0446618928215843</c:v>
                </c:pt>
                <c:pt idx="456">
                  <c:v>-4.2683531676323607</c:v>
                </c:pt>
                <c:pt idx="457">
                  <c:v>-4.4902473658827171</c:v>
                </c:pt>
                <c:pt idx="458">
                  <c:v>-4.710275309673289</c:v>
                </c:pt>
                <c:pt idx="459">
                  <c:v>-4.9283685551467107</c:v>
                </c:pt>
                <c:pt idx="460">
                  <c:v>-5.1444594135009973</c:v>
                </c:pt>
                <c:pt idx="461">
                  <c:v>-5.3584809717188833</c:v>
                </c:pt>
                <c:pt idx="462">
                  <c:v>-5.5703671130061663</c:v>
                </c:pt>
                <c:pt idx="463">
                  <c:v>-5.7800525369336233</c:v>
                </c:pt>
                <c:pt idx="464">
                  <c:v>-5.9874727792757874</c:v>
                </c:pt>
                <c:pt idx="465">
                  <c:v>-6.1925642315411631</c:v>
                </c:pt>
                <c:pt idx="466">
                  <c:v>-6.395264160187903</c:v>
                </c:pt>
                <c:pt idx="467">
                  <c:v>-6.5955107255189844</c:v>
                </c:pt>
                <c:pt idx="468">
                  <c:v>-6.793243000251846</c:v>
                </c:pt>
                <c:pt idx="469">
                  <c:v>-6.9884009877563571</c:v>
                </c:pt>
                <c:pt idx="470">
                  <c:v>-7.1809256399564205</c:v>
                </c:pt>
                <c:pt idx="471">
                  <c:v>-7.3707588748894262</c:v>
                </c:pt>
                <c:pt idx="472">
                  <c:v>-7.5578435939186992</c:v>
                </c:pt>
                <c:pt idx="473">
                  <c:v>-7.7421236985940931</c:v>
                </c:pt>
                <c:pt idx="474">
                  <c:v>-7.9235441071554247</c:v>
                </c:pt>
                <c:pt idx="475">
                  <c:v>-8.1020507706745502</c:v>
                </c:pt>
                <c:pt idx="476">
                  <c:v>-8.2775906888309052</c:v>
                </c:pt>
                <c:pt idx="477">
                  <c:v>-8.450111925316607</c:v>
                </c:pt>
                <c:pt idx="478">
                  <c:v>-8.6195636228661616</c:v>
                </c:pt>
                <c:pt idx="479">
                  <c:v>-8.7858960179071151</c:v>
                </c:pt>
                <c:pt idx="480">
                  <c:v>-8.9490604548270465</c:v>
                </c:pt>
                <c:pt idx="481">
                  <c:v>-9.1090093998533987</c:v>
                </c:pt>
                <c:pt idx="482">
                  <c:v>-9.2656964545418532</c:v>
                </c:pt>
                <c:pt idx="483">
                  <c:v>-9.4190763688700514</c:v>
                </c:pt>
                <c:pt idx="484">
                  <c:v>-9.5691050539325975</c:v>
                </c:pt>
                <c:pt idx="485">
                  <c:v>-9.7157395942343179</c:v>
                </c:pt>
                <c:pt idx="486">
                  <c:v>-9.8589382595783501</c:v>
                </c:pt>
                <c:pt idx="487">
                  <c:v>-9.9986605165457281</c:v>
                </c:pt>
                <c:pt idx="488">
                  <c:v>-10.13486703956387</c:v>
                </c:pt>
                <c:pt idx="489">
                  <c:v>-10.267519721560609</c:v>
                </c:pt>
                <c:pt idx="490">
                  <c:v>-10.396581684201513</c:v>
                </c:pt>
                <c:pt idx="491">
                  <c:v>-10.522017287707449</c:v>
                </c:pt>
                <c:pt idx="492">
                  <c:v>-10.643792140250405</c:v>
                </c:pt>
                <c:pt idx="493">
                  <c:v>-10.761873106924797</c:v>
                </c:pt>
                <c:pt idx="494">
                  <c:v>-10.876228318292572</c:v>
                </c:pt>
                <c:pt idx="495">
                  <c:v>-10.986827178499588</c:v>
                </c:pt>
                <c:pt idx="496">
                  <c:v>-11.093640372961939</c:v>
                </c:pt>
                <c:pt idx="497">
                  <c:v>-11.196639875619949</c:v>
                </c:pt>
                <c:pt idx="498">
                  <c:v>-11.295798955758723</c:v>
                </c:pt>
                <c:pt idx="499">
                  <c:v>-11.391092184393429</c:v>
                </c:pt>
                <c:pt idx="500">
                  <c:v>-11.482495440218345</c:v>
                </c:pt>
                <c:pt idx="501">
                  <c:v>-11.569985915118183</c:v>
                </c:pt>
                <c:pt idx="502">
                  <c:v>-11.653542119241001</c:v>
                </c:pt>
                <c:pt idx="503">
                  <c:v>-11.733143885631634</c:v>
                </c:pt>
                <c:pt idx="504">
                  <c:v>-11.80877237442494</c:v>
                </c:pt>
                <c:pt idx="505">
                  <c:v>-11.880410076598436</c:v>
                </c:pt>
                <c:pt idx="506">
                  <c:v>-11.948040817283644</c:v>
                </c:pt>
                <c:pt idx="507">
                  <c:v>-12.011649758636183</c:v>
                </c:pt>
                <c:pt idx="508">
                  <c:v>-12.071223402264113</c:v>
                </c:pt>
                <c:pt idx="509">
                  <c:v>-12.126749591214885</c:v>
                </c:pt>
                <c:pt idx="510">
                  <c:v>-12.178217511520717</c:v>
                </c:pt>
                <c:pt idx="511">
                  <c:v>-12.225617693302992</c:v>
                </c:pt>
                <c:pt idx="512">
                  <c:v>-12.268942011435847</c:v>
                </c:pt>
                <c:pt idx="513">
                  <c:v>-12.30818368576977</c:v>
                </c:pt>
                <c:pt idx="514">
                  <c:v>-12.343337280915689</c:v>
                </c:pt>
                <c:pt idx="515">
                  <c:v>-12.374398705590675</c:v>
                </c:pt>
                <c:pt idx="516">
                  <c:v>-12.401365211525992</c:v>
                </c:pt>
                <c:pt idx="517">
                  <c:v>-12.424235391938902</c:v>
                </c:pt>
                <c:pt idx="518">
                  <c:v>-12.443009179569305</c:v>
                </c:pt>
                <c:pt idx="519">
                  <c:v>-12.457687844282745</c:v>
                </c:pt>
                <c:pt idx="520">
                  <c:v>-12.46827399024135</c:v>
                </c:pt>
                <c:pt idx="521">
                  <c:v>-12.474771552644356</c:v>
                </c:pt>
                <c:pt idx="522">
                  <c:v>-12.477185794040091</c:v>
                </c:pt>
                <c:pt idx="523">
                  <c:v>-12.47552330021141</c:v>
                </c:pt>
                <c:pt idx="524">
                  <c:v>-12.469791975636653</c:v>
                </c:pt>
                <c:pt idx="525">
                  <c:v>-12.4600010385284</c:v>
                </c:pt>
                <c:pt idx="526">
                  <c:v>-12.446161015452413</c:v>
                </c:pt>
                <c:pt idx="527">
                  <c:v>-12.428283735529268</c:v>
                </c:pt>
                <c:pt idx="528">
                  <c:v>-12.406382324221294</c:v>
                </c:pt>
                <c:pt idx="529">
                  <c:v>-12.380471196707658</c:v>
                </c:pt>
                <c:pt idx="530">
                  <c:v>-12.350566050850457</c:v>
                </c:pt>
                <c:pt idx="531">
                  <c:v>-12.316683859754859</c:v>
                </c:pt>
                <c:pt idx="532">
                  <c:v>-12.278842863926444</c:v>
                </c:pt>
                <c:pt idx="533">
                  <c:v>-12.237062563029099</c:v>
                </c:pt>
                <c:pt idx="534">
                  <c:v>-12.19136370724674</c:v>
                </c:pt>
                <c:pt idx="535">
                  <c:v>-12.141768288252569</c:v>
                </c:pt>
                <c:pt idx="536">
                  <c:v>-12.088299529789385</c:v>
                </c:pt>
                <c:pt idx="537">
                  <c:v>-12.030981877864752</c:v>
                </c:pt>
                <c:pt idx="538">
                  <c:v>-11.969840990565048</c:v>
                </c:pt>
                <c:pt idx="539">
                  <c:v>-11.904903727492144</c:v>
                </c:pt>
                <c:pt idx="540">
                  <c:v>-11.836198138827168</c:v>
                </c:pt>
                <c:pt idx="541">
                  <c:v>-11.763753454025284</c:v>
                </c:pt>
                <c:pt idx="542">
                  <c:v>-11.687600070146107</c:v>
                </c:pt>
                <c:pt idx="543">
                  <c:v>-11.607769539824012</c:v>
                </c:pt>
                <c:pt idx="544">
                  <c:v>-11.524294558883065</c:v>
                </c:pt>
                <c:pt idx="545">
                  <c:v>-11.437208953601138</c:v>
                </c:pt>
                <c:pt idx="546">
                  <c:v>-11.346547667628155</c:v>
                </c:pt>
                <c:pt idx="547">
                  <c:v>-11.252346748563129</c:v>
                </c:pt>
                <c:pt idx="548">
                  <c:v>-11.154643334195285</c:v>
                </c:pt>
                <c:pt idx="549">
                  <c:v>-11.053475638414037</c:v>
                </c:pt>
                <c:pt idx="550">
                  <c:v>-10.948882936793366</c:v>
                </c:pt>
                <c:pt idx="551">
                  <c:v>-10.840905551855515</c:v>
                </c:pt>
                <c:pt idx="552">
                  <c:v>-10.729584838019793</c:v>
                </c:pt>
                <c:pt idx="553">
                  <c:v>-10.614963166241589</c:v>
                </c:pt>
                <c:pt idx="554">
                  <c:v>-10.497083908347417</c:v>
                </c:pt>
                <c:pt idx="555">
                  <c:v>-10.375991421071616</c:v>
                </c:pt>
                <c:pt idx="556">
                  <c:v>-10.251731029800318</c:v>
                </c:pt>
                <c:pt idx="557">
                  <c:v>-10.12434901202873</c:v>
                </c:pt>
                <c:pt idx="558">
                  <c:v>-9.9938925805374268</c:v>
                </c:pt>
                <c:pt idx="559">
                  <c:v>-9.8604098662938604</c:v>
                </c:pt>
                <c:pt idx="560">
                  <c:v>-9.7239499010849642</c:v>
                </c:pt>
                <c:pt idx="561">
                  <c:v>-9.584562599887219</c:v>
                </c:pt>
                <c:pt idx="562">
                  <c:v>-9.442298742980153</c:v>
                </c:pt>
                <c:pt idx="563">
                  <c:v>-9.2972099578099048</c:v>
                </c:pt>
                <c:pt idx="564">
                  <c:v>-9.1493487006087708</c:v>
                </c:pt>
                <c:pt idx="565">
                  <c:v>-8.9987682377777887</c:v>
                </c:pt>
                <c:pt idx="566">
                  <c:v>-8.845522627038152</c:v>
                </c:pt>
                <c:pt idx="567">
                  <c:v>-8.6896666983586837</c:v>
                </c:pt>
                <c:pt idx="568">
                  <c:v>-8.5312560346654642</c:v>
                </c:pt>
                <c:pt idx="569">
                  <c:v>-8.3703469523407676</c:v>
                </c:pt>
                <c:pt idx="570">
                  <c:v>-8.2069964815175673</c:v>
                </c:pt>
                <c:pt idx="571">
                  <c:v>-8.0412623461769517</c:v>
                </c:pt>
                <c:pt idx="572">
                  <c:v>-7.8732029440547331</c:v>
                </c:pt>
                <c:pt idx="573">
                  <c:v>-7.702877326364713</c:v>
                </c:pt>
                <c:pt idx="574">
                  <c:v>-7.5303451773449988</c:v>
                </c:pt>
                <c:pt idx="575">
                  <c:v>-7.3556667936349278</c:v>
                </c:pt>
                <c:pt idx="576">
                  <c:v>-7.1789030634891375</c:v>
                </c:pt>
                <c:pt idx="577">
                  <c:v>-7.0001154458361317</c:v>
                </c:pt>
                <c:pt idx="578">
                  <c:v>-6.8193659491885183</c:v>
                </c:pt>
                <c:pt idx="579">
                  <c:v>-6.6367171104117553</c:v>
                </c:pt>
                <c:pt idx="580">
                  <c:v>-6.4522319733590061</c:v>
                </c:pt>
                <c:pt idx="581">
                  <c:v>-6.2659740673788775</c:v>
                </c:pt>
                <c:pt idx="582">
                  <c:v>-6.0780073857037582</c:v>
                </c:pt>
                <c:pt idx="583">
                  <c:v>-5.8883963637255041</c:v>
                </c:pt>
                <c:pt idx="584">
                  <c:v>-5.6972058571663338</c:v>
                </c:pt>
                <c:pt idx="585">
                  <c:v>-5.5045011201516534</c:v>
                </c:pt>
                <c:pt idx="586">
                  <c:v>-5.310347783192741</c:v>
                </c:pt>
                <c:pt idx="587">
                  <c:v>-5.114811831086052</c:v>
                </c:pt>
                <c:pt idx="588">
                  <c:v>-4.9179595807370919</c:v>
                </c:pt>
                <c:pt idx="589">
                  <c:v>-4.7198576589156476</c:v>
                </c:pt>
                <c:pt idx="590">
                  <c:v>-4.5205729799503445</c:v>
                </c:pt>
                <c:pt idx="591">
                  <c:v>-4.3201727233693381</c:v>
                </c:pt>
                <c:pt idx="592">
                  <c:v>-4.1187243114950984</c:v>
                </c:pt>
                <c:pt idx="593">
                  <c:v>-3.9162953870002317</c:v>
                </c:pt>
                <c:pt idx="594">
                  <c:v>-3.7129537904318926</c:v>
                </c:pt>
                <c:pt idx="595">
                  <c:v>-3.5087675377124188</c:v>
                </c:pt>
                <c:pt idx="596">
                  <c:v>-3.3038047976230471</c:v>
                </c:pt>
                <c:pt idx="597">
                  <c:v>-3.0981338692787102</c:v>
                </c:pt>
                <c:pt idx="598">
                  <c:v>-2.8918231596006718</c:v>
                </c:pt>
                <c:pt idx="599">
                  <c:v>-2.684941160794954</c:v>
                </c:pt>
                <c:pt idx="600">
                  <c:v>-2.4775564278432949</c:v>
                </c:pt>
                <c:pt idx="601">
                  <c:v>-2.2697375560145736</c:v>
                </c:pt>
                <c:pt idx="602">
                  <c:v>-2.0615531584033855</c:v>
                </c:pt>
                <c:pt idx="603">
                  <c:v>-1.8530718435036744</c:v>
                </c:pt>
                <c:pt idx="604">
                  <c:v>-1.6443621928240431</c:v>
                </c:pt>
                <c:pt idx="605">
                  <c:v>-1.4354927385526248</c:v>
                </c:pt>
                <c:pt idx="606">
                  <c:v>-1.2265319412780515</c:v>
                </c:pt>
                <c:pt idx="607">
                  <c:v>-1.0175481677743543</c:v>
                </c:pt>
                <c:pt idx="608">
                  <c:v>-0.80860966885627283</c:v>
                </c:pt>
                <c:pt idx="609">
                  <c:v>-0.59978455731270719</c:v>
                </c:pt>
                <c:pt idx="610">
                  <c:v>-0.39114078592486429</c:v>
                </c:pt>
                <c:pt idx="611">
                  <c:v>-0.18274612557632247</c:v>
                </c:pt>
                <c:pt idx="612">
                  <c:v>2.5331856537799565E-2</c:v>
                </c:pt>
                <c:pt idx="613">
                  <c:v>0.2330258185961506</c:v>
                </c:pt>
                <c:pt idx="614">
                  <c:v>0.44026866572340756</c:v>
                </c:pt>
                <c:pt idx="615">
                  <c:v>0.64699357144331016</c:v>
                </c:pt>
                <c:pt idx="616">
                  <c:v>0.85313399900502318</c:v>
                </c:pt>
                <c:pt idx="617">
                  <c:v>1.0586237225767547</c:v>
                </c:pt>
                <c:pt idx="618">
                  <c:v>1.2633968482992965</c:v>
                </c:pt>
                <c:pt idx="619">
                  <c:v>1.4673878351935161</c:v>
                </c:pt>
                <c:pt idx="620">
                  <c:v>1.6705315159145979</c:v>
                </c:pt>
                <c:pt idx="621">
                  <c:v>1.8727631173471804</c:v>
                </c:pt>
                <c:pt idx="622">
                  <c:v>2.0740182810343062</c:v>
                </c:pt>
                <c:pt idx="623">
                  <c:v>2.2742330834344657</c:v>
                </c:pt>
                <c:pt idx="624">
                  <c:v>2.4733440559997883</c:v>
                </c:pt>
                <c:pt idx="625">
                  <c:v>2.6712882050697955</c:v>
                </c:pt>
                <c:pt idx="626">
                  <c:v>2.8680030315739264</c:v>
                </c:pt>
                <c:pt idx="627">
                  <c:v>3.0634265505372689</c:v>
                </c:pt>
                <c:pt idx="628">
                  <c:v>3.2574973103832523</c:v>
                </c:pt>
                <c:pt idx="629">
                  <c:v>3.4501544120272185</c:v>
                </c:pt>
                <c:pt idx="630">
                  <c:v>3.6413375277554603</c:v>
                </c:pt>
                <c:pt idx="631">
                  <c:v>3.8309869198833759</c:v>
                </c:pt>
                <c:pt idx="632">
                  <c:v>4.0190434591876691</c:v>
                </c:pt>
                <c:pt idx="633">
                  <c:v>4.2054486431063536</c:v>
                </c:pt>
                <c:pt idx="634">
                  <c:v>4.3901446137016658</c:v>
                </c:pt>
                <c:pt idx="635">
                  <c:v>4.5730741753798458</c:v>
                </c:pt>
                <c:pt idx="636">
                  <c:v>4.7541808123630389</c:v>
                </c:pt>
                <c:pt idx="637">
                  <c:v>4.9334087059074569</c:v>
                </c:pt>
                <c:pt idx="638">
                  <c:v>5.1107027512632506</c:v>
                </c:pt>
                <c:pt idx="639">
                  <c:v>5.2860085743704248</c:v>
                </c:pt>
                <c:pt idx="640">
                  <c:v>5.4592725482863944</c:v>
                </c:pt>
                <c:pt idx="641">
                  <c:v>5.6304418093397643</c:v>
                </c:pt>
                <c:pt idx="642">
                  <c:v>5.7994642730060688</c:v>
                </c:pt>
                <c:pt idx="643">
                  <c:v>5.966288649500302</c:v>
                </c:pt>
                <c:pt idx="644">
                  <c:v>6.1308644590820673</c:v>
                </c:pt>
                <c:pt idx="645">
                  <c:v>6.2931420470686978</c:v>
                </c:pt>
                <c:pt idx="646">
                  <c:v>6.4530725985518034</c:v>
                </c:pt>
                <c:pt idx="647">
                  <c:v>6.6106081528134171</c:v>
                </c:pt>
                <c:pt idx="648">
                  <c:v>6.7657016174370384</c:v>
                </c:pt>
                <c:pt idx="649">
                  <c:v>6.9183067821100561</c:v>
                </c:pt>
                <c:pt idx="650">
                  <c:v>7.0683783321130882</c:v>
                </c:pt>
                <c:pt idx="651">
                  <c:v>7.2158718614928912</c:v>
                </c:pt>
                <c:pt idx="652">
                  <c:v>7.3607438859146521</c:v>
                </c:pt>
                <c:pt idx="653">
                  <c:v>7.5029518551904841</c:v>
                </c:pt>
                <c:pt idx="654">
                  <c:v>7.6424541654801788</c:v>
                </c:pt>
                <c:pt idx="655">
                  <c:v>7.7792101711612949</c:v>
                </c:pt>
                <c:pt idx="656">
                  <c:v>7.9131801963648085</c:v>
                </c:pt>
                <c:pt idx="657">
                  <c:v>8.0443255461736793</c:v>
                </c:pt>
                <c:pt idx="658">
                  <c:v>8.1726085174807626</c:v>
                </c:pt>
                <c:pt idx="659">
                  <c:v>8.2979924095036566</c:v>
                </c:pt>
                <c:pt idx="660">
                  <c:v>8.4204415339531877</c:v>
                </c:pt>
                <c:pt idx="661">
                  <c:v>8.539921224853229</c:v>
                </c:pt>
                <c:pt idx="662">
                  <c:v>8.6563978480090888</c:v>
                </c:pt>
                <c:pt idx="663">
                  <c:v>8.7698388101219305</c:v>
                </c:pt>
                <c:pt idx="664">
                  <c:v>8.880212567547197</c:v>
                </c:pt>
                <c:pt idx="665">
                  <c:v>8.9874886346944045</c:v>
                </c:pt>
                <c:pt idx="666">
                  <c:v>9.0916375920666468</c:v>
                </c:pt>
                <c:pt idx="667">
                  <c:v>9.1926310939374325</c:v>
                </c:pt>
                <c:pt idx="668">
                  <c:v>9.2904418756633778</c:v>
                </c:pt>
                <c:pt idx="669">
                  <c:v>9.3850437606306549</c:v>
                </c:pt>
                <c:pt idx="670">
                  <c:v>9.4764116668339646</c:v>
                </c:pt>
                <c:pt idx="671">
                  <c:v>9.5645216130862085</c:v>
                </c:pt>
                <c:pt idx="672">
                  <c:v>9.6493507248577775</c:v>
                </c:pt>
                <c:pt idx="673">
                  <c:v>9.7308772397439789</c:v>
                </c:pt>
                <c:pt idx="674">
                  <c:v>9.8090805125597651</c:v>
                </c:pt>
                <c:pt idx="675">
                  <c:v>9.8839410200604156</c:v>
                </c:pt>
                <c:pt idx="676">
                  <c:v>9.9554403652877266</c:v>
                </c:pt>
                <c:pt idx="677">
                  <c:v>10.023561281540566</c:v>
                </c:pt>
                <c:pt idx="678">
                  <c:v>10.088287635969449</c:v>
                </c:pt>
                <c:pt idx="679">
                  <c:v>10.149604432794588</c:v>
                </c:pt>
                <c:pt idx="680">
                  <c:v>10.207497816146855</c:v>
                </c:pt>
                <c:pt idx="681">
                  <c:v>10.261955072531771</c:v>
                </c:pt>
                <c:pt idx="682">
                  <c:v>10.312964632915991</c:v>
                </c:pt>
                <c:pt idx="683">
                  <c:v>10.360516074436637</c:v>
                </c:pt>
                <c:pt idx="684">
                  <c:v>10.404600121733356</c:v>
                </c:pt>
                <c:pt idx="685">
                  <c:v>10.445208647903504</c:v>
                </c:pt>
                <c:pt idx="686">
                  <c:v>10.482334675080713</c:v>
                </c:pt>
                <c:pt idx="687">
                  <c:v>10.515972374637442</c:v>
                </c:pt>
                <c:pt idx="688">
                  <c:v>10.546117067011991</c:v>
                </c:pt>
                <c:pt idx="689">
                  <c:v>10.572765221160891</c:v>
                </c:pt>
                <c:pt idx="690">
                  <c:v>10.595914453637304</c:v>
                </c:pt>
                <c:pt idx="691">
                  <c:v>10.615563527296644</c:v>
                </c:pt>
                <c:pt idx="692">
                  <c:v>10.631712349630298</c:v>
                </c:pt>
                <c:pt idx="693">
                  <c:v>10.644361970728841</c:v>
                </c:pt>
                <c:pt idx="694">
                  <c:v>10.65351458087596</c:v>
                </c:pt>
                <c:pt idx="695">
                  <c:v>10.659173507774581</c:v>
                </c:pt>
                <c:pt idx="696">
                  <c:v>10.661343213406781</c:v>
                </c:pt>
                <c:pt idx="697">
                  <c:v>10.66002929052916</c:v>
                </c:pt>
                <c:pt idx="698">
                  <c:v>10.655238458805451</c:v>
                </c:pt>
                <c:pt idx="699">
                  <c:v>10.646978560578338</c:v>
                </c:pt>
                <c:pt idx="700">
                  <c:v>10.635258556282459</c:v>
                </c:pt>
                <c:pt idx="701">
                  <c:v>10.620088519500769</c:v>
                </c:pt>
                <c:pt idx="702">
                  <c:v>10.601479631666518</c:v>
                </c:pt>
                <c:pt idx="703">
                  <c:v>10.579444176413221</c:v>
                </c:pt>
                <c:pt idx="704">
                  <c:v>10.553995533575053</c:v>
                </c:pt>
                <c:pt idx="705">
                  <c:v>10.525148172840339</c:v>
                </c:pt>
                <c:pt idx="706">
                  <c:v>10.49291764706075</c:v>
                </c:pt>
                <c:pt idx="707">
                  <c:v>10.457320585219099</c:v>
                </c:pt>
                <c:pt idx="708">
                  <c:v>10.418374685058541</c:v>
                </c:pt>
                <c:pt idx="709">
                  <c:v>10.376098705376327</c:v>
                </c:pt>
                <c:pt idx="710">
                  <c:v>10.330512457985082</c:v>
                </c:pt>
                <c:pt idx="711">
                  <c:v>10.281636799344996</c:v>
                </c:pt>
                <c:pt idx="712">
                  <c:v>10.229493621870082</c:v>
                </c:pt>
                <c:pt idx="713">
                  <c:v>10.174105844912093</c:v>
                </c:pt>
                <c:pt idx="714">
                  <c:v>10.115497405425469</c:v>
                </c:pt>
                <c:pt idx="715">
                  <c:v>10.05369324831708</c:v>
                </c:pt>
                <c:pt idx="716">
                  <c:v>9.9887193164843406</c:v>
                </c:pt>
                <c:pt idx="717">
                  <c:v>9.9206025405456657</c:v>
                </c:pt>
                <c:pt idx="718">
                  <c:v>9.8493708282670234</c:v>
                </c:pt>
                <c:pt idx="719">
                  <c:v>9.7750530536886782</c:v>
                </c:pt>
                <c:pt idx="720">
                  <c:v>9.6976790459562263</c:v>
                </c:pt>
                <c:pt idx="721">
                  <c:v>9.6172795778599909</c:v>
                </c:pt>
                <c:pt idx="722">
                  <c:v>9.5338863540872225</c:v>
                </c:pt>
                <c:pt idx="723">
                  <c:v>9.4475319991912325</c:v>
                </c:pt>
                <c:pt idx="724">
                  <c:v>9.3582500452821602</c:v>
                </c:pt>
                <c:pt idx="725">
                  <c:v>9.2660749194436178</c:v>
                </c:pt>
                <c:pt idx="726">
                  <c:v>9.1710419308800777</c:v>
                </c:pt>
                <c:pt idx="727">
                  <c:v>9.0731872577994217</c:v>
                </c:pt>
                <c:pt idx="728">
                  <c:v>8.9725479340357222</c:v>
                </c:pt>
                <c:pt idx="729">
                  <c:v>8.8691618354167137</c:v>
                </c:pt>
                <c:pt idx="730">
                  <c:v>8.7630676658812519</c:v>
                </c:pt>
                <c:pt idx="731">
                  <c:v>8.6543049433514199</c:v>
                </c:pt>
                <c:pt idx="732">
                  <c:v>8.5429139853645868</c:v>
                </c:pt>
                <c:pt idx="733">
                  <c:v>8.4289358944703086</c:v>
                </c:pt>
                <c:pt idx="734">
                  <c:v>8.3124125433975102</c:v>
                </c:pt>
                <c:pt idx="735">
                  <c:v>8.1933865599969966</c:v>
                </c:pt>
                <c:pt idx="736">
                  <c:v>8.0719013119646732</c:v>
                </c:pt>
                <c:pt idx="737">
                  <c:v>7.9480008913509899</c:v>
                </c:pt>
                <c:pt idx="738">
                  <c:v>7.8217300988617957</c:v>
                </c:pt>
                <c:pt idx="739">
                  <c:v>7.6931344279563927</c:v>
                </c:pt>
                <c:pt idx="740">
                  <c:v>7.5622600487480529</c:v>
                </c:pt>
                <c:pt idx="741">
                  <c:v>7.4291537917129116</c:v>
                </c:pt>
                <c:pt idx="742">
                  <c:v>7.2938631312125937</c:v>
                </c:pt>
                <c:pt idx="743">
                  <c:v>7.1564361688365894</c:v>
                </c:pt>
                <c:pt idx="744">
                  <c:v>7.0169216165698396</c:v>
                </c:pt>
                <c:pt idx="745">
                  <c:v>6.8753687797916614</c:v>
                </c:pt>
                <c:pt idx="746">
                  <c:v>6.731827540111512</c:v>
                </c:pt>
                <c:pt idx="747">
                  <c:v>6.5863483380478751</c:v>
                </c:pt>
                <c:pt idx="748">
                  <c:v>6.4389821555557987</c:v>
                </c:pt>
                <c:pt idx="749">
                  <c:v>6.2897804984094821</c:v>
                </c:pt>
                <c:pt idx="750">
                  <c:v>6.1387953784454865</c:v>
                </c:pt>
                <c:pt idx="751">
                  <c:v>5.9860792956730533</c:v>
                </c:pt>
                <c:pt idx="752">
                  <c:v>5.8316852202572615</c:v>
                </c:pt>
                <c:pt idx="753">
                  <c:v>5.6756665743812507</c:v>
                </c:pt>
                <c:pt idx="754">
                  <c:v>5.5180772139938181</c:v>
                </c:pt>
                <c:pt idx="755">
                  <c:v>5.358971410448186</c:v>
                </c:pt>
                <c:pt idx="756">
                  <c:v>5.1984038320385846</c:v>
                </c:pt>
                <c:pt idx="757">
                  <c:v>5.0364295254403606</c:v>
                </c:pt>
                <c:pt idx="758">
                  <c:v>4.8731038970603731</c:v>
                </c:pt>
                <c:pt idx="759">
                  <c:v>4.7084826943033882</c:v>
                </c:pt>
                <c:pt idx="760">
                  <c:v>4.5426219867612669</c:v>
                </c:pt>
                <c:pt idx="761">
                  <c:v>4.375578147330712</c:v>
                </c:pt>
                <c:pt idx="762">
                  <c:v>4.2074078332663722</c:v>
                </c:pt>
                <c:pt idx="763">
                  <c:v>4.0381679671750845</c:v>
                </c:pt>
                <c:pt idx="764">
                  <c:v>3.8679157179581076</c:v>
                </c:pt>
                <c:pt idx="765">
                  <c:v>3.6967084817071116</c:v>
                </c:pt>
                <c:pt idx="766">
                  <c:v>3.5246038625607685</c:v>
                </c:pt>
                <c:pt idx="767">
                  <c:v>3.3516596535277672</c:v>
                </c:pt>
                <c:pt idx="768">
                  <c:v>3.1779338172830403</c:v>
                </c:pt>
                <c:pt idx="769">
                  <c:v>3.0034844669431404</c:v>
                </c:pt>
                <c:pt idx="770">
                  <c:v>2.8283698468272234</c:v>
                </c:pt>
                <c:pt idx="771">
                  <c:v>2.6526483132101286</c:v>
                </c:pt>
                <c:pt idx="772">
                  <c:v>2.4763783150734069</c:v>
                </c:pt>
                <c:pt idx="773">
                  <c:v>2.299618374861137</c:v>
                </c:pt>
                <c:pt idx="774">
                  <c:v>2.1224270692462328</c:v>
                </c:pt>
                <c:pt idx="775">
                  <c:v>1.9448630099140654</c:v>
                </c:pt>
                <c:pt idx="776">
                  <c:v>1.7669848243690796</c:v>
                </c:pt>
                <c:pt idx="777">
                  <c:v>1.5888511367711828</c:v>
                </c:pt>
                <c:pt idx="778">
                  <c:v>1.4105205488075581</c:v>
                </c:pt>
                <c:pt idx="779">
                  <c:v>1.232051620606629</c:v>
                </c:pt>
                <c:pt idx="780">
                  <c:v>1.0535028516997773</c:v>
                </c:pt>
                <c:pt idx="781">
                  <c:v>0.87493266203749653</c:v>
                </c:pt>
                <c:pt idx="782">
                  <c:v>0.6963993730655238</c:v>
                </c:pt>
                <c:pt idx="783">
                  <c:v>0.51796118886757236</c:v>
                </c:pt>
                <c:pt idx="784">
                  <c:v>0.3396761773801445</c:v>
                </c:pt>
                <c:pt idx="785">
                  <c:v>0.16160225168596476</c:v>
                </c:pt>
                <c:pt idx="786">
                  <c:v>-1.6202848608437983E-2</c:v>
                </c:pt>
                <c:pt idx="787">
                  <c:v>-0.19368157590489948</c:v>
                </c:pt>
                <c:pt idx="788">
                  <c:v>-0.37077659304948124</c:v>
                </c:pt>
                <c:pt idx="789">
                  <c:v>-0.5474307916666129</c:v>
                </c:pt>
                <c:pt idx="790">
                  <c:v>-0.72358731038518076</c:v>
                </c:pt>
                <c:pt idx="791">
                  <c:v>-0.89918955295135916</c:v>
                </c:pt>
                <c:pt idx="792">
                  <c:v>-1.0741812062219298</c:v>
                </c:pt>
                <c:pt idx="793">
                  <c:v>-1.248506258032976</c:v>
                </c:pt>
                <c:pt idx="794">
                  <c:v>-1.4221090149378026</c:v>
                </c:pt>
                <c:pt idx="795">
                  <c:v>-1.5949341198090741</c:v>
                </c:pt>
                <c:pt idx="796">
                  <c:v>-1.7669265692991196</c:v>
                </c:pt>
                <c:pt idx="797">
                  <c:v>-1.9380317311535145</c:v>
                </c:pt>
                <c:pt idx="798">
                  <c:v>-2.1081953613720055</c:v>
                </c:pt>
                <c:pt idx="799">
                  <c:v>-2.2773636212119959</c:v>
                </c:pt>
                <c:pt idx="800">
                  <c:v>-2.4454830940287815</c:v>
                </c:pt>
                <c:pt idx="801">
                  <c:v>-2.6125008019478861</c:v>
                </c:pt>
                <c:pt idx="802">
                  <c:v>-2.778364222363825</c:v>
                </c:pt>
                <c:pt idx="803">
                  <c:v>-2.9430213042606446</c:v>
                </c:pt>
                <c:pt idx="804">
                  <c:v>-3.1064204843490804</c:v>
                </c:pt>
                <c:pt idx="805">
                  <c:v>-3.2685107030152118</c:v>
                </c:pt>
                <c:pt idx="806">
                  <c:v>-3.4292414200761758</c:v>
                </c:pt>
                <c:pt idx="807">
                  <c:v>-3.5885626303376275</c:v>
                </c:pt>
                <c:pt idx="808">
                  <c:v>-3.746424878948766</c:v>
                </c:pt>
                <c:pt idx="809">
                  <c:v>-3.9027792765497287</c:v>
                </c:pt>
                <c:pt idx="810">
                  <c:v>-4.0575775142073436</c:v>
                </c:pt>
                <c:pt idx="811">
                  <c:v>-4.2107718781341896</c:v>
                </c:pt>
                <c:pt idx="812">
                  <c:v>-4.3623152641871075</c:v>
                </c:pt>
                <c:pt idx="813">
                  <c:v>-4.5121611921402582</c:v>
                </c:pt>
                <c:pt idx="814">
                  <c:v>-4.6602638197291153</c:v>
                </c:pt>
                <c:pt idx="815">
                  <c:v>-4.8065779564604583</c:v>
                </c:pt>
                <c:pt idx="816">
                  <c:v>-4.9510590771851124</c:v>
                </c:pt>
                <c:pt idx="817">
                  <c:v>-5.0936633354286887</c:v>
                </c:pt>
                <c:pt idx="818">
                  <c:v>-5.2343475764769973</c:v>
                </c:pt>
                <c:pt idx="819">
                  <c:v>-5.3730693502118223</c:v>
                </c:pt>
                <c:pt idx="820">
                  <c:v>-5.509786923693774</c:v>
                </c:pt>
                <c:pt idx="821">
                  <c:v>-5.644459293488107</c:v>
                </c:pt>
                <c:pt idx="822">
                  <c:v>-5.7770461977304191</c:v>
                </c:pt>
                <c:pt idx="823">
                  <c:v>-5.9075081279282902</c:v>
                </c:pt>
                <c:pt idx="824">
                  <c:v>-6.0358063404959479</c:v>
                </c:pt>
                <c:pt idx="825">
                  <c:v>-6.1619028680182319</c:v>
                </c:pt>
                <c:pt idx="826">
                  <c:v>-6.2857605302410393</c:v>
                </c:pt>
                <c:pt idx="827">
                  <c:v>-6.4073429447849897</c:v>
                </c:pt>
                <c:pt idx="828">
                  <c:v>-6.5266145375792037</c:v>
                </c:pt>
                <c:pt idx="829">
                  <c:v>-6.643540553012615</c:v>
                </c:pt>
                <c:pt idx="830">
                  <c:v>-6.7580870637996062</c:v>
                </c:pt>
                <c:pt idx="831">
                  <c:v>-6.8702209805576873</c:v>
                </c:pt>
                <c:pt idx="832">
                  <c:v>-6.9799100610941913</c:v>
                </c:pt>
                <c:pt idx="833">
                  <c:v>-7.0871229193998886</c:v>
                </c:pt>
                <c:pt idx="834">
                  <c:v>-7.1918290343467213</c:v>
                </c:pt>
                <c:pt idx="835">
                  <c:v>-7.2939987580877359</c:v>
                </c:pt>
                <c:pt idx="836">
                  <c:v>-7.3936033241566301</c:v>
                </c:pt>
                <c:pt idx="837">
                  <c:v>-7.4906148552651981</c:v>
                </c:pt>
                <c:pt idx="838">
                  <c:v>-7.5850063707962869</c:v>
                </c:pt>
                <c:pt idx="839">
                  <c:v>-7.6767517939907401</c:v>
                </c:pt>
                <c:pt idx="840">
                  <c:v>-7.7658259588261922</c:v>
                </c:pt>
                <c:pt idx="841">
                  <c:v>-7.8522046165863513</c:v>
                </c:pt>
                <c:pt idx="842">
                  <c:v>-7.9358644421188682</c:v>
                </c:pt>
                <c:pt idx="843">
                  <c:v>-8.0167830397805773</c:v>
                </c:pt>
                <c:pt idx="844">
                  <c:v>-8.0949389490686041</c:v>
                </c:pt>
                <c:pt idx="845">
                  <c:v>-8.1703116499360053</c:v>
                </c:pt>
                <c:pt idx="846">
                  <c:v>-8.2428815677910041</c:v>
                </c:pt>
                <c:pt idx="847">
                  <c:v>-8.3126300781784543</c:v>
                </c:pt>
                <c:pt idx="848">
                  <c:v>-8.3795395111428874</c:v>
                </c:pt>
                <c:pt idx="849">
                  <c:v>-8.443593155272012</c:v>
                </c:pt>
                <c:pt idx="850">
                  <c:v>-8.5047752614201837</c:v>
                </c:pt>
                <c:pt idx="851">
                  <c:v>-8.5630710461109487</c:v>
                </c:pt>
                <c:pt idx="852">
                  <c:v>-8.6184666946184088</c:v>
                </c:pt>
                <c:pt idx="853">
                  <c:v>-8.6709493637266863</c:v>
                </c:pt>
                <c:pt idx="854">
                  <c:v>-8.7205071841674489</c:v>
                </c:pt>
                <c:pt idx="855">
                  <c:v>-8.7671292627350415</c:v>
                </c:pt>
                <c:pt idx="856">
                  <c:v>-8.8108056840793321</c:v>
                </c:pt>
                <c:pt idx="857">
                  <c:v>-8.8515275121760411</c:v>
                </c:pt>
                <c:pt idx="858">
                  <c:v>-8.8892867914749125</c:v>
                </c:pt>
                <c:pt idx="859">
                  <c:v>-8.9240765477256687</c:v>
                </c:pt>
                <c:pt idx="860">
                  <c:v>-8.9558907884822823</c:v>
                </c:pt>
                <c:pt idx="861">
                  <c:v>-8.984724503285868</c:v>
                </c:pt>
                <c:pt idx="862">
                  <c:v>-9.0105736635266975</c:v>
                </c:pt>
                <c:pt idx="863">
                  <c:v>-9.0334352219860676</c:v>
                </c:pt>
                <c:pt idx="864">
                  <c:v>-9.0533071120586275</c:v>
                </c:pt>
                <c:pt idx="865">
                  <c:v>-9.0701882466560857</c:v>
                </c:pt>
                <c:pt idx="866">
                  <c:v>-9.0840785167931788</c:v>
                </c:pt>
                <c:pt idx="867">
                  <c:v>-9.0949787898569685</c:v>
                </c:pt>
                <c:pt idx="868">
                  <c:v>-9.1028909075605782</c:v>
                </c:pt>
                <c:pt idx="869">
                  <c:v>-9.1078176835826206</c:v>
                </c:pt>
                <c:pt idx="870">
                  <c:v>-9.1097629008936636</c:v>
                </c:pt>
                <c:pt idx="871">
                  <c:v>-9.1087313087711408</c:v>
                </c:pt>
                <c:pt idx="872">
                  <c:v>-9.1047286195042876</c:v>
                </c:pt>
                <c:pt idx="873">
                  <c:v>-9.097761504790693</c:v>
                </c:pt>
                <c:pt idx="874">
                  <c:v>-9.0878375918262382</c:v>
                </c:pt>
                <c:pt idx="875">
                  <c:v>-9.0749654590902189</c:v>
                </c:pt>
                <c:pt idx="876">
                  <c:v>-9.0591546318276084</c:v>
                </c:pt>
                <c:pt idx="877">
                  <c:v>-9.040415577230462</c:v>
                </c:pt>
                <c:pt idx="878">
                  <c:v>-9.0187596993205741</c:v>
                </c:pt>
                <c:pt idx="879">
                  <c:v>-8.9941993335356401</c:v>
                </c:pt>
                <c:pt idx="880">
                  <c:v>-8.9667477410211482</c:v>
                </c:pt>
                <c:pt idx="881">
                  <c:v>-8.936419102630488</c:v>
                </c:pt>
                <c:pt idx="882">
                  <c:v>-8.9032285126356694</c:v>
                </c:pt>
                <c:pt idx="883">
                  <c:v>-8.8671919721513213</c:v>
                </c:pt>
                <c:pt idx="884">
                  <c:v>-8.8283263822745326</c:v>
                </c:pt>
                <c:pt idx="885">
                  <c:v>-8.786649536943381</c:v>
                </c:pt>
                <c:pt idx="886">
                  <c:v>-8.7421801155169288</c:v>
                </c:pt>
                <c:pt idx="887">
                  <c:v>-8.6949376750796272</c:v>
                </c:pt>
                <c:pt idx="888">
                  <c:v>-8.644942642473163</c:v>
                </c:pt>
                <c:pt idx="889">
                  <c:v>-8.5922163060587753</c:v>
                </c:pt>
                <c:pt idx="890">
                  <c:v>-8.5367808072133009</c:v>
                </c:pt>
                <c:pt idx="891">
                  <c:v>-8.4786591315621394</c:v>
                </c:pt>
                <c:pt idx="892">
                  <c:v>-8.4178750999525427</c:v>
                </c:pt>
                <c:pt idx="893">
                  <c:v>-8.3544533591705186</c:v>
                </c:pt>
                <c:pt idx="894">
                  <c:v>-8.2884193724049791</c:v>
                </c:pt>
                <c:pt idx="895">
                  <c:v>-8.2197994094626985</c:v>
                </c:pt>
                <c:pt idx="896">
                  <c:v>-8.1486205367375319</c:v>
                </c:pt>
                <c:pt idx="897">
                  <c:v>-8.0749106069378787</c:v>
                </c:pt>
                <c:pt idx="898">
                  <c:v>-7.9986982485759981</c:v>
                </c:pt>
                <c:pt idx="899">
                  <c:v>-7.920012855223141</c:v>
                </c:pt>
                <c:pt idx="900">
                  <c:v>-7.8388845745342826</c:v>
                </c:pt>
                <c:pt idx="901">
                  <c:v>-7.7553442970466584</c:v>
                </c:pt>
                <c:pt idx="902">
                  <c:v>-7.6694236447560016</c:v>
                </c:pt>
                <c:pt idx="903">
                  <c:v>-7.5811549594747376</c:v>
                </c:pt>
                <c:pt idx="904">
                  <c:v>-7.4905712909761322</c:v>
                </c:pt>
                <c:pt idx="905">
                  <c:v>-7.3977063849289184</c:v>
                </c:pt>
                <c:pt idx="906">
                  <c:v>-7.3025946706265126</c:v>
                </c:pt>
                <c:pt idx="907">
                  <c:v>-7.205271248515321</c:v>
                </c:pt>
                <c:pt idx="908">
                  <c:v>-7.1057718775263901</c:v>
                </c:pt>
                <c:pt idx="909">
                  <c:v>-7.0041329622151487</c:v>
                </c:pt>
                <c:pt idx="910">
                  <c:v>-6.9003915397135671</c:v>
                </c:pt>
                <c:pt idx="911">
                  <c:v>-6.7945852664995261</c:v>
                </c:pt>
                <c:pt idx="912">
                  <c:v>-6.6867524049877147</c:v>
                </c:pt>
                <c:pt idx="913">
                  <c:v>-6.5769318099471867</c:v>
                </c:pt>
                <c:pt idx="914">
                  <c:v>-6.4651629147500858</c:v>
                </c:pt>
                <c:pt idx="915">
                  <c:v>-6.3514857174561747</c:v>
                </c:pt>
                <c:pt idx="916">
                  <c:v>-6.2359407667383939</c:v>
                </c:pt>
                <c:pt idx="917">
                  <c:v>-6.1185691476540045</c:v>
                </c:pt>
                <c:pt idx="918">
                  <c:v>-5.9994124672664819</c:v>
                </c:pt>
                <c:pt idx="919">
                  <c:v>-5.8785128401227844</c:v>
                </c:pt>
                <c:pt idx="920">
                  <c:v>-5.7559128735914182</c:v>
                </c:pt>
                <c:pt idx="921">
                  <c:v>-5.6316556530660176</c:v>
                </c:pt>
                <c:pt idx="922">
                  <c:v>-5.5057847270397398</c:v>
                </c:pt>
                <c:pt idx="923">
                  <c:v>-5.3783440920552552</c:v>
                </c:pt>
                <c:pt idx="924">
                  <c:v>-5.2493781775358839</c:v>
                </c:pt>
                <c:pt idx="925">
                  <c:v>-5.1189318305027216</c:v>
                </c:pt>
                <c:pt idx="926">
                  <c:v>-4.9870503001831965</c:v>
                </c:pt>
                <c:pt idx="927">
                  <c:v>-4.85377922251591</c:v>
                </c:pt>
                <c:pt idx="928">
                  <c:v>-4.7191646045574505</c:v>
                </c:pt>
                <c:pt idx="929">
                  <c:v>-4.5832528087962627</c:v>
                </c:pt>
                <c:pt idx="930">
                  <c:v>-4.446090537378578</c:v>
                </c:pt>
                <c:pt idx="931">
                  <c:v>-4.3077248162522483</c:v>
                </c:pt>
                <c:pt idx="932">
                  <c:v>-4.1682029792333655</c:v>
                </c:pt>
                <c:pt idx="933">
                  <c:v>-4.027572652001326</c:v>
                </c:pt>
                <c:pt idx="934">
                  <c:v>-3.8858817360272804</c:v>
                </c:pt>
                <c:pt idx="935">
                  <c:v>-3.7431783924418451</c:v>
                </c:pt>
                <c:pt idx="936">
                  <c:v>-3.5995110258470504</c:v>
                </c:pt>
                <c:pt idx="937">
                  <c:v>-3.4549282680782052</c:v>
                </c:pt>
                <c:pt idx="938">
                  <c:v>-3.3094789619206533</c:v>
                </c:pt>
                <c:pt idx="939">
                  <c:v>-3.1632121447873609</c:v>
                </c:pt>
                <c:pt idx="940">
                  <c:v>-3.0161770323623065</c:v>
                </c:pt>
                <c:pt idx="941">
                  <c:v>-2.8684230022152577</c:v>
                </c:pt>
                <c:pt idx="942">
                  <c:v>-2.7199995773932808</c:v>
                </c:pt>
                <c:pt idx="943">
                  <c:v>-2.5709564099945208</c:v>
                </c:pt>
                <c:pt idx="944">
                  <c:v>-2.4213432647292539</c:v>
                </c:pt>
                <c:pt idx="945">
                  <c:v>-2.2712100024741533</c:v>
                </c:pt>
                <c:pt idx="946">
                  <c:v>-2.1206065638246927</c:v>
                </c:pt>
                <c:pt idx="947">
                  <c:v>-1.969582952651405</c:v>
                </c:pt>
                <c:pt idx="948">
                  <c:v>-1.8181892196648946</c:v>
                </c:pt>
                <c:pt idx="949">
                  <c:v>-1.6664754459954991</c:v>
                </c:pt>
                <c:pt idx="950">
                  <c:v>-1.514491726792685</c:v>
                </c:pt>
                <c:pt idx="951">
                  <c:v>-1.362288154849203</c:v>
                </c:pt>
                <c:pt idx="952">
                  <c:v>-1.2099148042558963</c:v>
                </c:pt>
                <c:pt idx="953">
                  <c:v>-1.0574217140919402</c:v>
                </c:pt>
                <c:pt idx="954">
                  <c:v>-0.9048588721561458</c:v>
                </c:pt>
                <c:pt idx="955">
                  <c:v>-0.75227619874407881</c:v>
                </c:pt>
                <c:pt idx="956">
                  <c:v>-0.59972353047680615</c:v>
                </c:pt>
                <c:pt idx="957">
                  <c:v>-0.44725060418597423</c:v>
                </c:pt>
                <c:pt idx="958">
                  <c:v>-0.29490704086073855</c:v>
                </c:pt>
                <c:pt idx="959">
                  <c:v>-0.14274232966119152</c:v>
                </c:pt>
                <c:pt idx="960">
                  <c:v>9.1941879960135506E-3</c:v>
                </c:pt>
                <c:pt idx="961">
                  <c:v>0.16085333427525889</c:v>
                </c:pt>
                <c:pt idx="962">
                  <c:v>0.31218611067738861</c:v>
                </c:pt>
                <c:pt idx="963">
                  <c:v>0.46314371370844915</c:v>
                </c:pt>
                <c:pt idx="964">
                  <c:v>0.6136775504561891</c:v>
                </c:pt>
                <c:pt idx="965">
                  <c:v>0.76373925406988008</c:v>
                </c:pt>
                <c:pt idx="966">
                  <c:v>0.9132806991382203</c:v>
                </c:pt>
                <c:pt idx="967">
                  <c:v>1.0622540169609644</c:v>
                </c:pt>
                <c:pt idx="968">
                  <c:v>1.2106116107089193</c:v>
                </c:pt>
                <c:pt idx="969">
                  <c:v>1.3583061704678325</c:v>
                </c:pt>
                <c:pt idx="970">
                  <c:v>1.5052906881617323</c:v>
                </c:pt>
                <c:pt idx="971">
                  <c:v>1.6515184723505099</c:v>
                </c:pt>
                <c:pt idx="972">
                  <c:v>1.7969431628976056</c:v>
                </c:pt>
                <c:pt idx="973">
                  <c:v>1.9415187455029108</c:v>
                </c:pt>
                <c:pt idx="974">
                  <c:v>2.0851995660968297</c:v>
                </c:pt>
                <c:pt idx="975">
                  <c:v>2.227940345090488</c:v>
                </c:pt>
                <c:pt idx="976">
                  <c:v>2.369696191478158</c:v>
                </c:pt>
                <c:pt idx="977">
                  <c:v>2.5104226167872166</c:v>
                </c:pt>
                <c:pt idx="978">
                  <c:v>2.650075548871814</c:v>
                </c:pt>
                <c:pt idx="979">
                  <c:v>2.7886113455454664</c:v>
                </c:pt>
                <c:pt idx="980">
                  <c:v>2.9259868080488727</c:v>
                </c:pt>
                <c:pt idx="981">
                  <c:v>3.0621591943485087</c:v>
                </c:pt>
                <c:pt idx="982">
                  <c:v>3.1970862322624152</c:v>
                </c:pt>
                <c:pt idx="983">
                  <c:v>3.3307261324086879</c:v>
                </c:pt>
                <c:pt idx="984">
                  <c:v>3.4630376009729997</c:v>
                </c:pt>
                <c:pt idx="985">
                  <c:v>3.5939798522915725</c:v>
                </c:pt>
                <c:pt idx="986">
                  <c:v>3.7235126212452889</c:v>
                </c:pt>
                <c:pt idx="987">
                  <c:v>3.8515961754617041</c:v>
                </c:pt>
                <c:pt idx="988">
                  <c:v>3.9781913273209666</c:v>
                </c:pt>
                <c:pt idx="989">
                  <c:v>4.1032594457625393</c:v>
                </c:pt>
                <c:pt idx="990">
                  <c:v>4.2267624678886575</c:v>
                </c:pt>
                <c:pt idx="991">
                  <c:v>4.3486629103615853</c:v>
                </c:pt>
                <c:pt idx="992">
                  <c:v>4.4689238805909435</c:v>
                </c:pt>
                <c:pt idx="993">
                  <c:v>4.5875090877082982</c:v>
                </c:pt>
                <c:pt idx="994">
                  <c:v>4.7043828533252734</c:v>
                </c:pt>
                <c:pt idx="995">
                  <c:v>4.8195101220724927</c:v>
                </c:pt>
                <c:pt idx="996">
                  <c:v>4.9328564719159935</c:v>
                </c:pt>
                <c:pt idx="997">
                  <c:v>5.0443881242485302</c:v>
                </c:pt>
                <c:pt idx="998">
                  <c:v>5.1540719537524264</c:v>
                </c:pt>
                <c:pt idx="999">
                  <c:v>5.2618754980315368</c:v>
                </c:pt>
                <c:pt idx="1000">
                  <c:v>5.3677669670092785</c:v>
                </c:pt>
                <c:pt idx="1001">
                  <c:v>5.4717152520905241</c:v>
                </c:pt>
                <c:pt idx="1002">
                  <c:v>5.5736899350842872</c:v>
                </c:pt>
                <c:pt idx="1003">
                  <c:v>5.6736612968849611</c:v>
                </c:pt>
                <c:pt idx="1004">
                  <c:v>5.771600325910013</c:v>
                </c:pt>
                <c:pt idx="1005">
                  <c:v>5.8674787262910053</c:v>
                </c:pt>
                <c:pt idx="1006">
                  <c:v>5.9612689258167455</c:v>
                </c:pt>
                <c:pt idx="1007">
                  <c:v>6.0529440836254755</c:v>
                </c:pt>
                <c:pt idx="1008">
                  <c:v>6.1424780976448865</c:v>
                </c:pt>
                <c:pt idx="1009">
                  <c:v>6.2298456117770717</c:v>
                </c:pt>
                <c:pt idx="1010">
                  <c:v>6.3150220228275256</c:v>
                </c:pt>
                <c:pt idx="1011">
                  <c:v>6.3979834871754848</c:v>
                </c:pt>
                <c:pt idx="1012">
                  <c:v>6.4787069271846915</c:v>
                </c:pt>
                <c:pt idx="1013">
                  <c:v>6.5571700373521429</c:v>
                </c:pt>
                <c:pt idx="1014">
                  <c:v>6.633351290194148</c:v>
                </c:pt>
                <c:pt idx="1015">
                  <c:v>6.7072299418674612</c:v>
                </c:pt>
                <c:pt idx="1016">
                  <c:v>6.7787860375248599</c:v>
                </c:pt>
                <c:pt idx="1017">
                  <c:v>6.8480004164031056</c:v>
                </c:pt>
                <c:pt idx="1018">
                  <c:v>6.9148547166429628</c:v>
                </c:pt>
                <c:pt idx="1019">
                  <c:v>6.9793313798394063</c:v>
                </c:pt>
                <c:pt idx="1020">
                  <c:v>7.0414136553217199</c:v>
                </c:pt>
                <c:pt idx="1021">
                  <c:v>7.1010856041618604</c:v>
                </c:pt>
                <c:pt idx="1022">
                  <c:v>7.1583321029109799</c:v>
                </c:pt>
                <c:pt idx="1023">
                  <c:v>7.2131388470627851</c:v>
                </c:pt>
                <c:pt idx="1024">
                  <c:v>7.2654923542435492</c:v>
                </c:pt>
                <c:pt idx="1025">
                  <c:v>7.3153799671278827</c:v>
                </c:pt>
                <c:pt idx="1026">
                  <c:v>7.362789856080032</c:v>
                </c:pt>
                <c:pt idx="1027">
                  <c:v>7.4077110215202238</c:v>
                </c:pt>
                <c:pt idx="1028">
                  <c:v>7.450133296015867</c:v>
                </c:pt>
                <c:pt idx="1029">
                  <c:v>7.4900473460973291</c:v>
                </c:pt>
                <c:pt idx="1030">
                  <c:v>7.527444673798267</c:v>
                </c:pt>
                <c:pt idx="1031">
                  <c:v>7.562317617920435</c:v>
                </c:pt>
                <c:pt idx="1032">
                  <c:v>7.5946593550231949</c:v>
                </c:pt>
                <c:pt idx="1033">
                  <c:v>7.6244639001377026</c:v>
                </c:pt>
                <c:pt idx="1034">
                  <c:v>7.6517261072062048</c:v>
                </c:pt>
                <c:pt idx="1035">
                  <c:v>7.6764416692466897</c:v>
                </c:pt>
                <c:pt idx="1036">
                  <c:v>7.6986071182434435</c:v>
                </c:pt>
                <c:pt idx="1037">
                  <c:v>7.7182198247638869</c:v>
                </c:pt>
                <c:pt idx="1038">
                  <c:v>7.735277997302501</c:v>
                </c:pt>
                <c:pt idx="1039">
                  <c:v>7.7497806813523589</c:v>
                </c:pt>
                <c:pt idx="1040">
                  <c:v>7.7617277582052147</c:v>
                </c:pt>
                <c:pt idx="1041">
                  <c:v>7.7711199434809322</c:v>
                </c:pt>
                <c:pt idx="1042">
                  <c:v>7.7779587853872831</c:v>
                </c:pt>
                <c:pt idx="1043">
                  <c:v>7.7822466627111107</c:v>
                </c:pt>
                <c:pt idx="1044">
                  <c:v>7.7839867825420486</c:v>
                </c:pt>
                <c:pt idx="1045">
                  <c:v>7.7831831777300202</c:v>
                </c:pt>
                <c:pt idx="1046">
                  <c:v>7.7798407040777802</c:v>
                </c:pt>
                <c:pt idx="1047">
                  <c:v>7.7739650372699503</c:v>
                </c:pt>
                <c:pt idx="1048">
                  <c:v>7.7655626695399906</c:v>
                </c:pt>
                <c:pt idx="1049">
                  <c:v>7.7546409060766974</c:v>
                </c:pt>
                <c:pt idx="1050">
                  <c:v>7.7412078611718105</c:v>
                </c:pt>
                <c:pt idx="1051">
                  <c:v>7.7252724541105611</c:v>
                </c:pt>
                <c:pt idx="1052">
                  <c:v>7.7068444048068407</c:v>
                </c:pt>
                <c:pt idx="1053">
                  <c:v>7.6859342291849995</c:v>
                </c:pt>
                <c:pt idx="1054">
                  <c:v>7.6625532343100851</c:v>
                </c:pt>
                <c:pt idx="1055">
                  <c:v>7.6367135132687913</c:v>
                </c:pt>
                <c:pt idx="1056">
                  <c:v>7.6084279398029713</c:v>
                </c:pt>
                <c:pt idx="1057">
                  <c:v>7.5777101626981471</c:v>
                </c:pt>
                <c:pt idx="1058">
                  <c:v>7.5445745999291125</c:v>
                </c:pt>
                <c:pt idx="1059">
                  <c:v>7.5090364325651215</c:v>
                </c:pt>
                <c:pt idx="1060">
                  <c:v>7.4711115984369671</c:v>
                </c:pt>
                <c:pt idx="1061">
                  <c:v>7.4308167855685578</c:v>
                </c:pt>
                <c:pt idx="1062">
                  <c:v>7.3881694253754171</c:v>
                </c:pt>
                <c:pt idx="1063">
                  <c:v>7.3431876856329259</c:v>
                </c:pt>
                <c:pt idx="1064">
                  <c:v>7.2958904632168577</c:v>
                </c:pt>
                <c:pt idx="1065">
                  <c:v>7.2462973766191183</c:v>
                </c:pt>
                <c:pt idx="1066">
                  <c:v>7.1944287582413855</c:v>
                </c:pt>
                <c:pt idx="1067">
                  <c:v>7.1403056464697485</c:v>
                </c:pt>
                <c:pt idx="1068">
                  <c:v>7.0839497775331699</c:v>
                </c:pt>
                <c:pt idx="1069">
                  <c:v>7.0253835771489497</c:v>
                </c:pt>
                <c:pt idx="1070">
                  <c:v>6.9646301519581328</c:v>
                </c:pt>
                <c:pt idx="1071">
                  <c:v>6.90171328075429</c:v>
                </c:pt>
                <c:pt idx="1072">
                  <c:v>6.8366574055085421</c:v>
                </c:pt>
                <c:pt idx="1073">
                  <c:v>6.7694876221946254</c:v>
                </c:pt>
                <c:pt idx="1074">
                  <c:v>6.7002296714167668</c:v>
                </c:pt>
                <c:pt idx="1075">
                  <c:v>6.6289099288443563</c:v>
                </c:pt>
                <c:pt idx="1076">
                  <c:v>6.5555553954563397</c:v>
                </c:pt>
                <c:pt idx="1077">
                  <c:v>6.4801936875994501</c:v>
                </c:pt>
                <c:pt idx="1078">
                  <c:v>6.4028530268632418</c:v>
                </c:pt>
                <c:pt idx="1079">
                  <c:v>6.3235622297761305</c:v>
                </c:pt>
                <c:pt idx="1080">
                  <c:v>6.2423506973255671</c:v>
                </c:pt>
                <c:pt idx="1081">
                  <c:v>6.159248404306747</c:v>
                </c:pt>
                <c:pt idx="1082">
                  <c:v>6.0742858885028888</c:v>
                </c:pt>
                <c:pt idx="1083">
                  <c:v>5.9874942397016424</c:v>
                </c:pt>
                <c:pt idx="1084">
                  <c:v>5.8989050885507996</c:v>
                </c:pt>
                <c:pt idx="1085">
                  <c:v>5.808550595258045</c:v>
                </c:pt>
                <c:pt idx="1086">
                  <c:v>5.7164634381378168</c:v>
                </c:pt>
                <c:pt idx="1087">
                  <c:v>5.6226768020101474</c:v>
                </c:pt>
                <c:pt idx="1088">
                  <c:v>5.5272243664547318</c:v>
                </c:pt>
                <c:pt idx="1089">
                  <c:v>5.4301402939251977</c:v>
                </c:pt>
                <c:pt idx="1090">
                  <c:v>5.3314592177267617</c:v>
                </c:pt>
                <c:pt idx="1091">
                  <c:v>5.2312162298623095</c:v>
                </c:pt>
                <c:pt idx="1092">
                  <c:v>5.129446868750402</c:v>
                </c:pt>
                <c:pt idx="1093">
                  <c:v>5.026187106819977</c:v>
                </c:pt>
                <c:pt idx="1094">
                  <c:v>4.9214733379856668</c:v>
                </c:pt>
                <c:pt idx="1095">
                  <c:v>4.8153423650083056</c:v>
                </c:pt>
                <c:pt idx="1096">
                  <c:v>4.7078313867445987</c:v>
                </c:pt>
                <c:pt idx="1097">
                  <c:v>4.5989779852907535</c:v>
                </c:pt>
                <c:pt idx="1098">
                  <c:v>4.488820113024115</c:v>
                </c:pt>
                <c:pt idx="1099">
                  <c:v>4.3773960795474709</c:v>
                </c:pt>
                <c:pt idx="1100">
                  <c:v>4.2647445385401275</c:v>
                </c:pt>
                <c:pt idx="1101">
                  <c:v>4.1509044745206518</c:v>
                </c:pt>
                <c:pt idx="1102">
                  <c:v>4.0359151895253911</c:v>
                </c:pt>
                <c:pt idx="1103">
                  <c:v>3.9198162897075646</c:v>
                </c:pt>
                <c:pt idx="1104">
                  <c:v>3.8026476718610334</c:v>
                </c:pt>
                <c:pt idx="1105">
                  <c:v>3.6844495098739189</c:v>
                </c:pt>
                <c:pt idx="1106">
                  <c:v>3.5652622411157626</c:v>
                </c:pt>
                <c:pt idx="1107">
                  <c:v>3.4451265527638615</c:v>
                </c:pt>
                <c:pt idx="1108">
                  <c:v>3.3240833680721691</c:v>
                </c:pt>
                <c:pt idx="1109">
                  <c:v>3.2021738325884508</c:v>
                </c:pt>
                <c:pt idx="1110">
                  <c:v>3.079439300323259</c:v>
                </c:pt>
                <c:pt idx="1111">
                  <c:v>2.955921319876452</c:v>
                </c:pt>
                <c:pt idx="1112">
                  <c:v>2.8316616205246503</c:v>
                </c:pt>
                <c:pt idx="1113">
                  <c:v>2.7067020982753638</c:v>
                </c:pt>
                <c:pt idx="1114">
                  <c:v>2.5810848018913544</c:v>
                </c:pt>
                <c:pt idx="1115">
                  <c:v>2.4548519188910105</c:v>
                </c:pt>
                <c:pt idx="1116">
                  <c:v>2.3280457615280823</c:v>
                </c:pt>
                <c:pt idx="1117">
                  <c:v>2.2007087527565612</c:v>
                </c:pt>
                <c:pt idx="1118">
                  <c:v>2.0728834121842308</c:v>
                </c:pt>
                <c:pt idx="1119">
                  <c:v>1.9446123420206809</c:v>
                </c:pt>
                <c:pt idx="1120">
                  <c:v>1.8159382130230879</c:v>
                </c:pt>
                <c:pt idx="1121">
                  <c:v>1.6869037504455591</c:v>
                </c:pt>
                <c:pt idx="1122">
                  <c:v>1.5575517199955011</c:v>
                </c:pt>
                <c:pt idx="1123">
                  <c:v>1.4279249138028063</c:v>
                </c:pt>
                <c:pt idx="1124">
                  <c:v>1.2980661364050907</c:v>
                </c:pt>
                <c:pt idx="1125">
                  <c:v>1.1680181907547564</c:v>
                </c:pt>
                <c:pt idx="1126">
                  <c:v>1.0378238642512965</c:v>
                </c:pt>
                <c:pt idx="1127">
                  <c:v>0.90752591480441436</c:v>
                </c:pt>
                <c:pt idx="1128">
                  <c:v>0.77716705693168042</c:v>
                </c:pt>
                <c:pt idx="1129">
                  <c:v>0.64678994789532651</c:v>
                </c:pt>
                <c:pt idx="1130">
                  <c:v>0.51643717388314803</c:v>
                </c:pt>
                <c:pt idx="1131">
                  <c:v>0.38615123623701947</c:v>
                </c:pt>
                <c:pt idx="1132">
                  <c:v>0.25597453773463869</c:v>
                </c:pt>
                <c:pt idx="1133">
                  <c:v>0.12594936892754566</c:v>
                </c:pt>
                <c:pt idx="1134">
                  <c:v>-3.882105458993063E-3</c:v>
                </c:pt>
                <c:pt idx="1135">
                  <c:v>-0.13347786006103601</c:v>
                </c:pt>
                <c:pt idx="1136">
                  <c:v>-0.26279602234042715</c:v>
                </c:pt>
                <c:pt idx="1137">
                  <c:v>-0.39179488597572537</c:v>
                </c:pt>
                <c:pt idx="1138">
                  <c:v>-0.52043292417413978</c:v>
                </c:pt>
                <c:pt idx="1139">
                  <c:v>-0.64866880290139106</c:v>
                </c:pt>
                <c:pt idx="1140">
                  <c:v>-0.77646139402410796</c:v>
                </c:pt>
                <c:pt idx="1141">
                  <c:v>-0.90376978836194577</c:v>
                </c:pt>
                <c:pt idx="1142">
                  <c:v>-1.0305533086441181</c:v>
                </c:pt>
                <c:pt idx="1143">
                  <c:v>-1.1567715223673916</c:v>
                </c:pt>
                <c:pt idx="1144">
                  <c:v>-1.2823842545503186</c:v>
                </c:pt>
                <c:pt idx="1145">
                  <c:v>-1.4073516003810425</c:v>
                </c:pt>
                <c:pt idx="1146">
                  <c:v>-1.5316339377535295</c:v>
                </c:pt>
                <c:pt idx="1147">
                  <c:v>-1.6551919396894397</c:v>
                </c:pt>
                <c:pt idx="1148">
                  <c:v>-1.7779865866406004</c:v>
                </c:pt>
                <c:pt idx="1149">
                  <c:v>-1.8999791786695555</c:v>
                </c:pt>
                <c:pt idx="1150">
                  <c:v>-2.0211313475033004</c:v>
                </c:pt>
                <c:pt idx="1151">
                  <c:v>-2.1414050684573742</c:v>
                </c:pt>
                <c:pt idx="1152">
                  <c:v>-2.2607626722260221</c:v>
                </c:pt>
                <c:pt idx="1153">
                  <c:v>-2.3791668565352144</c:v>
                </c:pt>
                <c:pt idx="1154">
                  <c:v>-2.4965806976546894</c:v>
                </c:pt>
                <c:pt idx="1155">
                  <c:v>-2.6129676617658877</c:v>
                </c:pt>
                <c:pt idx="1156">
                  <c:v>-2.7282916161818678</c:v>
                </c:pt>
                <c:pt idx="1157">
                  <c:v>-2.8425168404161711</c:v>
                </c:pt>
                <c:pt idx="1158">
                  <c:v>-2.955608037097027</c:v>
                </c:pt>
                <c:pt idx="1159">
                  <c:v>-3.0675303427239755</c:v>
                </c:pt>
                <c:pt idx="1160">
                  <c:v>-3.1782493382632389</c:v>
                </c:pt>
                <c:pt idx="1161">
                  <c:v>-3.2877310595790084</c:v>
                </c:pt>
                <c:pt idx="1162">
                  <c:v>-3.3959420076973097</c:v>
                </c:pt>
                <c:pt idx="1163">
                  <c:v>-3.5028491588997381</c:v>
                </c:pt>
                <c:pt idx="1164">
                  <c:v>-3.6084199746435117</c:v>
                </c:pt>
                <c:pt idx="1165">
                  <c:v>-3.7126224113056989</c:v>
                </c:pt>
                <c:pt idx="1166">
                  <c:v>-3.8154249297477634</c:v>
                </c:pt>
                <c:pt idx="1167">
                  <c:v>-3.9167965046987385</c:v>
                </c:pt>
                <c:pt idx="1168">
                  <c:v>-4.0167066339532669</c:v>
                </c:pt>
                <c:pt idx="1169">
                  <c:v>-4.1151253473827687</c:v>
                </c:pt>
                <c:pt idx="1170">
                  <c:v>-4.2120232157561404</c:v>
                </c:pt>
                <c:pt idx="1171">
                  <c:v>-4.3073713593685161</c:v>
                </c:pt>
                <c:pt idx="1172">
                  <c:v>-4.4011414564746447</c:v>
                </c:pt>
                <c:pt idx="1173">
                  <c:v>-4.4933057515253605</c:v>
                </c:pt>
                <c:pt idx="1174">
                  <c:v>-4.5838370632038767</c:v>
                </c:pt>
                <c:pt idx="1175">
                  <c:v>-4.6727087922606518</c:v>
                </c:pt>
                <c:pt idx="1176">
                  <c:v>-4.7598949291437016</c:v>
                </c:pt>
                <c:pt idx="1177">
                  <c:v>-4.845370061423079</c:v>
                </c:pt>
                <c:pt idx="1178">
                  <c:v>-4.9291093810065814</c:v>
                </c:pt>
                <c:pt idx="1179">
                  <c:v>-5.0110886911456332</c:v>
                </c:pt>
                <c:pt idx="1180">
                  <c:v>-5.0912844132286272</c:v>
                </c:pt>
                <c:pt idx="1181">
                  <c:v>-5.1696735933605868</c:v>
                </c:pt>
                <c:pt idx="1182">
                  <c:v>-5.2462339087266301</c:v>
                </c:pt>
                <c:pt idx="1183">
                  <c:v>-5.3209436737384115</c:v>
                </c:pt>
                <c:pt idx="1184">
                  <c:v>-5.3937818459611062</c:v>
                </c:pt>
                <c:pt idx="1185">
                  <c:v>-5.4647280318200604</c:v>
                </c:pt>
                <c:pt idx="1186">
                  <c:v>-5.5337624920851711</c:v>
                </c:pt>
                <c:pt idx="1187">
                  <c:v>-5.6008661471318879</c:v>
                </c:pt>
                <c:pt idx="1188">
                  <c:v>-5.6660205819773477</c:v>
                </c:pt>
                <c:pt idx="1189">
                  <c:v>-5.729208051090608</c:v>
                </c:pt>
                <c:pt idx="1190">
                  <c:v>-5.7904114829755846</c:v>
                </c:pt>
                <c:pt idx="1191">
                  <c:v>-5.8496144845257705</c:v>
                </c:pt>
                <c:pt idx="1192">
                  <c:v>-5.9068013451496189</c:v>
                </c:pt>
                <c:pt idx="1193">
                  <c:v>-5.9619570406658156</c:v>
                </c:pt>
                <c:pt idx="1194">
                  <c:v>-6.0150672369673952</c:v>
                </c:pt>
                <c:pt idx="1195">
                  <c:v>-6.0661182934540321</c:v>
                </c:pt>
                <c:pt idx="1196">
                  <c:v>-6.1150972662317695</c:v>
                </c:pt>
                <c:pt idx="1197">
                  <c:v>-6.1619919110796504</c:v>
                </c:pt>
                <c:pt idx="1198">
                  <c:v>-6.2067906861824875</c:v>
                </c:pt>
                <c:pt idx="1199">
                  <c:v>-6.2494827546296401</c:v>
                </c:pt>
                <c:pt idx="1200">
                  <c:v>-6.2900579866789688</c:v>
                </c:pt>
                <c:pt idx="1201">
                  <c:v>-6.3285069617861049</c:v>
                </c:pt>
                <c:pt idx="1202">
                  <c:v>-6.3648209703984433</c:v>
                </c:pt>
                <c:pt idx="1203">
                  <c:v>-6.3989920155139579</c:v>
                </c:pt>
                <c:pt idx="1204">
                  <c:v>-6.4310128140044798</c:v>
                </c:pt>
                <c:pt idx="1205">
                  <c:v>-6.4608767977037527</c:v>
                </c:pt>
                <c:pt idx="1206">
                  <c:v>-6.4885781142600312</c:v>
                </c:pt>
                <c:pt idx="1207">
                  <c:v>-6.5141116277536408</c:v>
                </c:pt>
                <c:pt idx="1208">
                  <c:v>-6.5374729190794563</c:v>
                </c:pt>
                <c:pt idx="1209">
                  <c:v>-6.5586582860948184</c:v>
                </c:pt>
                <c:pt idx="1210">
                  <c:v>-6.5776647435331483</c:v>
                </c:pt>
                <c:pt idx="1211">
                  <c:v>-6.5944900226837735</c:v>
                </c:pt>
                <c:pt idx="1212">
                  <c:v>-6.6091325708383728</c:v>
                </c:pt>
                <c:pt idx="1213">
                  <c:v>-6.6215915505048386</c:v>
                </c:pt>
                <c:pt idx="1214">
                  <c:v>-6.6318668383890245</c:v>
                </c:pt>
                <c:pt idx="1215">
                  <c:v>-6.6399590241453135</c:v>
                </c:pt>
                <c:pt idx="1216">
                  <c:v>-6.6458694088966705</c:v>
                </c:pt>
                <c:pt idx="1217">
                  <c:v>-6.6496000035251992</c:v>
                </c:pt>
                <c:pt idx="1218">
                  <c:v>-6.6511535267341211</c:v>
                </c:pt>
                <c:pt idx="1219">
                  <c:v>-6.6505334028822309</c:v>
                </c:pt>
                <c:pt idx="1220">
                  <c:v>-6.6477437595919424</c:v>
                </c:pt>
                <c:pt idx="1221">
                  <c:v>-6.6427894251321167</c:v>
                </c:pt>
                <c:pt idx="1222">
                  <c:v>-6.635675925576952</c:v>
                </c:pt>
                <c:pt idx="1223">
                  <c:v>-6.6264094817422219</c:v>
                </c:pt>
                <c:pt idx="1224">
                  <c:v>-6.6149970059003333</c:v>
                </c:pt>
                <c:pt idx="1225">
                  <c:v>-6.6014460982755772</c:v>
                </c:pt>
                <c:pt idx="1226">
                  <c:v>-6.5857650433212456</c:v>
                </c:pt>
                <c:pt idx="1227">
                  <c:v>-6.5679628057800672</c:v>
                </c:pt>
                <c:pt idx="1228">
                  <c:v>-6.5480490265297862</c:v>
                </c:pt>
                <c:pt idx="1229">
                  <c:v>-6.5260340182155225</c:v>
                </c:pt>
                <c:pt idx="1230">
                  <c:v>-6.5019287606708005</c:v>
                </c:pt>
                <c:pt idx="1231">
                  <c:v>-6.475744896129024</c:v>
                </c:pt>
                <c:pt idx="1232">
                  <c:v>-6.4474947242274956</c:v>
                </c:pt>
                <c:pt idx="1233">
                  <c:v>-6.4171911968057618</c:v>
                </c:pt>
                <c:pt idx="1234">
                  <c:v>-6.3848479125006348</c:v>
                </c:pt>
                <c:pt idx="1235">
                  <c:v>-6.3504791111397259</c:v>
                </c:pt>
                <c:pt idx="1236">
                  <c:v>-6.3140996679359418</c:v>
                </c:pt>
                <c:pt idx="1237">
                  <c:v>-6.275725087484969</c:v>
                </c:pt>
                <c:pt idx="1238">
                  <c:v>-6.2353714975683285</c:v>
                </c:pt>
                <c:pt idx="1239">
                  <c:v>-6.1930556427640422</c:v>
                </c:pt>
                <c:pt idx="1240">
                  <c:v>-6.1487948778677053</c:v>
                </c:pt>
                <c:pt idx="1241">
                  <c:v>-6.1026071611260821</c:v>
                </c:pt>
                <c:pt idx="1242">
                  <c:v>-6.0545110472861738</c:v>
                </c:pt>
                <c:pt idx="1243">
                  <c:v>-6.0045256804619438</c:v>
                </c:pt>
                <c:pt idx="1244">
                  <c:v>-5.9526707868217459</c:v>
                </c:pt>
                <c:pt idx="1245">
                  <c:v>-5.8989666670987848</c:v>
                </c:pt>
                <c:pt idx="1246">
                  <c:v>-5.843434188927823</c:v>
                </c:pt>
                <c:pt idx="1247">
                  <c:v>-5.786094779010428</c:v>
                </c:pt>
                <c:pt idx="1248">
                  <c:v>-5.7269704151121443</c:v>
                </c:pt>
                <c:pt idx="1249">
                  <c:v>-5.6660836178939977</c:v>
                </c:pt>
                <c:pt idx="1250">
                  <c:v>-5.6034574425818642</c:v>
                </c:pt>
                <c:pt idx="1251">
                  <c:v>-5.5391154704761103</c:v>
                </c:pt>
                <c:pt idx="1252">
                  <c:v>-5.4730818003050468</c:v>
                </c:pt>
                <c:pt idx="1253">
                  <c:v>-5.4053810394251141</c:v>
                </c:pt>
                <c:pt idx="1254">
                  <c:v>-5.336038294870753</c:v>
                </c:pt>
                <c:pt idx="1255">
                  <c:v>-5.2650791642576866</c:v>
                </c:pt>
                <c:pt idx="1256">
                  <c:v>-5.1925297265421602</c:v>
                </c:pt>
                <c:pt idx="1257">
                  <c:v>-5.1184165326400519</c:v>
                </c:pt>
                <c:pt idx="1258">
                  <c:v>-5.0427665959086054</c:v>
                </c:pt>
                <c:pt idx="1259">
                  <c:v>-4.9656073824947491</c:v>
                </c:pt>
                <c:pt idx="1260">
                  <c:v>-4.8869668015527212</c:v>
                </c:pt>
                <c:pt idx="1261">
                  <c:v>-4.8068731953350623</c:v>
                </c:pt>
                <c:pt idx="1262">
                  <c:v>-4.725355329159842</c:v>
                </c:pt>
                <c:pt idx="1263">
                  <c:v>-4.6424423812582836</c:v>
                </c:pt>
                <c:pt idx="1264">
                  <c:v>-4.5581639325055869</c:v>
                </c:pt>
                <c:pt idx="1265">
                  <c:v>-4.4725499560392006</c:v>
                </c:pt>
                <c:pt idx="1266">
                  <c:v>-4.3856308067674652</c:v>
                </c:pt>
                <c:pt idx="1267">
                  <c:v>-4.297437210773027</c:v>
                </c:pt>
                <c:pt idx="1268">
                  <c:v>-4.2080002546138022</c:v>
                </c:pt>
                <c:pt idx="1269">
                  <c:v>-4.11735137452599</c:v>
                </c:pt>
                <c:pt idx="1270">
                  <c:v>-4.0255223455320666</c:v>
                </c:pt>
                <c:pt idx="1271">
                  <c:v>-3.9325452704583173</c:v>
                </c:pt>
                <c:pt idx="1272">
                  <c:v>-3.8384525688647808</c:v>
                </c:pt>
                <c:pt idx="1273">
                  <c:v>-3.7432769658921536</c:v>
                </c:pt>
                <c:pt idx="1274">
                  <c:v>-3.6470514810288139</c:v>
                </c:pt>
                <c:pt idx="1275">
                  <c:v>-3.5498094168022791</c:v>
                </c:pt>
                <c:pt idx="1276">
                  <c:v>-3.451584347398565</c:v>
                </c:pt>
                <c:pt idx="1277">
                  <c:v>-3.3524101072135686</c:v>
                </c:pt>
                <c:pt idx="1278">
                  <c:v>-3.2523207793399909</c:v>
                </c:pt>
                <c:pt idx="1279">
                  <c:v>-3.1513506839940799</c:v>
                </c:pt>
                <c:pt idx="1280">
                  <c:v>-3.0495343668857542</c:v>
                </c:pt>
                <c:pt idx="1281">
                  <c:v>-2.9469065875362577</c:v>
                </c:pt>
                <c:pt idx="1282">
                  <c:v>-2.843502307546919</c:v>
                </c:pt>
                <c:pt idx="1283">
                  <c:v>-2.7393566788233459</c:v>
                </c:pt>
                <c:pt idx="1284">
                  <c:v>-2.6345050317586458</c:v>
                </c:pt>
                <c:pt idx="1285">
                  <c:v>-2.5289828633798539</c:v>
                </c:pt>
                <c:pt idx="1286">
                  <c:v>-2.4228258254611563</c:v>
                </c:pt>
                <c:pt idx="1287">
                  <c:v>-2.316069712608396</c:v>
                </c:pt>
                <c:pt idx="1288">
                  <c:v>-2.2087504503180519</c:v>
                </c:pt>
                <c:pt idx="1289">
                  <c:v>-2.100904083015589</c:v>
                </c:pt>
                <c:pt idx="1290">
                  <c:v>-1.9925667620760572</c:v>
                </c:pt>
                <c:pt idx="1291">
                  <c:v>-1.883774733831882</c:v>
                </c:pt>
                <c:pt idx="1292">
                  <c:v>-1.7745643275708414</c:v>
                </c:pt>
                <c:pt idx="1293">
                  <c:v>-1.6649719435292012</c:v>
                </c:pt>
                <c:pt idx="1294">
                  <c:v>-1.555034040882822</c:v>
                </c:pt>
                <c:pt idx="1295">
                  <c:v>-1.4447871257411844</c:v>
                </c:pt>
                <c:pt idx="1296">
                  <c:v>-1.3342677391472988</c:v>
                </c:pt>
                <c:pt idx="1297">
                  <c:v>-1.2235124450884551</c:v>
                </c:pt>
                <c:pt idx="1298">
                  <c:v>-1.1125578185205582</c:v>
                </c:pt>
                <c:pt idx="1299">
                  <c:v>-1.0014404334110005</c:v>
                </c:pt>
                <c:pt idx="1300">
                  <c:v>-0.89019685080295974</c:v>
                </c:pt>
                <c:pt idx="1301">
                  <c:v>-0.77886360690604162</c:v>
                </c:pt>
                <c:pt idx="1302">
                  <c:v>-0.66747720121596488</c:v>
                </c:pt>
                <c:pt idx="1303">
                  <c:v>-0.55607408466816366</c:v>
                </c:pt>
                <c:pt idx="1304">
                  <c:v>-0.44469064782815065</c:v>
                </c:pt>
                <c:pt idx="1305">
                  <c:v>-0.33336320912347972</c:v>
                </c:pt>
                <c:pt idx="1306">
                  <c:v>-0.22212800311993347</c:v>
                </c:pt>
                <c:pt idx="1307">
                  <c:v>-0.11102116884671571</c:v>
                </c:pt>
                <c:pt idx="1308">
                  <c:v>-7.8738173555984746E-5</c:v>
                </c:pt>
                <c:pt idx="1309">
                  <c:v>0.11066337575598065</c:v>
                </c:pt>
                <c:pt idx="1310">
                  <c:v>0.22116939003167629</c:v>
                </c:pt>
                <c:pt idx="1311">
                  <c:v>0.33140366342042665</c:v>
                </c:pt>
                <c:pt idx="1312">
                  <c:v>0.44133070774331729</c:v>
                </c:pt>
                <c:pt idx="1313">
                  <c:v>0.55091519918198484</c:v>
                </c:pt>
                <c:pt idx="1314">
                  <c:v>0.66012198951104317</c:v>
                </c:pt>
                <c:pt idx="1315">
                  <c:v>0.76891611725278797</c:v>
                </c:pt>
                <c:pt idx="1316">
                  <c:v>0.87726281875101964</c:v>
                </c:pt>
                <c:pt idx="1317">
                  <c:v>0.98512753916008944</c:v>
                </c:pt>
                <c:pt idx="1318">
                  <c:v>1.0924759433460742</c:v>
                </c:pt>
                <c:pt idx="1319">
                  <c:v>1.1992739266964305</c:v>
                </c:pt>
                <c:pt idx="1320">
                  <c:v>1.3054876258351216</c:v>
                </c:pt>
                <c:pt idx="1321">
                  <c:v>1.411083429239318</c:v>
                </c:pt>
                <c:pt idx="1322">
                  <c:v>1.5160279877551706</c:v>
                </c:pt>
                <c:pt idx="1323">
                  <c:v>1.6202882250084145</c:v>
                </c:pt>
                <c:pt idx="1324">
                  <c:v>1.7238313477076819</c:v>
                </c:pt>
                <c:pt idx="1325">
                  <c:v>1.8266248558363618</c:v>
                </c:pt>
                <c:pt idx="1326">
                  <c:v>1.9286365527307869</c:v>
                </c:pt>
                <c:pt idx="1327">
                  <c:v>2.0298345550406744</c:v>
                </c:pt>
                <c:pt idx="1328">
                  <c:v>2.1301873025698561</c:v>
                </c:pt>
                <c:pt idx="1329">
                  <c:v>2.2296635679933114</c:v>
                </c:pt>
                <c:pt idx="1330">
                  <c:v>2.3282324664484597</c:v>
                </c:pt>
                <c:pt idx="1331">
                  <c:v>2.4258634649968278</c:v>
                </c:pt>
                <c:pt idx="1332">
                  <c:v>2.5225263919542948</c:v>
                </c:pt>
                <c:pt idx="1333">
                  <c:v>2.6181914460861404</c:v>
                </c:pt>
                <c:pt idx="1334">
                  <c:v>2.7128292056650083</c:v>
                </c:pt>
                <c:pt idx="1335">
                  <c:v>2.8064106373881503</c:v>
                </c:pt>
                <c:pt idx="1336">
                  <c:v>2.8989071051522779</c:v>
                </c:pt>
                <c:pt idx="1337">
                  <c:v>2.9902903786825243</c:v>
                </c:pt>
                <c:pt idx="1338">
                  <c:v>3.0805326420137669</c:v>
                </c:pt>
                <c:pt idx="1339">
                  <c:v>3.1696065018209376</c:v>
                </c:pt>
                <c:pt idx="1340">
                  <c:v>3.2574849955968204</c:v>
                </c:pt>
                <c:pt idx="1341">
                  <c:v>3.3441415996740771</c:v>
                </c:pt>
                <c:pt idx="1342">
                  <c:v>3.4295502370898618</c:v>
                </c:pt>
                <c:pt idx="1343">
                  <c:v>3.5136852852902272</c:v>
                </c:pt>
                <c:pt idx="1344">
                  <c:v>3.5965215836724052</c:v>
                </c:pt>
                <c:pt idx="1345">
                  <c:v>3.6780344409626125</c:v>
                </c:pt>
                <c:pt idx="1346">
                  <c:v>3.7581996424274924</c:v>
                </c:pt>
                <c:pt idx="1347">
                  <c:v>3.8369934569168569</c:v>
                </c:pt>
                <c:pt idx="1348">
                  <c:v>3.9143926437359466</c:v>
                </c:pt>
                <c:pt idx="1349">
                  <c:v>3.9903744593451407</c:v>
                </c:pt>
                <c:pt idx="1350">
                  <c:v>4.0649166638854277</c:v>
                </c:pt>
                <c:pt idx="1351">
                  <c:v>4.1379975275275713</c:v>
                </c:pt>
                <c:pt idx="1352">
                  <c:v>4.2095958366434134</c:v>
                </c:pt>
                <c:pt idx="1353">
                  <c:v>4.2796908997974752</c:v>
                </c:pt>
                <c:pt idx="1354">
                  <c:v>4.3482625535574666</c:v>
                </c:pt>
                <c:pt idx="1355">
                  <c:v>4.4152911681217244</c:v>
                </c:pt>
                <c:pt idx="1356">
                  <c:v>4.4807576527626356</c:v>
                </c:pt>
                <c:pt idx="1357">
                  <c:v>4.5446434610839042</c:v>
                </c:pt>
                <c:pt idx="1358">
                  <c:v>4.6069305960910274</c:v>
                </c:pt>
                <c:pt idx="1359">
                  <c:v>4.6676016150730151</c:v>
                </c:pt>
                <c:pt idx="1360">
                  <c:v>4.7266396342946386</c:v>
                </c:pt>
                <c:pt idx="1361">
                  <c:v>4.7840283334974716</c:v>
                </c:pt>
                <c:pt idx="1362">
                  <c:v>4.8397519602091865</c:v>
                </c:pt>
                <c:pt idx="1363">
                  <c:v>4.8937953338595017</c:v>
                </c:pt>
                <c:pt idx="1364">
                  <c:v>4.9461438497022829</c:v>
                </c:pt>
                <c:pt idx="1365">
                  <c:v>4.9967834825423347</c:v>
                </c:pt>
                <c:pt idx="1366">
                  <c:v>5.0457007902665865</c:v>
                </c:pt>
                <c:pt idx="1367">
                  <c:v>5.0928829171783603</c:v>
                </c:pt>
                <c:pt idx="1368">
                  <c:v>5.1383175971344359</c:v>
                </c:pt>
                <c:pt idx="1369">
                  <c:v>5.1819931564837889</c:v>
                </c:pt>
                <c:pt idx="1370">
                  <c:v>5.223898516807874</c:v>
                </c:pt>
                <c:pt idx="1371">
                  <c:v>5.2640231974614942</c:v>
                </c:pt>
                <c:pt idx="1372">
                  <c:v>5.3023573179141552</c:v>
                </c:pt>
                <c:pt idx="1373">
                  <c:v>5.3388915998911219</c:v>
                </c:pt>
                <c:pt idx="1374">
                  <c:v>5.3736173693142346</c:v>
                </c:pt>
                <c:pt idx="1375">
                  <c:v>5.40652655804187</c:v>
                </c:pt>
                <c:pt idx="1376">
                  <c:v>5.4376117054080959</c:v>
                </c:pt>
                <c:pt idx="1377">
                  <c:v>5.4668659595607352</c:v>
                </c:pt>
                <c:pt idx="1378">
                  <c:v>5.4942830785982455</c:v>
                </c:pt>
                <c:pt idx="1379">
                  <c:v>5.5198574315055904</c:v>
                </c:pt>
                <c:pt idx="1380">
                  <c:v>5.5435839988889191</c:v>
                </c:pt>
                <c:pt idx="1381">
                  <c:v>5.5654583735094034</c:v>
                </c:pt>
                <c:pt idx="1382">
                  <c:v>5.585476760616177</c:v>
                </c:pt>
                <c:pt idx="1383">
                  <c:v>5.60363597807891</c:v>
                </c:pt>
                <c:pt idx="1384">
                  <c:v>5.61993345632008</c:v>
                </c:pt>
                <c:pt idx="1385">
                  <c:v>5.6343672380475311</c:v>
                </c:pt>
                <c:pt idx="1386">
                  <c:v>5.6469359777875745</c:v>
                </c:pt>
                <c:pt idx="1387">
                  <c:v>5.6576389412193278</c:v>
                </c:pt>
                <c:pt idx="1388">
                  <c:v>5.6664760043107432</c:v>
                </c:pt>
                <c:pt idx="1389">
                  <c:v>5.6734476522570292</c:v>
                </c:pt>
                <c:pt idx="1390">
                  <c:v>5.6785549782221088</c:v>
                </c:pt>
                <c:pt idx="1391">
                  <c:v>5.6817996818839616</c:v>
                </c:pt>
                <c:pt idx="1392">
                  <c:v>5.6831840677846044</c:v>
                </c:pt>
                <c:pt idx="1393">
                  <c:v>5.6827110434856554</c:v>
                </c:pt>
                <c:pt idx="1394">
                  <c:v>5.6803841175303926</c:v>
                </c:pt>
                <c:pt idx="1395">
                  <c:v>5.6762073972133438</c:v>
                </c:pt>
                <c:pt idx="1396">
                  <c:v>5.6701855861584987</c:v>
                </c:pt>
                <c:pt idx="1397">
                  <c:v>5.6623239817072379</c:v>
                </c:pt>
                <c:pt idx="1398">
                  <c:v>5.652628472117212</c:v>
                </c:pt>
                <c:pt idx="1399">
                  <c:v>5.6411055335733948</c:v>
                </c:pt>
                <c:pt idx="1400">
                  <c:v>5.6277622270126848</c:v>
                </c:pt>
                <c:pt idx="1401">
                  <c:v>5.6126061947633206</c:v>
                </c:pt>
                <c:pt idx="1402">
                  <c:v>5.5956456570006798</c:v>
                </c:pt>
                <c:pt idx="1403">
                  <c:v>5.5768894080208025</c:v>
                </c:pt>
                <c:pt idx="1404">
                  <c:v>5.5563468123333424</c:v>
                </c:pt>
                <c:pt idx="1405">
                  <c:v>5.5340278005753794</c:v>
                </c:pt>
                <c:pt idx="1406">
                  <c:v>5.509942865247897</c:v>
                </c:pt>
                <c:pt idx="1407">
                  <c:v>5.4841030562765436</c:v>
                </c:pt>
                <c:pt idx="1408">
                  <c:v>5.4565199763984991</c:v>
                </c:pt>
                <c:pt idx="1409">
                  <c:v>5.4272057763772015</c:v>
                </c:pt>
                <c:pt idx="1410">
                  <c:v>5.3961731500468932</c:v>
                </c:pt>
                <c:pt idx="1411">
                  <c:v>5.3634353291888255</c:v>
                </c:pt>
                <c:pt idx="1412">
                  <c:v>5.3290060782411928</c:v>
                </c:pt>
                <c:pt idx="1413">
                  <c:v>5.2928996888446811</c:v>
                </c:pt>
                <c:pt idx="1414">
                  <c:v>5.2551309742258994</c:v>
                </c:pt>
                <c:pt idx="1415">
                  <c:v>5.2157152634205932</c:v>
                </c:pt>
                <c:pt idx="1416">
                  <c:v>5.1746683953390926</c:v>
                </c:pt>
                <c:pt idx="1417">
                  <c:v>5.132006712675893</c:v>
                </c:pt>
                <c:pt idx="1418">
                  <c:v>5.0877470556659592</c:v>
                </c:pt>
                <c:pt idx="1419">
                  <c:v>5.0419067556897526</c:v>
                </c:pt>
                <c:pt idx="1420">
                  <c:v>4.9945036287297002</c:v>
                </c:pt>
                <c:pt idx="1421">
                  <c:v>4.9455559686801189</c:v>
                </c:pt>
                <c:pt idx="1422">
                  <c:v>4.8950825405133944</c:v>
                </c:pt>
                <c:pt idx="1423">
                  <c:v>4.8431025733045843</c:v>
                </c:pt>
                <c:pt idx="1424">
                  <c:v>4.789635753117361</c:v>
                </c:pt>
                <c:pt idx="1425">
                  <c:v>4.7347022157533951</c:v>
                </c:pt>
                <c:pt idx="1426">
                  <c:v>4.6783225393682866</c:v>
                </c:pt>
                <c:pt idx="1427">
                  <c:v>4.6205177369561978</c:v>
                </c:pt>
                <c:pt idx="1428">
                  <c:v>4.5613092487064231</c:v>
                </c:pt>
                <c:pt idx="1429">
                  <c:v>4.5007189342340519</c:v>
                </c:pt>
                <c:pt idx="1430">
                  <c:v>4.4387690646879943</c:v>
                </c:pt>
                <c:pt idx="1431">
                  <c:v>4.375482314738707</c:v>
                </c:pt>
                <c:pt idx="1432">
                  <c:v>4.3108817544489844</c:v>
                </c:pt>
                <c:pt idx="1433">
                  <c:v>4.2449908410300559</c:v>
                </c:pt>
                <c:pt idx="1434">
                  <c:v>4.1778334104864854</c:v>
                </c:pt>
                <c:pt idx="1435">
                  <c:v>4.109433669152307</c:v>
                </c:pt>
                <c:pt idx="1436">
                  <c:v>4.0398161851217367</c:v>
                </c:pt>
                <c:pt idx="1437">
                  <c:v>3.9690058795771845</c:v>
                </c:pt>
                <c:pt idx="1438">
                  <c:v>3.8970280180177799</c:v>
                </c:pt>
                <c:pt idx="1439">
                  <c:v>3.8239082013912147</c:v>
                </c:pt>
                <c:pt idx="1440">
                  <c:v>3.7496723571322597</c:v>
                </c:pt>
                <c:pt idx="1441">
                  <c:v>3.6743467301107988</c:v>
                </c:pt>
                <c:pt idx="1442">
                  <c:v>3.597957873492716</c:v>
                </c:pt>
                <c:pt idx="1443">
                  <c:v>3.5205326395165035</c:v>
                </c:pt>
                <c:pt idx="1444">
                  <c:v>3.4420981701890585</c:v>
                </c:pt>
                <c:pt idx="1445">
                  <c:v>3.3626818879036131</c:v>
                </c:pt>
                <c:pt idx="1446">
                  <c:v>3.2823114859832008</c:v>
                </c:pt>
                <c:pt idx="1447">
                  <c:v>3.2010149191525801</c:v>
                </c:pt>
                <c:pt idx="1448">
                  <c:v>3.118820393942316</c:v>
                </c:pt>
                <c:pt idx="1449">
                  <c:v>3.0357563590276557</c:v>
                </c:pt>
                <c:pt idx="1450">
                  <c:v>2.9518514955062423</c:v>
                </c:pt>
                <c:pt idx="1451">
                  <c:v>2.8671347071171103</c:v>
                </c:pt>
                <c:pt idx="1452">
                  <c:v>2.7816351104050243</c:v>
                </c:pt>
                <c:pt idx="1453">
                  <c:v>2.6953820248327682</c:v>
                </c:pt>
                <c:pt idx="1454">
                  <c:v>2.6084049628454906</c:v>
                </c:pt>
                <c:pt idx="1455">
                  <c:v>2.5207336198895653</c:v>
                </c:pt>
                <c:pt idx="1456">
                  <c:v>2.4323978643901327</c:v>
                </c:pt>
                <c:pt idx="1457">
                  <c:v>2.3434277276898845</c:v>
                </c:pt>
                <c:pt idx="1458">
                  <c:v>2.2538533939533121</c:v>
                </c:pt>
                <c:pt idx="1459">
                  <c:v>2.1637051900388458</c:v>
                </c:pt>
                <c:pt idx="1460">
                  <c:v>2.0730135753430936</c:v>
                </c:pt>
                <c:pt idx="1461">
                  <c:v>1.9818091316197777</c:v>
                </c:pt>
                <c:pt idx="1462">
                  <c:v>1.8901225527775798</c:v>
                </c:pt>
                <c:pt idx="1463">
                  <c:v>1.7979846346593387</c:v>
                </c:pt>
                <c:pt idx="1464">
                  <c:v>1.705426264806833</c:v>
                </c:pt>
                <c:pt idx="1465">
                  <c:v>1.6124784122137199</c:v>
                </c:pt>
                <c:pt idx="1466">
                  <c:v>1.519172117070859</c:v>
                </c:pt>
                <c:pt idx="1467">
                  <c:v>1.425538480506453</c:v>
                </c:pt>
                <c:pt idx="1468">
                  <c:v>1.3316086543252037</c:v>
                </c:pt>
                <c:pt idx="1469">
                  <c:v>1.2374138307491649</c:v>
                </c:pt>
                <c:pt idx="1470">
                  <c:v>1.1429852321641358</c:v>
                </c:pt>
                <c:pt idx="1471">
                  <c:v>1.0483541008746089</c:v>
                </c:pt>
                <c:pt idx="1472">
                  <c:v>0.95355168887083286</c:v>
                </c:pt>
                <c:pt idx="1473">
                  <c:v>0.85860924761100776</c:v>
                </c:pt>
                <c:pt idx="1474">
                  <c:v>0.76355801782228794</c:v>
                </c:pt>
                <c:pt idx="1475">
                  <c:v>0.66842921932359667</c:v>
                </c:pt>
                <c:pt idx="1476">
                  <c:v>0.57325404087375298</c:v>
                </c:pt>
                <c:pt idx="1477">
                  <c:v>0.47806363004788216</c:v>
                </c:pt>
                <c:pt idx="1478">
                  <c:v>0.38288908314573727</c:v>
                </c:pt>
                <c:pt idx="1479">
                  <c:v>0.28776143513486724</c:v>
                </c:pt>
                <c:pt idx="1480">
                  <c:v>0.19271164963207507</c:v>
                </c:pt>
                <c:pt idx="1481">
                  <c:v>9.77706089260518E-2</c:v>
                </c:pt>
                <c:pt idx="1482">
                  <c:v>2.9691040448695063E-3</c:v>
                </c:pt>
                <c:pt idx="1483">
                  <c:v>-9.1662175129194154E-2</c:v>
                </c:pt>
                <c:pt idx="1484">
                  <c:v>-0.18609264969348391</c:v>
                </c:pt>
                <c:pt idx="1485">
                  <c:v>-0.28029186150529783</c:v>
                </c:pt>
                <c:pt idx="1486">
                  <c:v>-0.37422948290473518</c:v>
                </c:pt>
                <c:pt idx="1487">
                  <c:v>-0.46787532637780399</c:v>
                </c:pt>
                <c:pt idx="1488">
                  <c:v>-0.56119935415585809</c:v>
                </c:pt>
                <c:pt idx="1489">
                  <c:v>-0.65417168774930523</c:v>
                </c:pt>
                <c:pt idx="1490">
                  <c:v>-0.7467626174117048</c:v>
                </c:pt>
                <c:pt idx="1491">
                  <c:v>-0.83894261153210647</c:v>
                </c:pt>
                <c:pt idx="1492">
                  <c:v>-0.93068232595180822</c:v>
                </c:pt>
                <c:pt idx="1493">
                  <c:v>-1.021952613203585</c:v>
                </c:pt>
                <c:pt idx="1494">
                  <c:v>-1.1127245316696361</c:v>
                </c:pt>
                <c:pt idx="1495">
                  <c:v>-1.2029693546562044</c:v>
                </c:pt>
                <c:pt idx="1496">
                  <c:v>-1.2926585793811907</c:v>
                </c:pt>
                <c:pt idx="1497">
                  <c:v>-1.3817639358729303</c:v>
                </c:pt>
                <c:pt idx="1498">
                  <c:v>-1.4702573957765126</c:v>
                </c:pt>
                <c:pt idx="1499">
                  <c:v>-1.5581111810657318</c:v>
                </c:pt>
                <c:pt idx="1500">
                  <c:v>-1.6452977726571441</c:v>
                </c:pt>
                <c:pt idx="1501">
                  <c:v>-1.7317899189244896</c:v>
                </c:pt>
                <c:pt idx="1502">
                  <c:v>-1.8175606441101875</c:v>
                </c:pt>
                <c:pt idx="1503">
                  <c:v>-1.9025832566315968</c:v>
                </c:pt>
                <c:pt idx="1504">
                  <c:v>-1.9868313572797889</c:v>
                </c:pt>
                <c:pt idx="1505">
                  <c:v>-2.0702788473076583</c:v>
                </c:pt>
                <c:pt idx="1506">
                  <c:v>-2.1528999364058032</c:v>
                </c:pt>
                <c:pt idx="1507">
                  <c:v>-2.2346691505629646</c:v>
                </c:pt>
                <c:pt idx="1508">
                  <c:v>-2.3155613398093995</c:v>
                </c:pt>
                <c:pt idx="1509">
                  <c:v>-2.3955516858400796</c:v>
                </c:pt>
                <c:pt idx="1510">
                  <c:v>-2.4746157095163031</c:v>
                </c:pt>
                <c:pt idx="1511">
                  <c:v>-2.5527292782426971</c:v>
                </c:pt>
                <c:pt idx="1512">
                  <c:v>-2.6298686132181492</c:v>
                </c:pt>
                <c:pt idx="1513">
                  <c:v>-2.7060102965577602</c:v>
                </c:pt>
                <c:pt idx="1514">
                  <c:v>-2.7811312782845401</c:v>
                </c:pt>
                <c:pt idx="1515">
                  <c:v>-2.8552088831880664</c:v>
                </c:pt>
                <c:pt idx="1516">
                  <c:v>-2.9282208175487643</c:v>
                </c:pt>
                <c:pt idx="1517">
                  <c:v>-3.0001451757251458</c:v>
                </c:pt>
                <c:pt idx="1518">
                  <c:v>-3.0709604466028777</c:v>
                </c:pt>
                <c:pt idx="1519">
                  <c:v>-3.1406455199031096</c:v>
                </c:pt>
                <c:pt idx="1520">
                  <c:v>-3.2091796923488971</c:v>
                </c:pt>
                <c:pt idx="1521">
                  <c:v>-3.2765426736872927</c:v>
                </c:pt>
                <c:pt idx="1522">
                  <c:v>-3.3427145925661081</c:v>
                </c:pt>
                <c:pt idx="1523">
                  <c:v>-3.407676002263059</c:v>
                </c:pt>
                <c:pt idx="1524">
                  <c:v>-3.4714078862661832</c:v>
                </c:pt>
                <c:pt idx="1525">
                  <c:v>-3.5338916637036251</c:v>
                </c:pt>
                <c:pt idx="1526">
                  <c:v>-3.5951091946214992</c:v>
                </c:pt>
                <c:pt idx="1527">
                  <c:v>-3.6550427851082476</c:v>
                </c:pt>
                <c:pt idx="1528">
                  <c:v>-3.7136751922642754</c:v>
                </c:pt>
                <c:pt idx="1529">
                  <c:v>-3.7709896290153013</c:v>
                </c:pt>
                <c:pt idx="1530">
                  <c:v>-3.8269697687682842</c:v>
                </c:pt>
                <c:pt idx="1531">
                  <c:v>-3.881599749908617</c:v>
                </c:pt>
                <c:pt idx="1532">
                  <c:v>-3.9348641801375144</c:v>
                </c:pt>
                <c:pt idx="1533">
                  <c:v>-3.9867481406483067</c:v>
                </c:pt>
                <c:pt idx="1534">
                  <c:v>-4.0372371901406909</c:v>
                </c:pt>
                <c:pt idx="1535">
                  <c:v>-4.0863173686718417</c:v>
                </c:pt>
                <c:pt idx="1536">
                  <c:v>-4.1339752013435582</c:v>
                </c:pt>
                <c:pt idx="1537">
                  <c:v>-4.1801977018242873</c:v>
                </c:pt>
                <c:pt idx="1538">
                  <c:v>-4.2249723757055184</c:v>
                </c:pt>
                <c:pt idx="1539">
                  <c:v>-4.2682872236913374</c:v>
                </c:pt>
                <c:pt idx="1540">
                  <c:v>-4.310130744620837</c:v>
                </c:pt>
                <c:pt idx="1541">
                  <c:v>-4.350491938322306</c:v>
                </c:pt>
                <c:pt idx="1542">
                  <c:v>-4.3893603082989294</c:v>
                </c:pt>
                <c:pt idx="1543">
                  <c:v>-4.4267258642450322</c:v>
                </c:pt>
                <c:pt idx="1544">
                  <c:v>-4.4625791243927804</c:v>
                </c:pt>
                <c:pt idx="1545">
                  <c:v>-4.4969111176884846</c:v>
                </c:pt>
                <c:pt idx="1546">
                  <c:v>-4.5297133857984511</c:v>
                </c:pt>
                <c:pt idx="1547">
                  <c:v>-4.5609779849436869</c:v>
                </c:pt>
                <c:pt idx="1548">
                  <c:v>-4.590697487563518</c:v>
                </c:pt>
                <c:pt idx="1549">
                  <c:v>-4.6188649838075779</c:v>
                </c:pt>
                <c:pt idx="1550">
                  <c:v>-4.6454740828562597</c:v>
                </c:pt>
                <c:pt idx="1551">
                  <c:v>-4.6705189140692323</c:v>
                </c:pt>
                <c:pt idx="1552">
                  <c:v>-4.6939941279622488</c:v>
                </c:pt>
                <c:pt idx="1553">
                  <c:v>-4.7158948970119736</c:v>
                </c:pt>
                <c:pt idx="1554">
                  <c:v>-4.7362169162891075</c:v>
                </c:pt>
                <c:pt idx="1555">
                  <c:v>-4.7549564039196719</c:v>
                </c:pt>
                <c:pt idx="1556">
                  <c:v>-4.7721101013748761</c:v>
                </c:pt>
                <c:pt idx="1557">
                  <c:v>-4.7876752735895396</c:v>
                </c:pt>
                <c:pt idx="1558">
                  <c:v>-4.8016497089095216</c:v>
                </c:pt>
                <c:pt idx="1559">
                  <c:v>-4.8140317188683852</c:v>
                </c:pt>
                <c:pt idx="1560">
                  <c:v>-4.8248201377936857</c:v>
                </c:pt>
                <c:pt idx="1561">
                  <c:v>-4.8340143222433749</c:v>
                </c:pt>
                <c:pt idx="1562">
                  <c:v>-4.8416141502727443</c:v>
                </c:pt>
                <c:pt idx="1563">
                  <c:v>-4.8476200205324975</c:v>
                </c:pt>
                <c:pt idx="1564">
                  <c:v>-4.8520328511985387</c:v>
                </c:pt>
                <c:pt idx="1565">
                  <c:v>-4.8548540787341103</c:v>
                </c:pt>
                <c:pt idx="1566">
                  <c:v>-4.8560856564850194</c:v>
                </c:pt>
                <c:pt idx="1567">
                  <c:v>-4.8557300531087133</c:v>
                </c:pt>
                <c:pt idx="1568">
                  <c:v>-4.8537902508379522</c:v>
                </c:pt>
                <c:pt idx="1569">
                  <c:v>-4.850269743580049</c:v>
                </c:pt>
                <c:pt idx="1570">
                  <c:v>-4.8451725348525025</c:v>
                </c:pt>
                <c:pt idx="1571">
                  <c:v>-4.8385031355560439</c:v>
                </c:pt>
                <c:pt idx="1572">
                  <c:v>-4.8302665615860976</c:v>
                </c:pt>
                <c:pt idx="1573">
                  <c:v>-4.8204683312837355</c:v>
                </c:pt>
                <c:pt idx="1574">
                  <c:v>-4.8091144627272326</c:v>
                </c:pt>
                <c:pt idx="1575">
                  <c:v>-4.7962114708654342</c:v>
                </c:pt>
                <c:pt idx="1576">
                  <c:v>-4.7817663644940787</c:v>
                </c:pt>
                <c:pt idx="1577">
                  <c:v>-4.7657866430764591</c:v>
                </c:pt>
                <c:pt idx="1578">
                  <c:v>-4.7482802934096178</c:v>
                </c:pt>
                <c:pt idx="1579">
                  <c:v>-4.7292557861375624</c:v>
                </c:pt>
                <c:pt idx="1580">
                  <c:v>-4.708722072112784</c:v>
                </c:pt>
                <c:pt idx="1581">
                  <c:v>-4.6866885786076979</c:v>
                </c:pt>
                <c:pt idx="1582">
                  <c:v>-4.6631652053773527</c:v>
                </c:pt>
                <c:pt idx="1583">
                  <c:v>-4.6381623205751081</c:v>
                </c:pt>
                <c:pt idx="1584">
                  <c:v>-4.6116907565227159</c:v>
                </c:pt>
                <c:pt idx="1585">
                  <c:v>-4.5837618053366596</c:v>
                </c:pt>
                <c:pt idx="1586">
                  <c:v>-4.5543872144122215</c:v>
                </c:pt>
                <c:pt idx="1587">
                  <c:v>-4.5235791817671753</c:v>
                </c:pt>
                <c:pt idx="1588">
                  <c:v>-4.4913503512467345</c:v>
                </c:pt>
                <c:pt idx="1589">
                  <c:v>-4.4577138075917606</c:v>
                </c:pt>
                <c:pt idx="1590">
                  <c:v>-4.4226830713718526</c:v>
                </c:pt>
                <c:pt idx="1591">
                  <c:v>-4.3862720937854478</c:v>
                </c:pt>
                <c:pt idx="1592">
                  <c:v>-4.3484952513286617</c:v>
                </c:pt>
                <c:pt idx="1593">
                  <c:v>-4.3093673403350179</c:v>
                </c:pt>
                <c:pt idx="1594">
                  <c:v>-4.2689035713879759</c:v>
                </c:pt>
                <c:pt idx="1595">
                  <c:v>-4.2271195636083769</c:v>
                </c:pt>
                <c:pt idx="1596">
                  <c:v>-4.1840313388187935</c:v>
                </c:pt>
                <c:pt idx="1597">
                  <c:v>-4.1396553155870572</c:v>
                </c:pt>
                <c:pt idx="1598">
                  <c:v>-4.0940083031510071</c:v>
                </c:pt>
                <c:pt idx="1599">
                  <c:v>-4.0471074952267445</c:v>
                </c:pt>
                <c:pt idx="1600">
                  <c:v>-3.9989704637024985</c:v>
                </c:pt>
                <c:pt idx="1601">
                  <c:v>-3.9496151522205336</c:v>
                </c:pt>
                <c:pt idx="1602">
                  <c:v>-3.8990598696492658</c:v>
                </c:pt>
                <c:pt idx="1603">
                  <c:v>-3.8473232834480031</c:v>
                </c:pt>
                <c:pt idx="1604">
                  <c:v>-3.794424412926543</c:v>
                </c:pt>
                <c:pt idx="1605">
                  <c:v>-3.7403826224022483</c:v>
                </c:pt>
                <c:pt idx="1606">
                  <c:v>-3.6852176142566595</c:v>
                </c:pt>
                <c:pt idx="1607">
                  <c:v>-3.6289494218945855</c:v>
                </c:pt>
                <c:pt idx="1608">
                  <c:v>-3.5715984026075867</c:v>
                </c:pt>
                <c:pt idx="1609">
                  <c:v>-3.5131852303448734</c:v>
                </c:pt>
                <c:pt idx="1610">
                  <c:v>-3.453730888393661</c:v>
                </c:pt>
                <c:pt idx="1611">
                  <c:v>-3.3932566619720728</c:v>
                </c:pt>
                <c:pt idx="1612">
                  <c:v>-3.3317841307365756</c:v>
                </c:pt>
                <c:pt idx="1613">
                  <c:v>-3.2693351612071022</c:v>
                </c:pt>
                <c:pt idx="1614">
                  <c:v>-3.2059318991119654</c:v>
                </c:pt>
                <c:pt idx="1615">
                  <c:v>-3.1415967616557712</c:v>
                </c:pt>
                <c:pt idx="1616">
                  <c:v>-3.0763524297123821</c:v>
                </c:pt>
                <c:pt idx="1617">
                  <c:v>-3.0102218399461833</c:v>
                </c:pt>
                <c:pt idx="1618">
                  <c:v>-2.9432281768638258</c:v>
                </c:pt>
                <c:pt idx="1619">
                  <c:v>-2.8753948647997447</c:v>
                </c:pt>
                <c:pt idx="1620">
                  <c:v>-2.8067455598375508</c:v>
                </c:pt>
                <c:pt idx="1621">
                  <c:v>-2.7373041416706636</c:v>
                </c:pt>
                <c:pt idx="1622">
                  <c:v>-2.6670947054043492</c:v>
                </c:pt>
                <c:pt idx="1623">
                  <c:v>-2.5961415533026195</c:v>
                </c:pt>
                <c:pt idx="1624">
                  <c:v>-2.5244691864820643</c:v>
                </c:pt>
                <c:pt idx="1625">
                  <c:v>-2.4521022965560806</c:v>
                </c:pt>
                <c:pt idx="1626">
                  <c:v>-2.3790657572317282</c:v>
                </c:pt>
                <c:pt idx="1627">
                  <c:v>-2.3053846158625939</c:v>
                </c:pt>
                <c:pt idx="1628">
                  <c:v>-2.2310840849601177</c:v>
                </c:pt>
                <c:pt idx="1629">
                  <c:v>-2.1561895336662458</c:v>
                </c:pt>
                <c:pt idx="1630">
                  <c:v>-2.0807264791905915</c:v>
                </c:pt>
                <c:pt idx="1631">
                  <c:v>-2.0047205782144255</c:v>
                </c:pt>
                <c:pt idx="1632">
                  <c:v>-1.9281976182650387</c:v>
                </c:pt>
                <c:pt idx="1633">
                  <c:v>-1.8511835090626028</c:v>
                </c:pt>
                <c:pt idx="1634">
                  <c:v>-1.773704273843099</c:v>
                </c:pt>
                <c:pt idx="1635">
                  <c:v>-1.6957860406595318</c:v>
                </c:pt>
                <c:pt idx="1636">
                  <c:v>-1.6174550336650368</c:v>
                </c:pt>
                <c:pt idx="1637">
                  <c:v>-1.5387375643799694</c:v>
                </c:pt>
                <c:pt idx="1638">
                  <c:v>-1.4596600229465821</c:v>
                </c:pt>
                <c:pt idx="1639">
                  <c:v>-1.3802488693734964</c:v>
                </c:pt>
                <c:pt idx="1640">
                  <c:v>-1.3005306247735846</c:v>
                </c:pt>
                <c:pt idx="1641">
                  <c:v>-1.2205318625973249</c:v>
                </c:pt>
                <c:pt idx="1642">
                  <c:v>-1.1402791998652511</c:v>
                </c:pt>
                <c:pt idx="1643">
                  <c:v>-1.0597992884016689</c:v>
                </c:pt>
                <c:pt idx="1644">
                  <c:v>-0.97911880607324975</c:v>
                </c:pt>
                <c:pt idx="1645">
                  <c:v>-0.89826444803454031</c:v>
                </c:pt>
                <c:pt idx="1646">
                  <c:v>-0.81726291798398221</c:v>
                </c:pt>
                <c:pt idx="1647">
                  <c:v>-0.73614091943258764</c:v>
                </c:pt>
                <c:pt idx="1648">
                  <c:v>-0.65492514698885462</c:v>
                </c:pt>
                <c:pt idx="1649">
                  <c:v>-0.57364227766191256</c:v>
                </c:pt>
                <c:pt idx="1650">
                  <c:v>-0.49231896218645255</c:v>
                </c:pt>
                <c:pt idx="1651">
                  <c:v>-0.41098181637164222</c:v>
                </c:pt>
                <c:pt idx="1652">
                  <c:v>-0.32965741247723829</c:v>
                </c:pt>
                <c:pt idx="1653">
                  <c:v>-0.24837227061939077</c:v>
                </c:pt>
                <c:pt idx="1654">
                  <c:v>-0.16715285020908113</c:v>
                </c:pt>
                <c:pt idx="1655">
                  <c:v>-8.6025541425674687E-2</c:v>
                </c:pt>
                <c:pt idx="1656">
                  <c:v>-5.0166567286265796E-3</c:v>
                </c:pt>
                <c:pt idx="1657">
                  <c:v>7.5847577590213391E-2</c:v>
                </c:pt>
                <c:pt idx="1658">
                  <c:v>0.15654102981082157</c:v>
                </c:pt>
                <c:pt idx="1659">
                  <c:v>0.23703767114333607</c:v>
                </c:pt>
                <c:pt idx="1660">
                  <c:v>0.31731158403754589</c:v>
                </c:pt>
                <c:pt idx="1661">
                  <c:v>0.39733697044116223</c:v>
                </c:pt>
                <c:pt idx="1662">
                  <c:v>0.47708816000407905</c:v>
                </c:pt>
                <c:pt idx="1663">
                  <c:v>0.5565396182263127</c:v>
                </c:pt>
                <c:pt idx="1664">
                  <c:v>0.63566595454663588</c:v>
                </c:pt>
                <c:pt idx="1665">
                  <c:v>0.71444193036995407</c:v>
                </c:pt>
                <c:pt idx="1666">
                  <c:v>0.79284246703018058</c:v>
                </c:pt>
                <c:pt idx="1667">
                  <c:v>0.87084265368693936</c:v>
                </c:pt>
                <c:pt idx="1668">
                  <c:v>0.94841775515288951</c:v>
                </c:pt>
                <c:pt idx="1669">
                  <c:v>1.0255432196499248</c:v>
                </c:pt>
                <c:pt idx="1670">
                  <c:v>1.1021946864911012</c:v>
                </c:pt>
                <c:pt idx="1671">
                  <c:v>1.1783479936867287</c:v>
                </c:pt>
                <c:pt idx="1672">
                  <c:v>1.2539791854715339</c:v>
                </c:pt>
                <c:pt idx="1673">
                  <c:v>1.3290645197512569</c:v>
                </c:pt>
                <c:pt idx="1674">
                  <c:v>1.4035804754656682</c:v>
                </c:pt>
                <c:pt idx="1675">
                  <c:v>1.4775037598665413</c:v>
                </c:pt>
                <c:pt idx="1676">
                  <c:v>1.550811315707632</c:v>
                </c:pt>
                <c:pt idx="1677">
                  <c:v>1.6234803283451367</c:v>
                </c:pt>
                <c:pt idx="1678">
                  <c:v>1.6954882327457665</c:v>
                </c:pt>
                <c:pt idx="1679">
                  <c:v>1.76681272040107</c:v>
                </c:pt>
                <c:pt idx="1680">
                  <c:v>1.8374317461452359</c:v>
                </c:pt>
                <c:pt idx="1681">
                  <c:v>1.907323534874936</c:v>
                </c:pt>
                <c:pt idx="1682">
                  <c:v>1.9764665881685286</c:v>
                </c:pt>
                <c:pt idx="1683">
                  <c:v>2.0448396908033644</c:v>
                </c:pt>
                <c:pt idx="1684">
                  <c:v>2.1124219171686036</c:v>
                </c:pt>
                <c:pt idx="1685">
                  <c:v>2.1791926375721413</c:v>
                </c:pt>
                <c:pt idx="1686">
                  <c:v>2.2451315244394192</c:v>
                </c:pt>
                <c:pt idx="1687">
                  <c:v>2.3102185584025015</c:v>
                </c:pt>
                <c:pt idx="1688">
                  <c:v>2.3744340342775057</c:v>
                </c:pt>
                <c:pt idx="1689">
                  <c:v>2.4377585669287987</c:v>
                </c:pt>
                <c:pt idx="1690">
                  <c:v>2.5001730970180329</c:v>
                </c:pt>
                <c:pt idx="1691">
                  <c:v>2.5616588966365339</c:v>
                </c:pt>
                <c:pt idx="1692">
                  <c:v>2.6221975748192712</c:v>
                </c:pt>
                <c:pt idx="1693">
                  <c:v>2.6817710829390142</c:v>
                </c:pt>
                <c:pt idx="1694">
                  <c:v>2.740361719978905</c:v>
                </c:pt>
                <c:pt idx="1695">
                  <c:v>2.7979521376821128</c:v>
                </c:pt>
                <c:pt idx="1696">
                  <c:v>2.8545253455769899</c:v>
                </c:pt>
                <c:pt idx="1697">
                  <c:v>2.9100647158765018</c:v>
                </c:pt>
                <c:pt idx="1698">
                  <c:v>2.9645539882502598</c:v>
                </c:pt>
                <c:pt idx="1699">
                  <c:v>3.0179772744682247</c:v>
                </c:pt>
                <c:pt idx="1700">
                  <c:v>3.0703190629143018</c:v>
                </c:pt>
                <c:pt idx="1701">
                  <c:v>3.1215642229691389</c:v>
                </c:pt>
                <c:pt idx="1702">
                  <c:v>3.171698009260433</c:v>
                </c:pt>
                <c:pt idx="1703">
                  <c:v>3.2207060657800395</c:v>
                </c:pt>
                <c:pt idx="1704">
                  <c:v>3.2685744298663049</c:v>
                </c:pt>
                <c:pt idx="1705">
                  <c:v>3.3152895360510843</c:v>
                </c:pt>
                <c:pt idx="1706">
                  <c:v>3.3608382197699633</c:v>
                </c:pt>
                <c:pt idx="1707">
                  <c:v>3.4052077209351319</c:v>
                </c:pt>
                <c:pt idx="1708">
                  <c:v>3.4483856873695529</c:v>
                </c:pt>
                <c:pt idx="1709">
                  <c:v>3.4903601781020299</c:v>
                </c:pt>
                <c:pt idx="1710">
                  <c:v>3.5311196665219184</c:v>
                </c:pt>
                <c:pt idx="1711">
                  <c:v>3.5706530433930879</c:v>
                </c:pt>
                <c:pt idx="1712">
                  <c:v>3.608949619725994</c:v>
                </c:pt>
                <c:pt idx="1713">
                  <c:v>3.6459991295076217</c:v>
                </c:pt>
                <c:pt idx="1714">
                  <c:v>3.6817917322882616</c:v>
                </c:pt>
                <c:pt idx="1715">
                  <c:v>3.7163180156249012</c:v>
                </c:pt>
                <c:pt idx="1716">
                  <c:v>3.7495689973802917</c:v>
                </c:pt>
                <c:pt idx="1717">
                  <c:v>3.7815361278776227</c:v>
                </c:pt>
                <c:pt idx="1718">
                  <c:v>3.8122112919100175</c:v>
                </c:pt>
                <c:pt idx="1719">
                  <c:v>3.8415868106046727</c:v>
                </c:pt>
                <c:pt idx="1720">
                  <c:v>3.8696554431411783</c:v>
                </c:pt>
                <c:pt idx="1721">
                  <c:v>3.8964103883237771</c:v>
                </c:pt>
                <c:pt idx="1722">
                  <c:v>3.9218452860072786</c:v>
                </c:pt>
                <c:pt idx="1723">
                  <c:v>3.9459542183764849</c:v>
                </c:pt>
                <c:pt idx="1724">
                  <c:v>3.9687317110788989</c:v>
                </c:pt>
                <c:pt idx="1725">
                  <c:v>3.9901727342106565</c:v>
                </c:pt>
                <c:pt idx="1726">
                  <c:v>4.0102727031556187</c:v>
                </c:pt>
                <c:pt idx="1727">
                  <c:v>4.0290274792776248</c:v>
                </c:pt>
                <c:pt idx="1728">
                  <c:v>4.0464333704659152</c:v>
                </c:pt>
                <c:pt idx="1729">
                  <c:v>4.0624871315338416</c:v>
                </c:pt>
                <c:pt idx="1730">
                  <c:v>4.0771859644709716</c:v>
                </c:pt>
                <c:pt idx="1731">
                  <c:v>4.0905275185488188</c:v>
                </c:pt>
                <c:pt idx="1732">
                  <c:v>4.1025098902803521</c:v>
                </c:pt>
                <c:pt idx="1733">
                  <c:v>4.113131623233655</c:v>
                </c:pt>
                <c:pt idx="1734">
                  <c:v>4.1223917076999488</c:v>
                </c:pt>
                <c:pt idx="1735">
                  <c:v>4.1302895802164752</c:v>
                </c:pt>
                <c:pt idx="1736">
                  <c:v>4.1368251229445319</c:v>
                </c:pt>
                <c:pt idx="1737">
                  <c:v>4.141998662903247</c:v>
                </c:pt>
                <c:pt idx="1738">
                  <c:v>4.1458109710594782</c:v>
                </c:pt>
                <c:pt idx="1739">
                  <c:v>4.1482632612745123</c:v>
                </c:pt>
                <c:pt idx="1740">
                  <c:v>4.1493571891080778</c:v>
                </c:pt>
                <c:pt idx="1741">
                  <c:v>4.1490948504803651</c:v>
                </c:pt>
                <c:pt idx="1742">
                  <c:v>4.1474787801927411</c:v>
                </c:pt>
                <c:pt idx="1743">
                  <c:v>4.1445119503078738</c:v>
                </c:pt>
                <c:pt idx="1744">
                  <c:v>4.140197768390089</c:v>
                </c:pt>
                <c:pt idx="1745">
                  <c:v>4.1345400756067416</c:v>
                </c:pt>
                <c:pt idx="1746">
                  <c:v>4.1275431446915034</c:v>
                </c:pt>
                <c:pt idx="1747">
                  <c:v>4.1192116777704779</c:v>
                </c:pt>
                <c:pt idx="1748">
                  <c:v>4.1095508040520849</c:v>
                </c:pt>
                <c:pt idx="1749">
                  <c:v>4.0985660773817107</c:v>
                </c:pt>
                <c:pt idx="1750">
                  <c:v>4.0862634736622141</c:v>
                </c:pt>
                <c:pt idx="1751">
                  <c:v>4.0726493881413015</c:v>
                </c:pt>
                <c:pt idx="1752">
                  <c:v>4.0577306325669511</c:v>
                </c:pt>
                <c:pt idx="1753">
                  <c:v>4.0415144322120335</c:v>
                </c:pt>
                <c:pt idx="1754">
                  <c:v>4.0240084227693149</c:v>
                </c:pt>
                <c:pt idx="1755">
                  <c:v>4.0052206471181631</c:v>
                </c:pt>
                <c:pt idx="1756">
                  <c:v>3.9851595519641183</c:v>
                </c:pt>
                <c:pt idx="1757">
                  <c:v>3.963833984352815</c:v>
                </c:pt>
                <c:pt idx="1758">
                  <c:v>3.9412531880594366</c:v>
                </c:pt>
                <c:pt idx="1759">
                  <c:v>3.9174267998553103</c:v>
                </c:pt>
                <c:pt idx="1760">
                  <c:v>3.8923648456528763</c:v>
                </c:pt>
                <c:pt idx="1761">
                  <c:v>3.86607773653069</c:v>
                </c:pt>
                <c:pt idx="1762">
                  <c:v>3.8385762646398036</c:v>
                </c:pt>
                <c:pt idx="1763">
                  <c:v>3.8098715989932757</c:v>
                </c:pt>
                <c:pt idx="1764">
                  <c:v>3.7799752811401564</c:v>
                </c:pt>
                <c:pt idx="1765">
                  <c:v>3.7488992207258138</c:v>
                </c:pt>
                <c:pt idx="1766">
                  <c:v>3.7166556909400077</c:v>
                </c:pt>
                <c:pt idx="1767">
                  <c:v>3.6832573238546842</c:v>
                </c:pt>
                <c:pt idx="1768">
                  <c:v>3.6487171056528931</c:v>
                </c:pt>
                <c:pt idx="1769">
                  <c:v>3.6130483717508834</c:v>
                </c:pt>
                <c:pt idx="1770">
                  <c:v>3.5762648018148862</c:v>
                </c:pt>
                <c:pt idx="1771">
                  <c:v>3.5383804146747013</c:v>
                </c:pt>
                <c:pt idx="1772">
                  <c:v>3.4994095631356026</c:v>
                </c:pt>
                <c:pt idx="1773">
                  <c:v>3.4593669286907534</c:v>
                </c:pt>
                <c:pt idx="1774">
                  <c:v>3.4182675161357312</c:v>
                </c:pt>
                <c:pt idx="1775">
                  <c:v>3.3761266480874874</c:v>
                </c:pt>
                <c:pt idx="1776">
                  <c:v>3.3329599594091963</c:v>
                </c:pt>
                <c:pt idx="1777">
                  <c:v>3.2887833915434763</c:v>
                </c:pt>
                <c:pt idx="1778">
                  <c:v>3.2436131867556801</c:v>
                </c:pt>
                <c:pt idx="1779">
                  <c:v>3.1974658822894195</c:v>
                </c:pt>
                <c:pt idx="1780">
                  <c:v>3.1503583044363674</c:v>
                </c:pt>
                <c:pt idx="1781">
                  <c:v>3.1023075625224235</c:v>
                </c:pt>
                <c:pt idx="1782">
                  <c:v>3.0533310428123501</c:v>
                </c:pt>
                <c:pt idx="1783">
                  <c:v>3.0034464023351126</c:v>
                </c:pt>
                <c:pt idx="1784">
                  <c:v>2.9526715626318092</c:v>
                </c:pt>
                <c:pt idx="1785">
                  <c:v>2.9010247034287593</c:v>
                </c:pt>
                <c:pt idx="1786">
                  <c:v>2.8485242562376296</c:v>
                </c:pt>
                <c:pt idx="1787">
                  <c:v>2.7951888978849837</c:v>
                </c:pt>
                <c:pt idx="1788">
                  <c:v>2.741037543973408</c:v>
                </c:pt>
                <c:pt idx="1789">
                  <c:v>2.6860893422766496</c:v>
                </c:pt>
                <c:pt idx="1790">
                  <c:v>2.6303636660705649</c:v>
                </c:pt>
                <c:pt idx="1791">
                  <c:v>2.5738801074030375</c:v>
                </c:pt>
                <c:pt idx="1792">
                  <c:v>2.5166584703041122</c:v>
                </c:pt>
                <c:pt idx="1793">
                  <c:v>2.4587187639395536</c:v>
                </c:pt>
                <c:pt idx="1794">
                  <c:v>2.4000811957096699</c:v>
                </c:pt>
                <c:pt idx="1795">
                  <c:v>2.3407661642959394</c:v>
                </c:pt>
                <c:pt idx="1796">
                  <c:v>2.2807942526577176</c:v>
                </c:pt>
                <c:pt idx="1797">
                  <c:v>2.2201862209816046</c:v>
                </c:pt>
                <c:pt idx="1798">
                  <c:v>2.1589629995853143</c:v>
                </c:pt>
                <c:pt idx="1799">
                  <c:v>2.0971456817794203</c:v>
                </c:pt>
                <c:pt idx="1800">
                  <c:v>2.0347555166882008</c:v>
                </c:pt>
                <c:pt idx="1801">
                  <c:v>1.971813902032979</c:v>
                </c:pt>
                <c:pt idx="1802">
                  <c:v>1.9083423768798466</c:v>
                </c:pt>
                <c:pt idx="1803">
                  <c:v>1.8443626143543734</c:v>
                </c:pt>
                <c:pt idx="1804">
                  <c:v>1.7798964143256977</c:v>
                </c:pt>
                <c:pt idx="1805">
                  <c:v>1.7149656960626074</c:v>
                </c:pt>
                <c:pt idx="1806">
                  <c:v>1.649592490863514</c:v>
                </c:pt>
                <c:pt idx="1807">
                  <c:v>1.5837989346637977</c:v>
                </c:pt>
                <c:pt idx="1808">
                  <c:v>1.5176072606217164</c:v>
                </c:pt>
                <c:pt idx="1809">
                  <c:v>1.4510397916863838</c:v>
                </c:pt>
                <c:pt idx="1810">
                  <c:v>1.3841189331497039</c:v>
                </c:pt>
                <c:pt idx="1811">
                  <c:v>1.3168671651849058</c:v>
                </c:pt>
                <c:pt idx="1812">
                  <c:v>1.2493070353740845</c:v>
                </c:pt>
                <c:pt idx="1813">
                  <c:v>1.1814611512273752</c:v>
                </c:pt>
                <c:pt idx="1814">
                  <c:v>1.1133521726957998</c:v>
                </c:pt>
                <c:pt idx="1815">
                  <c:v>1.0450028046807935</c:v>
                </c:pt>
                <c:pt idx="1816">
                  <c:v>0.97643578954244703</c:v>
                </c:pt>
                <c:pt idx="1817">
                  <c:v>0.90767389960908029</c:v>
                </c:pt>
                <c:pt idx="1818">
                  <c:v>0.8387399296905661</c:v>
                </c:pt>
                <c:pt idx="1819">
                  <c:v>0.76965668959782552</c:v>
                </c:pt>
                <c:pt idx="1820">
                  <c:v>0.70044699667091914</c:v>
                </c:pt>
                <c:pt idx="1821">
                  <c:v>0.6311336683183032</c:v>
                </c:pt>
                <c:pt idx="1822">
                  <c:v>0.56173951456926596</c:v>
                </c:pt>
                <c:pt idx="1823">
                  <c:v>0.4922873306424943</c:v>
                </c:pt>
                <c:pt idx="1824">
                  <c:v>0.42279988953275743</c:v>
                </c:pt>
                <c:pt idx="1825">
                  <c:v>0.35329993461825798</c:v>
                </c:pt>
                <c:pt idx="1826">
                  <c:v>0.28381017229097388</c:v>
                </c:pt>
                <c:pt idx="1827">
                  <c:v>0.21435326461254089</c:v>
                </c:pt>
                <c:pt idx="1828">
                  <c:v>0.14495182199743359</c:v>
                </c:pt>
                <c:pt idx="1829">
                  <c:v>7.5628395926894645E-2</c:v>
                </c:pt>
                <c:pt idx="1830">
                  <c:v>6.4054716945763888E-3</c:v>
                </c:pt>
                <c:pt idx="1831">
                  <c:v>-6.2694538812678946E-2</c:v>
                </c:pt>
                <c:pt idx="1832">
                  <c:v>-0.13164930429722727</c:v>
                </c:pt>
                <c:pt idx="1833">
                  <c:v>-0.20043658119370961</c:v>
                </c:pt>
                <c:pt idx="1834">
                  <c:v>-0.26903422077063288</c:v>
                </c:pt>
                <c:pt idx="1835">
                  <c:v>-0.33742017618801157</c:v>
                </c:pt>
                <c:pt idx="1836">
                  <c:v>-0.40557250950944129</c:v>
                </c:pt>
                <c:pt idx="1837">
                  <c:v>-0.47346939866528931</c:v>
                </c:pt>
                <c:pt idx="1838">
                  <c:v>-0.54108914436616906</c:v>
                </c:pt>
                <c:pt idx="1839">
                  <c:v>-0.60841017696342503</c:v>
                </c:pt>
                <c:pt idx="1840">
                  <c:v>-0.67541106325507572</c:v>
                </c:pt>
                <c:pt idx="1841">
                  <c:v>-0.74207051323490825</c:v>
                </c:pt>
                <c:pt idx="1842">
                  <c:v>-0.80836738678267206</c:v>
                </c:pt>
                <c:pt idx="1843">
                  <c:v>-0.87428070029313942</c:v>
                </c:pt>
                <c:pt idx="1844">
                  <c:v>-0.9397896332423753</c:v>
                </c:pt>
                <c:pt idx="1845">
                  <c:v>-1.0048735346886579</c:v>
                </c:pt>
                <c:pt idx="1846">
                  <c:v>-1.0695119297064415</c:v>
                </c:pt>
                <c:pt idx="1847">
                  <c:v>-1.1336845257512282</c:v>
                </c:pt>
                <c:pt idx="1848">
                  <c:v>-1.1973712189534138</c:v>
                </c:pt>
                <c:pt idx="1849">
                  <c:v>-1.2605521003391942</c:v>
                </c:pt>
                <c:pt idx="1850">
                  <c:v>-1.323207461976645</c:v>
                </c:pt>
                <c:pt idx="1851">
                  <c:v>-1.3853178030449667</c:v>
                </c:pt>
                <c:pt idx="1852">
                  <c:v>-1.4468638358254144</c:v>
                </c:pt>
                <c:pt idx="1853">
                  <c:v>-1.507826491611614</c:v>
                </c:pt>
                <c:pt idx="1854">
                  <c:v>-1.568186926537839</c:v>
                </c:pt>
                <c:pt idx="1855">
                  <c:v>-1.6279265273233605</c:v>
                </c:pt>
                <c:pt idx="1856">
                  <c:v>-1.6870269169311816</c:v>
                </c:pt>
                <c:pt idx="1857">
                  <c:v>-1.7454699601393109</c:v>
                </c:pt>
                <c:pt idx="1858">
                  <c:v>-1.8032377690234207</c:v>
                </c:pt>
                <c:pt idx="1859">
                  <c:v>-1.8603127083483084</c:v>
                </c:pt>
                <c:pt idx="1860">
                  <c:v>-1.9166774008677323</c:v>
                </c:pt>
                <c:pt idx="1861">
                  <c:v>-1.9723147325300929</c:v>
                </c:pt>
                <c:pt idx="1862">
                  <c:v>-2.0272078575889605</c:v>
                </c:pt>
                <c:pt idx="1863">
                  <c:v>-2.0813402036167732</c:v>
                </c:pt>
                <c:pt idx="1864">
                  <c:v>-2.134695476420295</c:v>
                </c:pt>
                <c:pt idx="1865">
                  <c:v>-2.1872576648562627</c:v>
                </c:pt>
                <c:pt idx="1866">
                  <c:v>-2.2390110455462873</c:v>
                </c:pt>
                <c:pt idx="1867">
                  <c:v>-2.289940187488793</c:v>
                </c:pt>
                <c:pt idx="1868">
                  <c:v>-2.3400299565677276</c:v>
                </c:pt>
                <c:pt idx="1869">
                  <c:v>-2.3892655199558943</c:v>
                </c:pt>
                <c:pt idx="1870">
                  <c:v>-2.4376323504121173</c:v>
                </c:pt>
                <c:pt idx="1871">
                  <c:v>-2.4851162304709007</c:v>
                </c:pt>
                <c:pt idx="1872">
                  <c:v>-2.5317032565234139</c:v>
                </c:pt>
                <c:pt idx="1873">
                  <c:v>-2.5773798427885772</c:v>
                </c:pt>
                <c:pt idx="1874">
                  <c:v>-2.6221327251735267</c:v>
                </c:pt>
                <c:pt idx="1875">
                  <c:v>-2.6659489650216548</c:v>
                </c:pt>
                <c:pt idx="1876">
                  <c:v>-2.7088159527481253</c:v>
                </c:pt>
                <c:pt idx="1877">
                  <c:v>-2.7507214113611247</c:v>
                </c:pt>
                <c:pt idx="1878">
                  <c:v>-2.791653399868312</c:v>
                </c:pt>
                <c:pt idx="1879">
                  <c:v>-2.8316003165674291</c:v>
                </c:pt>
                <c:pt idx="1880">
                  <c:v>-2.8705509022202405</c:v>
                </c:pt>
                <c:pt idx="1881">
                  <c:v>-2.9084942431089642</c:v>
                </c:pt>
                <c:pt idx="1882">
                  <c:v>-2.9454197739743364</c:v>
                </c:pt>
                <c:pt idx="1883">
                  <c:v>-2.9813172808348707</c:v>
                </c:pt>
                <c:pt idx="1884">
                  <c:v>-3.0161769036860013</c:v>
                </c:pt>
                <c:pt idx="1885">
                  <c:v>-3.0499891390791847</c:v>
                </c:pt>
                <c:pt idx="1886">
                  <c:v>-3.0827448425797512</c:v>
                </c:pt>
                <c:pt idx="1887">
                  <c:v>-3.1144352311032057</c:v>
                </c:pt>
                <c:pt idx="1888">
                  <c:v>-3.1450518851293747</c:v>
                </c:pt>
                <c:pt idx="1889">
                  <c:v>-3.174586750793889</c:v>
                </c:pt>
                <c:pt idx="1890">
                  <c:v>-3.2030321418564855</c:v>
                </c:pt>
                <c:pt idx="1891">
                  <c:v>-3.2303807415459587</c:v>
                </c:pt>
                <c:pt idx="1892">
                  <c:v>-3.2566256042808752</c:v>
                </c:pt>
                <c:pt idx="1893">
                  <c:v>-3.2817601572663486</c:v>
                </c:pt>
                <c:pt idx="1894">
                  <c:v>-3.30577820196606</c:v>
                </c:pt>
                <c:pt idx="1895">
                  <c:v>-3.3286739154495311</c:v>
                </c:pt>
                <c:pt idx="1896">
                  <c:v>-3.3504418516143826</c:v>
                </c:pt>
                <c:pt idx="1897">
                  <c:v>-3.3710769422833704</c:v>
                </c:pt>
                <c:pt idx="1898">
                  <c:v>-3.3905744981760773</c:v>
                </c:pt>
                <c:pt idx="1899">
                  <c:v>-3.4089302097552592</c:v>
                </c:pt>
                <c:pt idx="1900">
                  <c:v>-3.426140147947625</c:v>
                </c:pt>
                <c:pt idx="1901">
                  <c:v>-3.4422007647391912</c:v>
                </c:pt>
                <c:pt idx="1902">
                  <c:v>-3.4571088936451848</c:v>
                </c:pt>
                <c:pt idx="1903">
                  <c:v>-3.4708617500545476</c:v>
                </c:pt>
                <c:pt idx="1904">
                  <c:v>-3.4834569314492163</c:v>
                </c:pt>
                <c:pt idx="1905">
                  <c:v>-3.4948924174982681</c:v>
                </c:pt>
                <c:pt idx="1906">
                  <c:v>-3.5051665700271513</c:v>
                </c:pt>
                <c:pt idx="1907">
                  <c:v>-3.5142781328622896</c:v>
                </c:pt>
                <c:pt idx="1908">
                  <c:v>-3.5222262315512229</c:v>
                </c:pt>
                <c:pt idx="1909">
                  <c:v>-3.5290103729587043</c:v>
                </c:pt>
                <c:pt idx="1910">
                  <c:v>-3.5346304447390708</c:v>
                </c:pt>
                <c:pt idx="1911">
                  <c:v>-3.5390867146852529</c:v>
                </c:pt>
                <c:pt idx="1912">
                  <c:v>-3.5423798299549194</c:v>
                </c:pt>
                <c:pt idx="1913">
                  <c:v>-3.5445108161741974</c:v>
                </c:pt>
                <c:pt idx="1914">
                  <c:v>-3.5454810764194549</c:v>
                </c:pt>
                <c:pt idx="1915">
                  <c:v>-3.5452923900777646</c:v>
                </c:pt>
                <c:pt idx="1916">
                  <c:v>-3.5439469115865783</c:v>
                </c:pt>
                <c:pt idx="1917">
                  <c:v>-3.5414471690532774</c:v>
                </c:pt>
                <c:pt idx="1918">
                  <c:v>-3.5377960627552554</c:v>
                </c:pt>
                <c:pt idx="1919">
                  <c:v>-3.5329968635212268</c:v>
                </c:pt>
                <c:pt idx="1920">
                  <c:v>-3.5270532109945365</c:v>
                </c:pt>
                <c:pt idx="1921">
                  <c:v>-3.5199691117792038</c:v>
                </c:pt>
                <c:pt idx="1922">
                  <c:v>-3.5117489374695774</c:v>
                </c:pt>
                <c:pt idx="1923">
                  <c:v>-3.502397422564381</c:v>
                </c:pt>
                <c:pt idx="1924">
                  <c:v>-3.4919196622661106</c:v>
                </c:pt>
                <c:pt idx="1925">
                  <c:v>-3.4803211101666642</c:v>
                </c:pt>
                <c:pt idx="1926">
                  <c:v>-3.4676075758201783</c:v>
                </c:pt>
                <c:pt idx="1927">
                  <c:v>-3.4537852222040599</c:v>
                </c:pt>
                <c:pt idx="1928">
                  <c:v>-3.4388605630692868</c:v>
                </c:pt>
                <c:pt idx="1929">
                  <c:v>-3.4228404601809221</c:v>
                </c:pt>
                <c:pt idx="1930">
                  <c:v>-3.4057321204501489</c:v>
                </c:pt>
                <c:pt idx="1931">
                  <c:v>-3.3875430929587087</c:v>
                </c:pt>
                <c:pt idx="1932">
                  <c:v>-3.3682812658771142</c:v>
                </c:pt>
                <c:pt idx="1933">
                  <c:v>-3.3479548632777232</c:v>
                </c:pt>
                <c:pt idx="1934">
                  <c:v>-3.3265724418439442</c:v>
                </c:pt>
                <c:pt idx="1935">
                  <c:v>-3.3041428874768033</c:v>
                </c:pt>
                <c:pt idx="1936">
                  <c:v>-3.2806754118002406</c:v>
                </c:pt>
                <c:pt idx="1937">
                  <c:v>-3.2561795485663256</c:v>
                </c:pt>
                <c:pt idx="1938">
                  <c:v>-3.2306651499618941</c:v>
                </c:pt>
                <c:pt idx="1939">
                  <c:v>-3.2041423828178939</c:v>
                </c:pt>
                <c:pt idx="1940">
                  <c:v>-3.1766217247228843</c:v>
                </c:pt>
                <c:pt idx="1941">
                  <c:v>-3.1481139600421284</c:v>
                </c:pt>
                <c:pt idx="1942">
                  <c:v>-3.1186301758437431</c:v>
                </c:pt>
                <c:pt idx="1943">
                  <c:v>-3.0881817577333996</c:v>
                </c:pt>
                <c:pt idx="1944">
                  <c:v>-3.0567803855991622</c:v>
                </c:pt>
                <c:pt idx="1945">
                  <c:v>-3.0244380292678521</c:v>
                </c:pt>
                <c:pt idx="1946">
                  <c:v>-2.9911669440747342</c:v>
                </c:pt>
                <c:pt idx="1947">
                  <c:v>-2.9569796663479564</c:v>
                </c:pt>
                <c:pt idx="1948">
                  <c:v>-2.9218890088094502</c:v>
                </c:pt>
                <c:pt idx="1949">
                  <c:v>-2.8859080558939132</c:v>
                </c:pt>
                <c:pt idx="1950">
                  <c:v>-2.8490501589876289</c:v>
                </c:pt>
                <c:pt idx="1951">
                  <c:v>-2.8113289315885566</c:v>
                </c:pt>
                <c:pt idx="1952">
                  <c:v>-2.7727582443899408</c:v>
                </c:pt>
                <c:pt idx="1953">
                  <c:v>-2.733352220288511</c:v>
                </c:pt>
                <c:pt idx="1954">
                  <c:v>-2.6931252293196102</c:v>
                </c:pt>
                <c:pt idx="1955">
                  <c:v>-2.6520918835207103</c:v>
                </c:pt>
                <c:pt idx="1956">
                  <c:v>-2.6102670317252441</c:v>
                </c:pt>
                <c:pt idx="1957">
                  <c:v>-2.5676657542885284</c:v>
                </c:pt>
                <c:pt idx="1958">
                  <c:v>-2.5243033577477414</c:v>
                </c:pt>
                <c:pt idx="1959">
                  <c:v>-2.4801953694174692</c:v>
                </c:pt>
                <c:pt idx="1960">
                  <c:v>-2.4353575319233505</c:v>
                </c:pt>
                <c:pt idx="1961">
                  <c:v>-2.3898057976749163</c:v>
                </c:pt>
                <c:pt idx="1962">
                  <c:v>-2.3435563232802004</c:v>
                </c:pt>
                <c:pt idx="1963">
                  <c:v>-2.2966254639036885</c:v>
                </c:pt>
                <c:pt idx="1964">
                  <c:v>-2.2490297675696711</c:v>
                </c:pt>
                <c:pt idx="1965">
                  <c:v>-2.200785969412911</c:v>
                </c:pt>
                <c:pt idx="1966">
                  <c:v>-2.1519109858787226</c:v>
                </c:pt>
                <c:pt idx="1967">
                  <c:v>-2.1024219088741569</c:v>
                </c:pt>
                <c:pt idx="1968">
                  <c:v>-2.0523359998726707</c:v>
                </c:pt>
                <c:pt idx="1969">
                  <c:v>-2.0016706839739995</c:v>
                </c:pt>
                <c:pt idx="1970">
                  <c:v>-1.950443543921377</c:v>
                </c:pt>
                <c:pt idx="1971">
                  <c:v>-1.8986723140780963</c:v>
                </c:pt>
                <c:pt idx="1972">
                  <c:v>-1.8463748743654738</c:v>
                </c:pt>
                <c:pt idx="1973">
                  <c:v>-1.7935692441642206</c:v>
                </c:pt>
                <c:pt idx="1974">
                  <c:v>-1.740273576181419</c:v>
                </c:pt>
                <c:pt idx="1975">
                  <c:v>-1.6865061502848495</c:v>
                </c:pt>
                <c:pt idx="1976">
                  <c:v>-1.6322853673071573</c:v>
                </c:pt>
                <c:pt idx="1977">
                  <c:v>-1.5776297428216175</c:v>
                </c:pt>
                <c:pt idx="1978">
                  <c:v>-1.5225579008917174</c:v>
                </c:pt>
                <c:pt idx="1979">
                  <c:v>-1.4670885677965904</c:v>
                </c:pt>
                <c:pt idx="1980">
                  <c:v>-1.4112405657345513</c:v>
                </c:pt>
                <c:pt idx="1981">
                  <c:v>-1.3550328065063488</c:v>
                </c:pt>
                <c:pt idx="1982">
                  <c:v>-1.2984842851811185</c:v>
                </c:pt>
                <c:pt idx="1983">
                  <c:v>-1.2416140737460564</c:v>
                </c:pt>
                <c:pt idx="1984">
                  <c:v>-1.1844413147428052</c:v>
                </c:pt>
                <c:pt idx="1985">
                  <c:v>-1.1269852148921684</c:v>
                </c:pt>
                <c:pt idx="1986">
                  <c:v>-1.0692650387094156</c:v>
                </c:pt>
                <c:pt idx="1987">
                  <c:v>-1.0113001021122283</c:v>
                </c:pt>
                <c:pt idx="1988">
                  <c:v>-0.9531097660235528</c:v>
                </c:pt>
                <c:pt idx="1989">
                  <c:v>-0.89471342997094727</c:v>
                </c:pt>
                <c:pt idx="1990">
                  <c:v>-0.83613052568545698</c:v>
                </c:pt>
                <c:pt idx="1991">
                  <c:v>-0.77738051070097292</c:v>
                </c:pt>
                <c:pt idx="1992">
                  <c:v>-0.7184828619570871</c:v>
                </c:pt>
                <c:pt idx="1993">
                  <c:v>-0.65945706940703053</c:v>
                </c:pt>
                <c:pt idx="1994">
                  <c:v>-0.60032262963293148</c:v>
                </c:pt>
                <c:pt idx="1995">
                  <c:v>-0.54109903947041438</c:v>
                </c:pt>
                <c:pt idx="1996">
                  <c:v>-0.48180578964476894</c:v>
                </c:pt>
                <c:pt idx="1997">
                  <c:v>-0.422462358420235</c:v>
                </c:pt>
                <c:pt idx="1998">
                  <c:v>-0.36308820526540075</c:v>
                </c:pt>
                <c:pt idx="1999">
                  <c:v>-0.30370276453559775</c:v>
                </c:pt>
                <c:pt idx="2000">
                  <c:v>-0.24432543917526939</c:v>
                </c:pt>
                <c:pt idx="2001">
                  <c:v>-0.18497559444182607</c:v>
                </c:pt>
                <c:pt idx="2002">
                  <c:v>-0.12567255165315749</c:v>
                </c:pt>
                <c:pt idx="2003">
                  <c:v>-6.6435581960754095E-2</c:v>
                </c:pt>
                <c:pt idx="2004">
                  <c:v>-7.283900150562044E-3</c:v>
                </c:pt>
                <c:pt idx="2005">
                  <c:v>5.1763341526778424E-2</c:v>
                </c:pt>
                <c:pt idx="2006">
                  <c:v>0.11068705949402716</c:v>
                </c:pt>
                <c:pt idx="2007">
                  <c:v>0.16946824495184593</c:v>
                </c:pt>
                <c:pt idx="2008">
                  <c:v>0.22808796994796526</c:v>
                </c:pt>
                <c:pt idx="2009">
                  <c:v>0.28652739340911698</c:v>
                </c:pt>
                <c:pt idx="2010">
                  <c:v>0.3447677671335117</c:v>
                </c:pt>
                <c:pt idx="2011">
                  <c:v>0.40279044174232181</c:v>
                </c:pt>
                <c:pt idx="2012">
                  <c:v>0.46057687258802293</c:v>
                </c:pt>
                <c:pt idx="2013">
                  <c:v>0.51810862561809223</c:v>
                </c:pt>
                <c:pt idx="2014">
                  <c:v>0.57536738319190373</c:v>
                </c:pt>
                <c:pt idx="2015">
                  <c:v>0.63233494984903471</c:v>
                </c:pt>
                <c:pt idx="2016">
                  <c:v>0.6889932580273711</c:v>
                </c:pt>
                <c:pt idx="2017">
                  <c:v>0.74532437372924953</c:v>
                </c:pt>
                <c:pt idx="2018">
                  <c:v>0.80131050213357768</c:v>
                </c:pt>
                <c:pt idx="2019">
                  <c:v>0.85693399315252516</c:v>
                </c:pt>
                <c:pt idx="2020">
                  <c:v>0.91217734693080921</c:v>
                </c:pt>
                <c:pt idx="2021">
                  <c:v>0.9670232192862156</c:v>
                </c:pt>
                <c:pt idx="2022">
                  <c:v>1.0214544270893735</c:v>
                </c:pt>
                <c:pt idx="2023">
                  <c:v>1.0754539535811618</c:v>
                </c:pt>
                <c:pt idx="2024">
                  <c:v>1.1290049536263065</c:v>
                </c:pt>
                <c:pt idx="2025">
                  <c:v>1.1820907589015726</c:v>
                </c:pt>
                <c:pt idx="2026">
                  <c:v>1.2346948830166931</c:v>
                </c:pt>
                <c:pt idx="2027">
                  <c:v>1.2868010265667942</c:v>
                </c:pt>
                <c:pt idx="2028">
                  <c:v>1.3383930821145433</c:v>
                </c:pt>
                <c:pt idx="2029">
                  <c:v>1.3894551391008514</c:v>
                </c:pt>
                <c:pt idx="2030">
                  <c:v>1.4399714886822226</c:v>
                </c:pt>
                <c:pt idx="2031">
                  <c:v>1.4899266284937538</c:v>
                </c:pt>
                <c:pt idx="2032">
                  <c:v>1.5393052673358261</c:v>
                </c:pt>
                <c:pt idx="2033">
                  <c:v>1.5880923297837983</c:v>
                </c:pt>
                <c:pt idx="2034">
                  <c:v>1.6362729607186672</c:v>
                </c:pt>
                <c:pt idx="2035">
                  <c:v>1.6838325297777696</c:v>
                </c:pt>
                <c:pt idx="2036">
                  <c:v>1.7307566357239768</c:v>
                </c:pt>
                <c:pt idx="2037">
                  <c:v>1.7770311107324082</c:v>
                </c:pt>
                <c:pt idx="2038">
                  <c:v>1.8226420245930113</c:v>
                </c:pt>
                <c:pt idx="2039">
                  <c:v>1.8675756888282031</c:v>
                </c:pt>
                <c:pt idx="2040">
                  <c:v>1.9118186607238881</c:v>
                </c:pt>
                <c:pt idx="2041">
                  <c:v>1.9553577472733386</c:v>
                </c:pt>
                <c:pt idx="2042">
                  <c:v>1.9981800090321942</c:v>
                </c:pt>
                <c:pt idx="2043">
                  <c:v>2.0402727638838503</c:v>
                </c:pt>
                <c:pt idx="2044">
                  <c:v>2.0816235907139702</c:v>
                </c:pt>
                <c:pt idx="2045">
                  <c:v>2.1222203329933329</c:v>
                </c:pt>
                <c:pt idx="2046">
                  <c:v>2.1620511022676929</c:v>
                </c:pt>
                <c:pt idx="2047">
                  <c:v>2.2011042815539179</c:v>
                </c:pt>
                <c:pt idx="2048">
                  <c:v>2.2393685286413829</c:v>
                </c:pt>
                <c:pt idx="2049">
                  <c:v>2.2768327792977132</c:v>
                </c:pt>
                <c:pt idx="2050">
                  <c:v>2.3134862503780114</c:v>
                </c:pt>
                <c:pt idx="2051">
                  <c:v>2.3493184428367413</c:v>
                </c:pt>
                <c:pt idx="2052">
                  <c:v>2.3843191446413812</c:v>
                </c:pt>
                <c:pt idx="2053">
                  <c:v>2.4184784335872704</c:v>
                </c:pt>
                <c:pt idx="2054">
                  <c:v>2.4517866800126464</c:v>
                </c:pt>
                <c:pt idx="2055">
                  <c:v>2.4842345494133702</c:v>
                </c:pt>
                <c:pt idx="2056">
                  <c:v>2.5158130049565077</c:v>
                </c:pt>
                <c:pt idx="2057">
                  <c:v>2.5465133098924193</c:v>
                </c:pt>
                <c:pt idx="2058">
                  <c:v>2.5763270298642733</c:v>
                </c:pt>
                <c:pt idx="2059">
                  <c:v>2.6052460351149112</c:v>
                </c:pt>
                <c:pt idx="2060">
                  <c:v>2.633262502590179</c:v>
                </c:pt>
                <c:pt idx="2061">
                  <c:v>2.6603689179384653</c:v>
                </c:pt>
                <c:pt idx="2062">
                  <c:v>2.6865580774057842</c:v>
                </c:pt>
                <c:pt idx="2063">
                  <c:v>2.711823089626102</c:v>
                </c:pt>
                <c:pt idx="2064">
                  <c:v>2.7361573773064225</c:v>
                </c:pt>
                <c:pt idx="2065">
                  <c:v>2.75955467880646</c:v>
                </c:pt>
                <c:pt idx="2066">
                  <c:v>2.7820090496122285</c:v>
                </c:pt>
                <c:pt idx="2067">
                  <c:v>2.8035148637036418</c:v>
                </c:pt>
                <c:pt idx="2068">
                  <c:v>2.8240668148155716</c:v>
                </c:pt>
                <c:pt idx="2069">
                  <c:v>2.8436599175923667</c:v>
                </c:pt>
                <c:pt idx="2070">
                  <c:v>2.8622895086354689</c:v>
                </c:pt>
                <c:pt idx="2071">
                  <c:v>2.8799512474440858</c:v>
                </c:pt>
                <c:pt idx="2072">
                  <c:v>2.8966411172487558</c:v>
                </c:pt>
                <c:pt idx="2073">
                  <c:v>2.9123554257377897</c:v>
                </c:pt>
                <c:pt idx="2074">
                  <c:v>2.9270908056764839</c:v>
                </c:pt>
                <c:pt idx="2075">
                  <c:v>2.940844215419061</c:v>
                </c:pt>
                <c:pt idx="2076">
                  <c:v>2.9536129393134885</c:v>
                </c:pt>
                <c:pt idx="2077">
                  <c:v>2.965394587999155</c:v>
                </c:pt>
                <c:pt idx="2078">
                  <c:v>2.9761870985974812</c:v>
                </c:pt>
                <c:pt idx="2079">
                  <c:v>2.9859887347956526</c:v>
                </c:pt>
                <c:pt idx="2080">
                  <c:v>2.9947980868235922</c:v>
                </c:pt>
                <c:pt idx="2081">
                  <c:v>3.0026140713244343</c:v>
                </c:pt>
                <c:pt idx="2082">
                  <c:v>3.0094359311186674</c:v>
                </c:pt>
                <c:pt idx="2083">
                  <c:v>3.015263234862227</c:v>
                </c:pt>
                <c:pt idx="2084">
                  <c:v>3.0200958765988979</c:v>
                </c:pt>
                <c:pt idx="2085">
                  <c:v>3.0239340752072996</c:v>
                </c:pt>
                <c:pt idx="2086">
                  <c:v>3.0267783737428591</c:v>
                </c:pt>
                <c:pt idx="2087">
                  <c:v>3.0286296386751421</c:v>
                </c:pt>
                <c:pt idx="2088">
                  <c:v>3.029489059021039</c:v>
                </c:pt>
                <c:pt idx="2089">
                  <c:v>3.0293581453742138</c:v>
                </c:pt>
                <c:pt idx="2090">
                  <c:v>3.0282387288313588</c:v>
                </c:pt>
                <c:pt idx="2091">
                  <c:v>3.026132959815778</c:v>
                </c:pt>
                <c:pt idx="2092">
                  <c:v>3.0230433067988796</c:v>
                </c:pt>
                <c:pt idx="2093">
                  <c:v>3.0189725549201474</c:v>
                </c:pt>
                <c:pt idx="2094">
                  <c:v>3.0139238045062791</c:v>
                </c:pt>
                <c:pt idx="2095">
                  <c:v>3.0079004694901057</c:v>
                </c:pt>
                <c:pt idx="2096">
                  <c:v>3.0009062757300193</c:v>
                </c:pt>
                <c:pt idx="2097">
                  <c:v>2.9929452592306163</c:v>
                </c:pt>
                <c:pt idx="2098">
                  <c:v>2.9840217642653388</c:v>
                </c:pt>
                <c:pt idx="2099">
                  <c:v>2.9741404414018748</c:v>
                </c:pt>
                <c:pt idx="2100">
                  <c:v>2.9633062454312005</c:v>
                </c:pt>
                <c:pt idx="2101">
                  <c:v>2.9515244332009876</c:v>
                </c:pt>
                <c:pt idx="2102">
                  <c:v>2.9388005613544128</c:v>
                </c:pt>
                <c:pt idx="2103">
                  <c:v>2.9251404839751562</c:v>
                </c:pt>
                <c:pt idx="2104">
                  <c:v>2.9105503501396059</c:v>
                </c:pt>
                <c:pt idx="2105">
                  <c:v>2.8950366013771602</c:v>
                </c:pt>
                <c:pt idx="2106">
                  <c:v>2.8786059690396981</c:v>
                </c:pt>
                <c:pt idx="2107">
                  <c:v>2.8612654715811709</c:v>
                </c:pt>
                <c:pt idx="2108">
                  <c:v>2.8430224117484815</c:v>
                </c:pt>
                <c:pt idx="2109">
                  <c:v>2.8238843736845198</c:v>
                </c:pt>
                <c:pt idx="2110">
                  <c:v>2.803859219944695</c:v>
                </c:pt>
                <c:pt idx="2111">
                  <c:v>2.7829550884279315</c:v>
                </c:pt>
                <c:pt idx="2112">
                  <c:v>2.7611803892233762</c:v>
                </c:pt>
                <c:pt idx="2113">
                  <c:v>2.738543801373901</c:v>
                </c:pt>
                <c:pt idx="2114">
                  <c:v>2.7150542695577289</c:v>
                </c:pt>
                <c:pt idx="2115">
                  <c:v>2.6907210006893183</c:v>
                </c:pt>
                <c:pt idx="2116">
                  <c:v>2.6655534604408162</c:v>
                </c:pt>
                <c:pt idx="2117">
                  <c:v>2.6395613696853126</c:v>
                </c:pt>
                <c:pt idx="2118">
                  <c:v>2.6127547008632472</c:v>
                </c:pt>
                <c:pt idx="2119">
                  <c:v>2.5851436742732488</c:v>
                </c:pt>
                <c:pt idx="2120">
                  <c:v>2.5567387542888285</c:v>
                </c:pt>
                <c:pt idx="2121">
                  <c:v>2.5275506455021408</c:v>
                </c:pt>
                <c:pt idx="2122">
                  <c:v>2.4975902887964012</c:v>
                </c:pt>
                <c:pt idx="2123">
                  <c:v>2.4668688573482185</c:v>
                </c:pt>
                <c:pt idx="2124">
                  <c:v>2.4353977525614154</c:v>
                </c:pt>
                <c:pt idx="2125">
                  <c:v>2.4031885999335012</c:v>
                </c:pt>
                <c:pt idx="2126">
                  <c:v>2.3702532448567326</c:v>
                </c:pt>
                <c:pt idx="2127">
                  <c:v>2.3366037483547895</c:v>
                </c:pt>
                <c:pt idx="2128">
                  <c:v>2.302252382756838</c:v>
                </c:pt>
                <c:pt idx="2129">
                  <c:v>2.2672116273104921</c:v>
                </c:pt>
                <c:pt idx="2130">
                  <c:v>2.2314941637350199</c:v>
                </c:pt>
                <c:pt idx="2131">
                  <c:v>2.195112871716657</c:v>
                </c:pt>
                <c:pt idx="2132">
                  <c:v>2.1580808243472829</c:v>
                </c:pt>
                <c:pt idx="2133">
                  <c:v>2.1204112835084312</c:v>
                </c:pt>
                <c:pt idx="2134">
                  <c:v>2.0821176952017417</c:v>
                </c:pt>
                <c:pt idx="2135">
                  <c:v>2.043213684827959</c:v>
                </c:pt>
                <c:pt idx="2136">
                  <c:v>2.0037130524158004</c:v>
                </c:pt>
                <c:pt idx="2137">
                  <c:v>1.9636297678025432</c:v>
                </c:pt>
                <c:pt idx="2138">
                  <c:v>1.9229779657677279</c:v>
                </c:pt>
                <c:pt idx="2139">
                  <c:v>1.881771941121974</c:v>
                </c:pt>
                <c:pt idx="2140">
                  <c:v>1.8400261437523364</c:v>
                </c:pt>
                <c:pt idx="2141">
                  <c:v>1.7977551736261137</c:v>
                </c:pt>
                <c:pt idx="2142">
                  <c:v>1.7549737757544412</c:v>
                </c:pt>
                <c:pt idx="2143">
                  <c:v>1.7116968351179709</c:v>
                </c:pt>
                <c:pt idx="2144">
                  <c:v>1.6679393715557658</c:v>
                </c:pt>
                <c:pt idx="2145">
                  <c:v>1.6237165346195943</c:v>
                </c:pt>
                <c:pt idx="2146">
                  <c:v>1.5790435983949924</c:v>
                </c:pt>
                <c:pt idx="2147">
                  <c:v>1.5339359562911994</c:v>
                </c:pt>
                <c:pt idx="2148">
                  <c:v>1.4884091158014592</c:v>
                </c:pt>
                <c:pt idx="2149">
                  <c:v>1.4424786932356664</c:v>
                </c:pt>
                <c:pt idx="2150">
                  <c:v>1.3961604084267472</c:v>
                </c:pt>
                <c:pt idx="2151">
                  <c:v>1.3494700794131602</c:v>
                </c:pt>
                <c:pt idx="2152">
                  <c:v>1.3024236170986669</c:v>
                </c:pt>
                <c:pt idx="2153">
                  <c:v>1.2550370198916316</c:v>
                </c:pt>
                <c:pt idx="2154">
                  <c:v>1.2073263683252433</c:v>
                </c:pt>
                <c:pt idx="2155">
                  <c:v>1.1593078196608255</c:v>
                </c:pt>
                <c:pt idx="2156">
                  <c:v>1.1109976024757444</c:v>
                </c:pt>
                <c:pt idx="2157">
                  <c:v>1.0624120112379434</c:v>
                </c:pt>
                <c:pt idx="2158">
                  <c:v>1.0135674008684845</c:v>
                </c:pt>
                <c:pt idx="2159">
                  <c:v>0.96448018129455604</c:v>
                </c:pt>
                <c:pt idx="2160">
                  <c:v>0.91516681199406125</c:v>
                </c:pt>
                <c:pt idx="2161">
                  <c:v>0.86564379653409673</c:v>
                </c:pt>
                <c:pt idx="2162">
                  <c:v>0.81592767710469072</c:v>
                </c:pt>
                <c:pt idx="2163">
                  <c:v>0.76603502904999732</c:v>
                </c:pt>
                <c:pt idx="2164">
                  <c:v>0.71598245539843153</c:v>
                </c:pt>
                <c:pt idx="2165">
                  <c:v>0.66578658139376523</c:v>
                </c:pt>
                <c:pt idx="2166">
                  <c:v>0.6154640490286668</c:v>
                </c:pt>
                <c:pt idx="2167">
                  <c:v>0.56503151158274811</c:v>
                </c:pt>
                <c:pt idx="2168">
                  <c:v>0.51450562816686651</c:v>
                </c:pt>
                <c:pt idx="2169">
                  <c:v>0.46390305827530015</c:v>
                </c:pt>
                <c:pt idx="2170">
                  <c:v>0.41324045634753509</c:v>
                </c:pt>
                <c:pt idx="2171">
                  <c:v>0.36253446634169934</c:v>
                </c:pt>
                <c:pt idx="2172">
                  <c:v>0.31180171632110182</c:v>
                </c:pt>
                <c:pt idx="2173">
                  <c:v>0.26105881305585193</c:v>
                </c:pt>
                <c:pt idx="2174">
                  <c:v>0.21032233664099831</c:v>
                </c:pt>
                <c:pt idx="2175">
                  <c:v>0.15960883513319352</c:v>
                </c:pt>
                <c:pt idx="2176">
                  <c:v>0.10893481920757857</c:v>
                </c:pt>
                <c:pt idx="2177">
                  <c:v>5.8316756836439346E-2</c:v>
                </c:pt>
                <c:pt idx="2178">
                  <c:v>7.7710679913091862E-3</c:v>
                </c:pt>
                <c:pt idx="2179">
                  <c:v>-4.2685880629515331E-2</c:v>
                </c:pt>
                <c:pt idx="2180">
                  <c:v>-9.3037780846668597E-2</c:v>
                </c:pt>
                <c:pt idx="2181">
                  <c:v>-0.14326838821671981</c:v>
                </c:pt>
                <c:pt idx="2182">
                  <c:v>-0.19336152721914956</c:v>
                </c:pt>
                <c:pt idx="2183">
                  <c:v>-0.24330109641124875</c:v>
                </c:pt>
                <c:pt idx="2184">
                  <c:v>-0.29307107354974576</c:v>
                </c:pt>
                <c:pt idx="2185">
                  <c:v>-0.34265552067702187</c:v>
                </c:pt>
                <c:pt idx="2186">
                  <c:v>-0.39203858917102469</c:v>
                </c:pt>
                <c:pt idx="2187">
                  <c:v>-0.44120452475660998</c:v>
                </c:pt>
                <c:pt idx="2188">
                  <c:v>-0.49013767247717682</c:v>
                </c:pt>
                <c:pt idx="2189">
                  <c:v>-0.53882248162479518</c:v>
                </c:pt>
                <c:pt idx="2190">
                  <c:v>-0.58724351062759395</c:v>
                </c:pt>
                <c:pt idx="2191">
                  <c:v>-0.63538543189249452</c:v>
                </c:pt>
                <c:pt idx="2192">
                  <c:v>-0.68323303660220802</c:v>
                </c:pt>
                <c:pt idx="2193">
                  <c:v>-0.73077123946449551</c:v>
                </c:pt>
                <c:pt idx="2194">
                  <c:v>-0.77798508341292238</c:v>
                </c:pt>
                <c:pt idx="2195">
                  <c:v>-0.82485974425697794</c:v>
                </c:pt>
                <c:pt idx="2196">
                  <c:v>-0.87138053528057113</c:v>
                </c:pt>
                <c:pt idx="2197">
                  <c:v>-0.91753291178723573</c:v>
                </c:pt>
                <c:pt idx="2198">
                  <c:v>-0.96330247559095883</c:v>
                </c:pt>
                <c:pt idx="2199">
                  <c:v>-1.0086749794508811</c:v>
                </c:pt>
                <c:pt idx="2200">
                  <c:v>-1.0536363314489214</c:v>
                </c:pt>
                <c:pt idx="2201">
                  <c:v>-1.0981725993085105</c:v>
                </c:pt>
                <c:pt idx="2202">
                  <c:v>-1.1422700146537859</c:v>
                </c:pt>
                <c:pt idx="2203">
                  <c:v>-1.185914977207325</c:v>
                </c:pt>
                <c:pt idx="2204">
                  <c:v>-1.2290940589255615</c:v>
                </c:pt>
                <c:pt idx="2205">
                  <c:v>-1.2717940080704171</c:v>
                </c:pt>
                <c:pt idx="2206">
                  <c:v>-1.3140017532162025</c:v>
                </c:pt>
                <c:pt idx="2207">
                  <c:v>-1.3557044071902655</c:v>
                </c:pt>
                <c:pt idx="2208">
                  <c:v>-1.3968892709464866</c:v>
                </c:pt>
                <c:pt idx="2209">
                  <c:v>-1.4375438373702574</c:v>
                </c:pt>
                <c:pt idx="2210">
                  <c:v>-1.4776557950141995</c:v>
                </c:pt>
                <c:pt idx="2211">
                  <c:v>-1.5172130317629355</c:v>
                </c:pt>
                <c:pt idx="2212">
                  <c:v>-1.5562036384264522</c:v>
                </c:pt>
                <c:pt idx="2213">
                  <c:v>-1.5946159122605674</c:v>
                </c:pt>
                <c:pt idx="2214">
                  <c:v>-1.6324383604138213</c:v>
                </c:pt>
                <c:pt idx="2215">
                  <c:v>-1.6696597032994913</c:v>
                </c:pt>
                <c:pt idx="2216">
                  <c:v>-1.7062688778920034</c:v>
                </c:pt>
                <c:pt idx="2217">
                  <c:v>-1.7422550409465933</c:v>
                </c:pt>
                <c:pt idx="2218">
                  <c:v>-1.777607572141656</c:v>
                </c:pt>
                <c:pt idx="2219">
                  <c:v>-1.812316077142357</c:v>
                </c:pt>
                <c:pt idx="2220">
                  <c:v>-1.846370390585186</c:v>
                </c:pt>
                <c:pt idx="2221">
                  <c:v>-1.8797605789822476</c:v>
                </c:pt>
                <c:pt idx="2222">
                  <c:v>-1.9124769435447533</c:v>
                </c:pt>
                <c:pt idx="2223">
                  <c:v>-1.944510022924691</c:v>
                </c:pt>
                <c:pt idx="2224">
                  <c:v>-1.9758505958741293</c:v>
                </c:pt>
                <c:pt idx="2225">
                  <c:v>-2.0064896838212563</c:v>
                </c:pt>
                <c:pt idx="2226">
                  <c:v>-2.0364185533627528</c:v>
                </c:pt>
                <c:pt idx="2227">
                  <c:v>-2.0656287186713933</c:v>
                </c:pt>
                <c:pt idx="2228">
                  <c:v>-2.0941119438186955</c:v>
                </c:pt>
                <c:pt idx="2229">
                  <c:v>-2.1218602450116815</c:v>
                </c:pt>
                <c:pt idx="2230">
                  <c:v>-2.1488658927434248</c:v>
                </c:pt>
                <c:pt idx="2231">
                  <c:v>-2.1751214138566137</c:v>
                </c:pt>
                <c:pt idx="2232">
                  <c:v>-2.2006195935197819</c:v>
                </c:pt>
                <c:pt idx="2233">
                  <c:v>-2.2253534771155947</c:v>
                </c:pt>
                <c:pt idx="2234">
                  <c:v>-2.2493163720408851</c:v>
                </c:pt>
                <c:pt idx="2235">
                  <c:v>-2.2725018494178801</c:v>
                </c:pt>
                <c:pt idx="2236">
                  <c:v>-2.2949037457161974</c:v>
                </c:pt>
                <c:pt idx="2237">
                  <c:v>-2.3165161642853844</c:v>
                </c:pt>
                <c:pt idx="2238">
                  <c:v>-2.3373334767975971</c:v>
                </c:pt>
                <c:pt idx="2239">
                  <c:v>-2.3573503246000218</c:v>
                </c:pt>
                <c:pt idx="2240">
                  <c:v>-2.37656161997691</c:v>
                </c:pt>
                <c:pt idx="2241">
                  <c:v>-2.3949625473208287</c:v>
                </c:pt>
                <c:pt idx="2242">
                  <c:v>-2.4125485642130626</c:v>
                </c:pt>
                <c:pt idx="2243">
                  <c:v>-2.4293154024128789</c:v>
                </c:pt>
                <c:pt idx="2244">
                  <c:v>-2.4452590687554547</c:v>
                </c:pt>
                <c:pt idx="2245">
                  <c:v>-2.4603758459584668</c:v>
                </c:pt>
                <c:pt idx="2246">
                  <c:v>-2.4746622933371882</c:v>
                </c:pt>
                <c:pt idx="2247">
                  <c:v>-2.4881152474279724</c:v>
                </c:pt>
                <c:pt idx="2248">
                  <c:v>-2.5007318225201569</c:v>
                </c:pt>
                <c:pt idx="2249">
                  <c:v>-2.5125094110963295</c:v>
                </c:pt>
                <c:pt idx="2250">
                  <c:v>-2.5234456841810373</c:v>
                </c:pt>
                <c:pt idx="2251">
                  <c:v>-2.5335385915979387</c:v>
                </c:pt>
                <c:pt idx="2252">
                  <c:v>-2.5427863621354607</c:v>
                </c:pt>
                <c:pt idx="2253">
                  <c:v>-2.5511875036211573</c:v>
                </c:pt>
                <c:pt idx="2254">
                  <c:v>-2.5587408029048313</c:v>
                </c:pt>
                <c:pt idx="2255">
                  <c:v>-2.5654453257506256</c:v>
                </c:pt>
                <c:pt idx="2256">
                  <c:v>-2.5713004166382811</c:v>
                </c:pt>
                <c:pt idx="2257">
                  <c:v>-2.5763056984737673</c:v>
                </c:pt>
                <c:pt idx="2258">
                  <c:v>-2.5804610722095696</c:v>
                </c:pt>
                <c:pt idx="2259">
                  <c:v>-2.5837667163749298</c:v>
                </c:pt>
                <c:pt idx="2260">
                  <c:v>-2.5862230865163132</c:v>
                </c:pt>
                <c:pt idx="2261">
                  <c:v>-2.5878309145484759</c:v>
                </c:pt>
                <c:pt idx="2262">
                  <c:v>-2.5885912080165094</c:v>
                </c:pt>
                <c:pt idx="2263">
                  <c:v>-2.5885052492692573</c:v>
                </c:pt>
                <c:pt idx="2264">
                  <c:v>-2.5875745945445199</c:v>
                </c:pt>
                <c:pt idx="2265">
                  <c:v>-2.5858010729665319</c:v>
                </c:pt>
                <c:pt idx="2266">
                  <c:v>-2.5831867854561752</c:v>
                </c:pt>
                <c:pt idx="2267">
                  <c:v>-2.5797341035544514</c:v>
                </c:pt>
                <c:pt idx="2268">
                  <c:v>-2.5754456681597495</c:v>
                </c:pt>
                <c:pt idx="2269">
                  <c:v>-2.5703243881794871</c:v>
                </c:pt>
                <c:pt idx="2270">
                  <c:v>-2.5643734390967095</c:v>
                </c:pt>
                <c:pt idx="2271">
                  <c:v>-2.5575962614522574</c:v>
                </c:pt>
                <c:pt idx="2272">
                  <c:v>-2.5499965592431915</c:v>
                </c:pt>
                <c:pt idx="2273">
                  <c:v>-2.5415782982380897</c:v>
                </c:pt>
                <c:pt idx="2274">
                  <c:v>-2.5323457042099782</c:v>
                </c:pt>
                <c:pt idx="2275">
                  <c:v>-2.5223032610875675</c:v>
                </c:pt>
                <c:pt idx="2276">
                  <c:v>-2.5114557090255838</c:v>
                </c:pt>
                <c:pt idx="2277">
                  <c:v>-2.49980804239493</c:v>
                </c:pt>
                <c:pt idx="2278">
                  <c:v>-2.4873655076935766</c:v>
                </c:pt>
                <c:pt idx="2279">
                  <c:v>-2.4741336013788251</c:v>
                </c:pt>
                <c:pt idx="2280">
                  <c:v>-2.4601180676219907</c:v>
                </c:pt>
                <c:pt idx="2281">
                  <c:v>-2.4453248959862468</c:v>
                </c:pt>
                <c:pt idx="2282">
                  <c:v>-2.4297603190286061</c:v>
                </c:pt>
                <c:pt idx="2283">
                  <c:v>-2.4134308098268646</c:v>
                </c:pt>
                <c:pt idx="2284">
                  <c:v>-2.3963430794325715</c:v>
                </c:pt>
                <c:pt idx="2285">
                  <c:v>-2.378504074250861</c:v>
                </c:pt>
                <c:pt idx="2286">
                  <c:v>-2.3599209733483053</c:v>
                </c:pt>
                <c:pt idx="2287">
                  <c:v>-2.3406011856895539</c:v>
                </c:pt>
                <c:pt idx="2288">
                  <c:v>-2.3205523473040355</c:v>
                </c:pt>
                <c:pt idx="2289">
                  <c:v>-2.2997823183836128</c:v>
                </c:pt>
                <c:pt idx="2290">
                  <c:v>-2.2782991803123558</c:v>
                </c:pt>
                <c:pt idx="2291">
                  <c:v>-2.256111232629423</c:v>
                </c:pt>
                <c:pt idx="2292">
                  <c:v>-2.2332269899262909</c:v>
                </c:pt>
                <c:pt idx="2293">
                  <c:v>-2.209655178679315</c:v>
                </c:pt>
                <c:pt idx="2294">
                  <c:v>-2.1854047340190053</c:v>
                </c:pt>
                <c:pt idx="2295">
                  <c:v>-2.1604847964368297</c:v>
                </c:pt>
                <c:pt idx="2296">
                  <c:v>-2.1349047084310957</c:v>
                </c:pt>
                <c:pt idx="2297">
                  <c:v>-2.1086740110928872</c:v>
                </c:pt>
                <c:pt idx="2298">
                  <c:v>-2.0818024406333993</c:v>
                </c:pt>
                <c:pt idx="2299">
                  <c:v>-2.0542999248537659</c:v>
                </c:pt>
                <c:pt idx="2300">
                  <c:v>-2.0261765795588325</c:v>
                </c:pt>
                <c:pt idx="2301">
                  <c:v>-1.9974427049159758</c:v>
                </c:pt>
                <c:pt idx="2302">
                  <c:v>-1.9681087817604079</c:v>
                </c:pt>
                <c:pt idx="2303">
                  <c:v>-1.938185467848015</c:v>
                </c:pt>
                <c:pt idx="2304">
                  <c:v>-1.9076835940574386</c:v>
                </c:pt>
                <c:pt idx="2305">
                  <c:v>-1.8766141605423414</c:v>
                </c:pt>
                <c:pt idx="2306">
                  <c:v>-1.8449883328354824</c:v>
                </c:pt>
                <c:pt idx="2307">
                  <c:v>-1.8128174379057398</c:v>
                </c:pt>
                <c:pt idx="2308">
                  <c:v>-1.7801129601696646</c:v>
                </c:pt>
                <c:pt idx="2309">
                  <c:v>-1.7468865374587836</c:v>
                </c:pt>
                <c:pt idx="2310">
                  <c:v>-1.7131499569442077</c:v>
                </c:pt>
                <c:pt idx="2311">
                  <c:v>-1.6789151510196525</c:v>
                </c:pt>
                <c:pt idx="2312">
                  <c:v>-1.6441941931447543</c:v>
                </c:pt>
                <c:pt idx="2313">
                  <c:v>-1.6089992936496555</c:v>
                </c:pt>
                <c:pt idx="2314">
                  <c:v>-1.5733427955026251</c:v>
                </c:pt>
                <c:pt idx="2315">
                  <c:v>-1.5372371700418854</c:v>
                </c:pt>
                <c:pt idx="2316">
                  <c:v>-1.5006950126733911</c:v>
                </c:pt>
                <c:pt idx="2317">
                  <c:v>-1.4637290385357904</c:v>
                </c:pt>
                <c:pt idx="2318">
                  <c:v>-1.4263520781342469</c:v>
                </c:pt>
                <c:pt idx="2319">
                  <c:v>-1.3885770729442655</c:v>
                </c:pt>
                <c:pt idx="2320">
                  <c:v>-1.3504170709875316</c:v>
                </c:pt>
                <c:pt idx="2321">
                  <c:v>-1.3118852223807329</c:v>
                </c:pt>
                <c:pt idx="2322">
                  <c:v>-1.2729947748592585</c:v>
                </c:pt>
                <c:pt idx="2323">
                  <c:v>-1.2337590692769527</c:v>
                </c:pt>
                <c:pt idx="2324">
                  <c:v>-1.1941915350837564</c:v>
                </c:pt>
                <c:pt idx="2325">
                  <c:v>-1.1543056857825056</c:v>
                </c:pt>
                <c:pt idx="2326">
                  <c:v>-1.114115114366597</c:v>
                </c:pt>
                <c:pt idx="2327">
                  <c:v>-1.0736334887398029</c:v>
                </c:pt>
                <c:pt idx="2328">
                  <c:v>-1.0328745471199852</c:v>
                </c:pt>
                <c:pt idx="2329">
                  <c:v>-0.99185209342822866</c:v>
                </c:pt>
                <c:pt idx="2330">
                  <c:v>-0.95057999266478932</c:v>
                </c:pt>
                <c:pt idx="2331">
                  <c:v>-0.90907216627337428</c:v>
                </c:pt>
                <c:pt idx="2332">
                  <c:v>-0.8673425874955244</c:v>
                </c:pt>
                <c:pt idx="2333">
                  <c:v>-0.82540527671637165</c:v>
                </c:pt>
                <c:pt idx="2334">
                  <c:v>-0.7832742968035209</c:v>
                </c:pt>
                <c:pt idx="2335">
                  <c:v>-0.7409637484403323</c:v>
                </c:pt>
                <c:pt idx="2336">
                  <c:v>-0.69848776545536928</c:v>
                </c:pt>
                <c:pt idx="2337">
                  <c:v>-0.65586051014953073</c:v>
                </c:pt>
                <c:pt idx="2338">
                  <c:v>-0.61309616862226324</c:v>
                </c:pt>
                <c:pt idx="2339">
                  <c:v>-0.5702089460983597</c:v>
                </c:pt>
                <c:pt idx="2340">
                  <c:v>-0.52721306225710707</c:v>
                </c:pt>
                <c:pt idx="2341">
                  <c:v>-0.48412274656504922</c:v>
                </c:pt>
                <c:pt idx="2342">
                  <c:v>-0.44095223361408736</c:v>
                </c:pt>
                <c:pt idx="2343">
                  <c:v>-0.39771575846615231</c:v>
                </c:pt>
                <c:pt idx="2344">
                  <c:v>-0.35442755200632114</c:v>
                </c:pt>
                <c:pt idx="2345">
                  <c:v>-0.31110183630550076</c:v>
                </c:pt>
                <c:pt idx="2346">
                  <c:v>-0.26775281999463069</c:v>
                </c:pt>
                <c:pt idx="2347">
                  <c:v>-0.22439469365129119</c:v>
                </c:pt>
                <c:pt idx="2348">
                  <c:v>-0.18104162520078676</c:v>
                </c:pt>
                <c:pt idx="2349">
                  <c:v>-0.13770775533280857</c:v>
                </c:pt>
                <c:pt idx="2350">
                  <c:v>-9.4407192935366424E-2</c:v>
                </c:pt>
                <c:pt idx="2351">
                  <c:v>-5.1154010547174868E-2</c:v>
                </c:pt>
                <c:pt idx="2352">
                  <c:v>-7.9622398303025935E-3</c:v>
                </c:pt>
                <c:pt idx="2353">
                  <c:v>3.515413293584773E-2</c:v>
                </c:pt>
                <c:pt idx="2354">
                  <c:v>7.8181171337339123E-2</c:v>
                </c:pt>
                <c:pt idx="2355">
                  <c:v>0.12110499328446815</c:v>
                </c:pt>
                <c:pt idx="2356">
                  <c:v>0.16391177544449648</c:v>
                </c:pt>
                <c:pt idx="2357">
                  <c:v>0.20658775764731849</c:v>
                </c:pt>
                <c:pt idx="2358">
                  <c:v>0.24911924726245732</c:v>
                </c:pt>
                <c:pt idx="2359">
                  <c:v>0.29149262354627964</c:v>
                </c:pt>
                <c:pt idx="2360">
                  <c:v>0.33369434195771341</c:v>
                </c:pt>
                <c:pt idx="2361">
                  <c:v>0.3757109384414859</c:v>
                </c:pt>
                <c:pt idx="2362">
                  <c:v>0.41752903367708766</c:v>
                </c:pt>
                <c:pt idx="2363">
                  <c:v>0.45913533729274392</c:v>
                </c:pt>
                <c:pt idx="2364">
                  <c:v>0.5005166520424934</c:v>
                </c:pt>
                <c:pt idx="2365">
                  <c:v>0.54165987794544457</c:v>
                </c:pt>
                <c:pt idx="2366">
                  <c:v>0.58255201638571419</c:v>
                </c:pt>
                <c:pt idx="2367">
                  <c:v>0.6231801741720413</c:v>
                </c:pt>
                <c:pt idx="2368">
                  <c:v>0.66353156755549725</c:v>
                </c:pt>
                <c:pt idx="2369">
                  <c:v>0.70359352620431637</c:v>
                </c:pt>
                <c:pt idx="2370">
                  <c:v>0.74335349713442345</c:v>
                </c:pt>
                <c:pt idx="2371">
                  <c:v>0.78279904859479599</c:v>
                </c:pt>
                <c:pt idx="2372">
                  <c:v>0.8219178739059273</c:v>
                </c:pt>
                <c:pt idx="2373">
                  <c:v>0.86069779525078838</c:v>
                </c:pt>
                <c:pt idx="2374">
                  <c:v>0.8991267674167146</c:v>
                </c:pt>
                <c:pt idx="2375">
                  <c:v>0.93719288148742219</c:v>
                </c:pt>
                <c:pt idx="2376">
                  <c:v>0.97488436848371995</c:v>
                </c:pt>
                <c:pt idx="2377">
                  <c:v>1.0121896029520363</c:v>
                </c:pt>
                <c:pt idx="2378">
                  <c:v>1.0490971064996943</c:v>
                </c:pt>
                <c:pt idx="2379">
                  <c:v>1.0855955512755773</c:v>
                </c:pt>
                <c:pt idx="2380">
                  <c:v>1.1216737633956801</c:v>
                </c:pt>
                <c:pt idx="2381">
                  <c:v>1.1573207263119902</c:v>
                </c:pt>
                <c:pt idx="2382">
                  <c:v>1.1925255841240388</c:v>
                </c:pt>
                <c:pt idx="2383">
                  <c:v>1.2272776448319598</c:v>
                </c:pt>
                <c:pt idx="2384">
                  <c:v>1.2615663835303113</c:v>
                </c:pt>
                <c:pt idx="2385">
                  <c:v>1.2953814455414518</c:v>
                </c:pt>
                <c:pt idx="2386">
                  <c:v>1.3287126494877806</c:v>
                </c:pt>
                <c:pt idx="2387">
                  <c:v>1.3615499903018395</c:v>
                </c:pt>
                <c:pt idx="2388">
                  <c:v>1.3938836421734386</c:v>
                </c:pt>
                <c:pt idx="2389">
                  <c:v>1.4257039614329556</c:v>
                </c:pt>
                <c:pt idx="2390">
                  <c:v>1.457001489369991</c:v>
                </c:pt>
                <c:pt idx="2391">
                  <c:v>1.4877669549865016</c:v>
                </c:pt>
                <c:pt idx="2392">
                  <c:v>1.5179912776838222</c:v>
                </c:pt>
                <c:pt idx="2393">
                  <c:v>1.5476655698825645</c:v>
                </c:pt>
                <c:pt idx="2394">
                  <c:v>1.5767811395748661</c:v>
                </c:pt>
                <c:pt idx="2395">
                  <c:v>1.605329492808105</c:v>
                </c:pt>
                <c:pt idx="2396">
                  <c:v>1.6333023360996759</c:v>
                </c:pt>
                <c:pt idx="2397">
                  <c:v>1.6606915787817293</c:v>
                </c:pt>
                <c:pt idx="2398">
                  <c:v>1.6874893352756697</c:v>
                </c:pt>
                <c:pt idx="2399">
                  <c:v>1.7136879272954968</c:v>
                </c:pt>
                <c:pt idx="2400">
                  <c:v>1.7392798859796081</c:v>
                </c:pt>
                <c:pt idx="2401">
                  <c:v>1.7642579539503054</c:v>
                </c:pt>
                <c:pt idx="2402">
                  <c:v>1.7886150873006208</c:v>
                </c:pt>
                <c:pt idx="2403">
                  <c:v>1.8123444575078069</c:v>
                </c:pt>
                <c:pt idx="2404">
                  <c:v>1.835439453273217</c:v>
                </c:pt>
                <c:pt idx="2405">
                  <c:v>1.8578936822877776</c:v>
                </c:pt>
                <c:pt idx="2406">
                  <c:v>1.8797009729229444</c:v>
                </c:pt>
                <c:pt idx="2407">
                  <c:v>1.9008553758464837</c:v>
                </c:pt>
                <c:pt idx="2408">
                  <c:v>1.9213511655628686</c:v>
                </c:pt>
                <c:pt idx="2409">
                  <c:v>1.9411828418777575</c:v>
                </c:pt>
                <c:pt idx="2410">
                  <c:v>1.9603451312863418</c:v>
                </c:pt>
                <c:pt idx="2411">
                  <c:v>1.9788329882851496</c:v>
                </c:pt>
                <c:pt idx="2412">
                  <c:v>1.9966415966071351</c:v>
                </c:pt>
                <c:pt idx="2413">
                  <c:v>2.0137663703796775</c:v>
                </c:pt>
                <c:pt idx="2414">
                  <c:v>2.0302029552052621</c:v>
                </c:pt>
                <c:pt idx="2415">
                  <c:v>2.0459472291646961</c:v>
                </c:pt>
                <c:pt idx="2416">
                  <c:v>2.0609953037426596</c:v>
                </c:pt>
                <c:pt idx="2417">
                  <c:v>2.0753435246753451</c:v>
                </c:pt>
                <c:pt idx="2418">
                  <c:v>2.0889884727201635</c:v>
                </c:pt>
                <c:pt idx="2419">
                  <c:v>2.1019269643472955</c:v>
                </c:pt>
                <c:pt idx="2420">
                  <c:v>2.1141560523531258</c:v>
                </c:pt>
                <c:pt idx="2421">
                  <c:v>2.1256730263954107</c:v>
                </c:pt>
                <c:pt idx="2422">
                  <c:v>2.136475413450134</c:v>
                </c:pt>
                <c:pt idx="2423">
                  <c:v>2.1465609781901223</c:v>
                </c:pt>
                <c:pt idx="2424">
                  <c:v>2.1559277232854019</c:v>
                </c:pt>
                <c:pt idx="2425">
                  <c:v>2.1645738896253039</c:v>
                </c:pt>
                <c:pt idx="2426">
                  <c:v>2.1724979564624363</c:v>
                </c:pt>
                <c:pt idx="2427">
                  <c:v>2.1796986414785793</c:v>
                </c:pt>
                <c:pt idx="2428">
                  <c:v>2.1861749007726732</c:v>
                </c:pt>
                <c:pt idx="2429">
                  <c:v>2.1919259287709907</c:v>
                </c:pt>
                <c:pt idx="2430">
                  <c:v>2.1969511580596732</c:v>
                </c:pt>
                <c:pt idx="2431">
                  <c:v>2.2012502591398633</c:v>
                </c:pt>
                <c:pt idx="2432">
                  <c:v>2.2048231401056131</c:v>
                </c:pt>
                <c:pt idx="2433">
                  <c:v>2.2076699462448319</c:v>
                </c:pt>
                <c:pt idx="2434">
                  <c:v>2.2097910595635386</c:v>
                </c:pt>
                <c:pt idx="2435">
                  <c:v>2.2111870982336979</c:v>
                </c:pt>
                <c:pt idx="2436">
                  <c:v>2.2118589159649962</c:v>
                </c:pt>
                <c:pt idx="2437">
                  <c:v>2.2118076013008592</c:v>
                </c:pt>
                <c:pt idx="2438">
                  <c:v>2.2110344768390968</c:v>
                </c:pt>
                <c:pt idx="2439">
                  <c:v>2.2095410983775676</c:v>
                </c:pt>
                <c:pt idx="2440">
                  <c:v>2.2073292539852667</c:v>
                </c:pt>
                <c:pt idx="2441">
                  <c:v>2.2044009629992898</c:v>
                </c:pt>
                <c:pt idx="2442">
                  <c:v>2.2007584749481159</c:v>
                </c:pt>
                <c:pt idx="2443">
                  <c:v>2.1964042684017167</c:v>
                </c:pt>
                <c:pt idx="2444">
                  <c:v>2.1913410497489672</c:v>
                </c:pt>
                <c:pt idx="2445">
                  <c:v>2.185571751902927</c:v>
                </c:pt>
                <c:pt idx="2446">
                  <c:v>2.1790995329345049</c:v>
                </c:pt>
                <c:pt idx="2447">
                  <c:v>2.1719277746351389</c:v>
                </c:pt>
                <c:pt idx="2448">
                  <c:v>2.1640600810089965</c:v>
                </c:pt>
                <c:pt idx="2449">
                  <c:v>2.1555002766954221</c:v>
                </c:pt>
                <c:pt idx="2450">
                  <c:v>2.1462524053221972</c:v>
                </c:pt>
                <c:pt idx="2451">
                  <c:v>2.1363207277903058</c:v>
                </c:pt>
                <c:pt idx="2452">
                  <c:v>2.1257097204908697</c:v>
                </c:pt>
                <c:pt idx="2453">
                  <c:v>2.1144240734549942</c:v>
                </c:pt>
                <c:pt idx="2454">
                  <c:v>2.1024686884372032</c:v>
                </c:pt>
                <c:pt idx="2455">
                  <c:v>2.0898486769332436</c:v>
                </c:pt>
                <c:pt idx="2456">
                  <c:v>2.076569358133018</c:v>
                </c:pt>
                <c:pt idx="2457">
                  <c:v>2.0626362568094043</c:v>
                </c:pt>
                <c:pt idx="2458">
                  <c:v>2.0480551011438082</c:v>
                </c:pt>
                <c:pt idx="2459">
                  <c:v>2.0328318204892626</c:v>
                </c:pt>
                <c:pt idx="2460">
                  <c:v>2.0169725430718599</c:v>
                </c:pt>
                <c:pt idx="2461">
                  <c:v>2.0004835936314787</c:v>
                </c:pt>
                <c:pt idx="2462">
                  <c:v>1.9833714910025959</c:v>
                </c:pt>
                <c:pt idx="2463">
                  <c:v>1.9656429456361668</c:v>
                </c:pt>
                <c:pt idx="2464">
                  <c:v>1.9473048570633382</c:v>
                </c:pt>
                <c:pt idx="2465">
                  <c:v>1.9283643113021576</c:v>
                </c:pt>
                <c:pt idx="2466">
                  <c:v>1.9088285782079961</c:v>
                </c:pt>
                <c:pt idx="2467">
                  <c:v>1.8887051087688329</c:v>
                </c:pt>
                <c:pt idx="2468">
                  <c:v>1.8680015323462169</c:v>
                </c:pt>
                <c:pt idx="2469">
                  <c:v>1.8467256538630723</c:v>
                </c:pt>
                <c:pt idx="2470">
                  <c:v>1.8248854509392352</c:v>
                </c:pt>
                <c:pt idx="2471">
                  <c:v>1.8024890709758499</c:v>
                </c:pt>
                <c:pt idx="2472">
                  <c:v>1.7795448281895028</c:v>
                </c:pt>
                <c:pt idx="2473">
                  <c:v>1.7560612005974163</c:v>
                </c:pt>
                <c:pt idx="2474">
                  <c:v>1.7320468269545006</c:v>
                </c:pt>
                <c:pt idx="2475">
                  <c:v>1.7075105036435756</c:v>
                </c:pt>
                <c:pt idx="2476">
                  <c:v>1.6824611815196453</c:v>
                </c:pt>
                <c:pt idx="2477">
                  <c:v>1.6569079627095569</c:v>
                </c:pt>
                <c:pt idx="2478">
                  <c:v>1.6308600973680065</c:v>
                </c:pt>
                <c:pt idx="2479">
                  <c:v>1.6043269803911502</c:v>
                </c:pt>
                <c:pt idx="2480">
                  <c:v>1.5773181480888134</c:v>
                </c:pt>
                <c:pt idx="2481">
                  <c:v>1.5498432748166093</c:v>
                </c:pt>
                <c:pt idx="2482">
                  <c:v>1.5219121695691191</c:v>
                </c:pt>
                <c:pt idx="2483">
                  <c:v>1.4935347725352455</c:v>
                </c:pt>
                <c:pt idx="2484">
                  <c:v>1.4647211516169074</c:v>
                </c:pt>
                <c:pt idx="2485">
                  <c:v>1.4354814989124387</c:v>
                </c:pt>
                <c:pt idx="2486">
                  <c:v>1.4058261271657297</c:v>
                </c:pt>
                <c:pt idx="2487">
                  <c:v>1.3757654661824783</c:v>
                </c:pt>
                <c:pt idx="2488">
                  <c:v>1.3453100592146015</c:v>
                </c:pt>
                <c:pt idx="2489">
                  <c:v>1.3144705593142012</c:v>
                </c:pt>
                <c:pt idx="2490">
                  <c:v>1.2832577256583249</c:v>
                </c:pt>
                <c:pt idx="2491">
                  <c:v>1.2516824198456888</c:v>
                </c:pt>
                <c:pt idx="2492">
                  <c:v>1.2197556021665841</c:v>
                </c:pt>
                <c:pt idx="2493">
                  <c:v>1.1874883278474269</c:v>
                </c:pt>
                <c:pt idx="2494">
                  <c:v>1.1548917432710253</c:v>
                </c:pt>
                <c:pt idx="2495">
                  <c:v>1.1219770821739996</c:v>
                </c:pt>
                <c:pt idx="2496">
                  <c:v>1.0887556618224403</c:v>
                </c:pt>
                <c:pt idx="2497">
                  <c:v>1.055238879167274</c:v>
                </c:pt>
                <c:pt idx="2498">
                  <c:v>1.0214382069806152</c:v>
                </c:pt>
                <c:pt idx="2499">
                  <c:v>0.98736518997430056</c:v>
                </c:pt>
                <c:pt idx="2500">
                  <c:v>0.95303144090188052</c:v>
                </c:pt>
                <c:pt idx="2501">
                  <c:v>0.91844863664556586</c:v>
                </c:pt>
                <c:pt idx="2502">
                  <c:v>0.88362851428923905</c:v>
                </c:pt>
                <c:pt idx="2503">
                  <c:v>0.84858286717891152</c:v>
                </c:pt>
                <c:pt idx="2504">
                  <c:v>0.81332354097200088</c:v>
                </c:pt>
                <c:pt idx="2505">
                  <c:v>0.77786242967654007</c:v>
                </c:pt>
                <c:pt idx="2506">
                  <c:v>0.7422114716818311</c:v>
                </c:pt>
                <c:pt idx="2507">
                  <c:v>0.70638264578183707</c:v>
                </c:pt>
                <c:pt idx="2508">
                  <c:v>0.67038796719251004</c:v>
                </c:pt>
                <c:pt idx="2509">
                  <c:v>0.63423948356435222</c:v>
                </c:pt>
                <c:pt idx="2510">
                  <c:v>0.5979492709917249</c:v>
                </c:pt>
                <c:pt idx="2511">
                  <c:v>0.5615294300199849</c:v>
                </c:pt>
                <c:pt idx="2512">
                  <c:v>0.52499208165194522</c:v>
                </c:pt>
                <c:pt idx="2513">
                  <c:v>0.48834936335473794</c:v>
                </c:pt>
                <c:pt idx="2514">
                  <c:v>0.45161342506858615</c:v>
                </c:pt>
                <c:pt idx="2515">
                  <c:v>0.41479642521876936</c:v>
                </c:pt>
                <c:pt idx="2516">
                  <c:v>0.37791052673196551</c:v>
                </c:pt>
                <c:pt idx="2517">
                  <c:v>0.34096789305824343</c:v>
                </c:pt>
                <c:pt idx="2518">
                  <c:v>0.30398068420019925</c:v>
                </c:pt>
                <c:pt idx="2519">
                  <c:v>0.26696105275030108</c:v>
                </c:pt>
                <c:pt idx="2520">
                  <c:v>0.22992113993789651</c:v>
                </c:pt>
                <c:pt idx="2521">
                  <c:v>0.19287307168693399</c:v>
                </c:pt>
                <c:pt idx="2522">
                  <c:v>0.15582895468587482</c:v>
                </c:pt>
                <c:pt idx="2523">
                  <c:v>0.11880087247103543</c:v>
                </c:pt>
                <c:pt idx="2524">
                  <c:v>8.1800881524502544E-2</c:v>
                </c:pt>
                <c:pt idx="2525">
                  <c:v>4.4841007387851912E-2</c:v>
                </c:pt>
                <c:pt idx="2526">
                  <c:v>7.933240793114112E-3</c:v>
                </c:pt>
                <c:pt idx="2527">
                  <c:v>-2.8910466187998481E-2</c:v>
                </c:pt>
                <c:pt idx="2528">
                  <c:v>-6.5678203975205851E-2</c:v>
                </c:pt>
                <c:pt idx="2529">
                  <c:v>-0.10235810929013248</c:v>
                </c:pt>
                <c:pt idx="2530">
                  <c:v>-0.13893836894462655</c:v>
                </c:pt>
                <c:pt idx="2531">
                  <c:v>-0.17540722360604893</c:v>
                </c:pt>
                <c:pt idx="2532">
                  <c:v>-0.21175297153795392</c:v>
                </c:pt>
                <c:pt idx="2533">
                  <c:v>-0.24796397231550441</c:v>
                </c:pt>
                <c:pt idx="2534">
                  <c:v>-0.28402865051395099</c:v>
                </c:pt>
                <c:pt idx="2535">
                  <c:v>-0.31993549936933496</c:v>
                </c:pt>
                <c:pt idx="2536">
                  <c:v>-0.3556730844100871</c:v>
                </c:pt>
                <c:pt idx="2537">
                  <c:v>-0.39123004705861214</c:v>
                </c:pt>
                <c:pt idx="2538">
                  <c:v>-0.42659510820144619</c:v>
                </c:pt>
                <c:pt idx="2539">
                  <c:v>-0.46175707172718433</c:v>
                </c:pt>
                <c:pt idx="2540">
                  <c:v>-0.49670482803070398</c:v>
                </c:pt>
                <c:pt idx="2541">
                  <c:v>-0.53142735748310688</c:v>
                </c:pt>
                <c:pt idx="2542">
                  <c:v>-0.56591373386581834</c:v>
                </c:pt>
                <c:pt idx="2543">
                  <c:v>-0.60015312776809249</c:v>
                </c:pt>
                <c:pt idx="2544">
                  <c:v>-0.63413480994670779</c:v>
                </c:pt>
                <c:pt idx="2545">
                  <c:v>-0.66784815464703307</c:v>
                </c:pt>
                <c:pt idx="2546">
                  <c:v>-0.70128264288418796</c:v>
                </c:pt>
                <c:pt idx="2547">
                  <c:v>-0.73442786568349405</c:v>
                </c:pt>
                <c:pt idx="2548">
                  <c:v>-0.76727352727915954</c:v>
                </c:pt>
                <c:pt idx="2549">
                  <c:v>-0.79980944827023137</c:v>
                </c:pt>
                <c:pt idx="2550">
                  <c:v>-0.83202556873287503</c:v>
                </c:pt>
                <c:pt idx="2551">
                  <c:v>-0.86391195128804732</c:v>
                </c:pt>
                <c:pt idx="2552">
                  <c:v>-0.89545878412357072</c:v>
                </c:pt>
                <c:pt idx="2553">
                  <c:v>-0.92665638396989236</c:v>
                </c:pt>
                <c:pt idx="2554">
                  <c:v>-0.95749519902839064</c:v>
                </c:pt>
                <c:pt idx="2555">
                  <c:v>-0.98796581185155585</c:v>
                </c:pt>
                <c:pt idx="2556">
                  <c:v>-1.0180589421740383</c:v>
                </c:pt>
                <c:pt idx="2557">
                  <c:v>-1.0477654496939854</c:v>
                </c:pt>
                <c:pt idx="2558">
                  <c:v>-1.0770763368034395</c:v>
                </c:pt>
                <c:pt idx="2559">
                  <c:v>-1.1059827512674174</c:v>
                </c:pt>
                <c:pt idx="2560">
                  <c:v>-1.1344759888505787</c:v>
                </c:pt>
                <c:pt idx="2561">
                  <c:v>-1.1625474958909738</c:v>
                </c:pt>
                <c:pt idx="2562">
                  <c:v>-1.1901888718198801</c:v>
                </c:pt>
                <c:pt idx="2563">
                  <c:v>-1.2173918716271888</c:v>
                </c:pt>
                <c:pt idx="2564">
                  <c:v>-1.2441484082714995</c:v>
                </c:pt>
                <c:pt idx="2565">
                  <c:v>-1.2704505550344543</c:v>
                </c:pt>
                <c:pt idx="2566">
                  <c:v>-1.2962905478182836</c:v>
                </c:pt>
                <c:pt idx="2567">
                  <c:v>-1.3216607873862971</c:v>
                </c:pt>
                <c:pt idx="2568">
                  <c:v>-1.3465538415454072</c:v>
                </c:pt>
                <c:pt idx="2569">
                  <c:v>-1.370962447270297</c:v>
                </c:pt>
                <c:pt idx="2570">
                  <c:v>-1.3948795127684421</c:v>
                </c:pt>
                <c:pt idx="2571">
                  <c:v>-1.4182981194855739</c:v>
                </c:pt>
                <c:pt idx="2572">
                  <c:v>-1.4412115240509229</c:v>
                </c:pt>
                <c:pt idx="2573">
                  <c:v>-1.4636131601618523</c:v>
                </c:pt>
                <c:pt idx="2574">
                  <c:v>-1.4854966404072558</c:v>
                </c:pt>
                <c:pt idx="2575">
                  <c:v>-1.5068557580292279</c:v>
                </c:pt>
                <c:pt idx="2576">
                  <c:v>-1.5276844886226393</c:v>
                </c:pt>
                <c:pt idx="2577">
                  <c:v>-1.5479769917721646</c:v>
                </c:pt>
                <c:pt idx="2578">
                  <c:v>-1.5677276126262185</c:v>
                </c:pt>
                <c:pt idx="2579">
                  <c:v>-1.5869308834075391</c:v>
                </c:pt>
                <c:pt idx="2580">
                  <c:v>-1.605581524859945</c:v>
                </c:pt>
                <c:pt idx="2581">
                  <c:v>-1.6236744476310068</c:v>
                </c:pt>
                <c:pt idx="2582">
                  <c:v>-1.6412047535902052</c:v>
                </c:pt>
                <c:pt idx="2583">
                  <c:v>-1.6581677370822703</c:v>
                </c:pt>
                <c:pt idx="2584">
                  <c:v>-1.6745588861154668</c:v>
                </c:pt>
                <c:pt idx="2585">
                  <c:v>-1.6903738834845516</c:v>
                </c:pt>
                <c:pt idx="2586">
                  <c:v>-1.7056086078280752</c:v>
                </c:pt>
                <c:pt idx="2587">
                  <c:v>-1.7202591346198843</c:v>
                </c:pt>
                <c:pt idx="2588">
                  <c:v>-1.7343217370945627</c:v>
                </c:pt>
                <c:pt idx="2589">
                  <c:v>-1.7477928871066979</c:v>
                </c:pt>
                <c:pt idx="2590">
                  <c:v>-1.76066925592375</c:v>
                </c:pt>
                <c:pt idx="2591">
                  <c:v>-1.7729477149523665</c:v>
                </c:pt>
                <c:pt idx="2592">
                  <c:v>-1.7846253363981055</c:v>
                </c:pt>
                <c:pt idx="2593">
                  <c:v>-1.7956993938584394</c:v>
                </c:pt>
                <c:pt idx="2594">
                  <c:v>-1.806167362848917</c:v>
                </c:pt>
                <c:pt idx="2595">
                  <c:v>-1.8160269212624929</c:v>
                </c:pt>
                <c:pt idx="2596">
                  <c:v>-1.8252759497619695</c:v>
                </c:pt>
                <c:pt idx="2597">
                  <c:v>-1.8339125321055652</c:v>
                </c:pt>
                <c:pt idx="2598">
                  <c:v>-1.8419349554055735</c:v>
                </c:pt>
                <c:pt idx="2599">
                  <c:v>-1.849341710320237</c:v>
                </c:pt>
                <c:pt idx="2600">
                  <c:v>-1.8561314911787588</c:v>
                </c:pt>
                <c:pt idx="2601">
                  <c:v>-1.8623031960397038</c:v>
                </c:pt>
                <c:pt idx="2602">
                  <c:v>-1.8678559266827364</c:v>
                </c:pt>
                <c:pt idx="2603">
                  <c:v>-1.8727889885339088</c:v>
                </c:pt>
                <c:pt idx="2604">
                  <c:v>-1.877101890524604</c:v>
                </c:pt>
                <c:pt idx="2605">
                  <c:v>-1.8807943448843285</c:v>
                </c:pt>
                <c:pt idx="2606">
                  <c:v>-1.8838662668675095</c:v>
                </c:pt>
                <c:pt idx="2607">
                  <c:v>-1.8863177744145336</c:v>
                </c:pt>
                <c:pt idx="2608">
                  <c:v>-1.8881491877472256</c:v>
                </c:pt>
                <c:pt idx="2609">
                  <c:v>-1.8893610288990628</c:v>
                </c:pt>
                <c:pt idx="2610">
                  <c:v>-1.8899540211803421</c:v>
                </c:pt>
                <c:pt idx="2611">
                  <c:v>-1.8899290885786391</c:v>
                </c:pt>
                <c:pt idx="2612">
                  <c:v>-1.8892873550948448</c:v>
                </c:pt>
                <c:pt idx="2613">
                  <c:v>-1.8880301440151108</c:v>
                </c:pt>
                <c:pt idx="2614">
                  <c:v>-1.886158977119081</c:v>
                </c:pt>
                <c:pt idx="2615">
                  <c:v>-1.8836755738247599</c:v>
                </c:pt>
                <c:pt idx="2616">
                  <c:v>-1.8805818502704137</c:v>
                </c:pt>
                <c:pt idx="2617">
                  <c:v>-1.8768799183339346</c:v>
                </c:pt>
                <c:pt idx="2618">
                  <c:v>-1.8725720845900775</c:v>
                </c:pt>
                <c:pt idx="2619">
                  <c:v>-1.8676608492060391</c:v>
                </c:pt>
                <c:pt idx="2620">
                  <c:v>-1.8621489047758537</c:v>
                </c:pt>
                <c:pt idx="2621">
                  <c:v>-1.8560391350940677</c:v>
                </c:pt>
                <c:pt idx="2622">
                  <c:v>-1.8493346138692424</c:v>
                </c:pt>
                <c:pt idx="2623">
                  <c:v>-1.8420386033777845</c:v>
                </c:pt>
                <c:pt idx="2624">
                  <c:v>-1.8341545530586785</c:v>
                </c:pt>
                <c:pt idx="2625">
                  <c:v>-1.8256860980496339</c:v>
                </c:pt>
                <c:pt idx="2626">
                  <c:v>-1.8166370576653048</c:v>
                </c:pt>
                <c:pt idx="2627">
                  <c:v>-1.8070114338181262</c:v>
                </c:pt>
                <c:pt idx="2628">
                  <c:v>-1.7968134093824057</c:v>
                </c:pt>
                <c:pt idx="2629">
                  <c:v>-1.7860473465023143</c:v>
                </c:pt>
                <c:pt idx="2630">
                  <c:v>-1.7747177848444016</c:v>
                </c:pt>
                <c:pt idx="2631">
                  <c:v>-1.7628294397953546</c:v>
                </c:pt>
                <c:pt idx="2632">
                  <c:v>-1.7503872006056169</c:v>
                </c:pt>
                <c:pt idx="2633">
                  <c:v>-1.7373961284796871</c:v>
                </c:pt>
                <c:pt idx="2634">
                  <c:v>-1.7238614546136473</c:v>
                </c:pt>
                <c:pt idx="2635">
                  <c:v>-1.7097885781808242</c:v>
                </c:pt>
                <c:pt idx="2636">
                  <c:v>-1.6951830642662282</c:v>
                </c:pt>
                <c:pt idx="2637">
                  <c:v>-1.6800506417506071</c:v>
                </c:pt>
                <c:pt idx="2638">
                  <c:v>-1.6643972011447967</c:v>
                </c:pt>
                <c:pt idx="2639">
                  <c:v>-1.6482287923752921</c:v>
                </c:pt>
                <c:pt idx="2640">
                  <c:v>-1.631551622521747</c:v>
                </c:pt>
                <c:pt idx="2641">
                  <c:v>-1.6143720535073167</c:v>
                </c:pt>
                <c:pt idx="2642">
                  <c:v>-1.5966965997425291</c:v>
                </c:pt>
                <c:pt idx="2643">
                  <c:v>-1.5785319257237744</c:v>
                </c:pt>
                <c:pt idx="2644">
                  <c:v>-1.5598848435870389</c:v>
                </c:pt>
                <c:pt idx="2645">
                  <c:v>-1.5407623106179495</c:v>
                </c:pt>
                <c:pt idx="2646">
                  <c:v>-1.5211714267188516</c:v>
                </c:pt>
                <c:pt idx="2647">
                  <c:v>-1.5011194318339953</c:v>
                </c:pt>
                <c:pt idx="2648">
                  <c:v>-1.4806137033336109</c:v>
                </c:pt>
                <c:pt idx="2649">
                  <c:v>-1.4596617533579135</c:v>
                </c:pt>
                <c:pt idx="2650">
                  <c:v>-1.438271226121802</c:v>
                </c:pt>
                <c:pt idx="2651">
                  <c:v>-1.4164498951814664</c:v>
                </c:pt>
                <c:pt idx="2652">
                  <c:v>-1.3942056606635944</c:v>
                </c:pt>
                <c:pt idx="2653">
                  <c:v>-1.3715465464583674</c:v>
                </c:pt>
                <c:pt idx="2654">
                  <c:v>-1.3484806973770231</c:v>
                </c:pt>
                <c:pt idx="2655">
                  <c:v>-1.3250163762751817</c:v>
                </c:pt>
                <c:pt idx="2656">
                  <c:v>-1.3011619611427805</c:v>
                </c:pt>
                <c:pt idx="2657">
                  <c:v>-1.2769259421617529</c:v>
                </c:pt>
                <c:pt idx="2658">
                  <c:v>-1.2523169187322636</c:v>
                </c:pt>
                <c:pt idx="2659">
                  <c:v>-1.2273435964688462</c:v>
                </c:pt>
                <c:pt idx="2660">
                  <c:v>-1.2020147841671589</c:v>
                </c:pt>
                <c:pt idx="2661">
                  <c:v>-1.1763393907426396</c:v>
                </c:pt>
                <c:pt idx="2662">
                  <c:v>-1.1503264221419036</c:v>
                </c:pt>
                <c:pt idx="2663">
                  <c:v>-1.1239849782281517</c:v>
                </c:pt>
                <c:pt idx="2664">
                  <c:v>-1.0973242496414861</c:v>
                </c:pt>
                <c:pt idx="2665">
                  <c:v>-1.07035351463533</c:v>
                </c:pt>
                <c:pt idx="2666">
                  <c:v>-1.0430821358898759</c:v>
                </c:pt>
                <c:pt idx="2667">
                  <c:v>-1.0155195573037754</c:v>
                </c:pt>
                <c:pt idx="2668">
                  <c:v>-0.9876753007651623</c:v>
                </c:pt>
                <c:pt idx="2669">
                  <c:v>-0.95955896290301324</c:v>
                </c:pt>
                <c:pt idx="2670">
                  <c:v>-0.93118021181991717</c:v>
                </c:pt>
                <c:pt idx="2671">
                  <c:v>-0.9025487838075219</c:v>
                </c:pt>
                <c:pt idx="2672">
                  <c:v>-0.87367448004558645</c:v>
                </c:pt>
                <c:pt idx="2673">
                  <c:v>-0.84456716328588555</c:v>
                </c:pt>
                <c:pt idx="2674">
                  <c:v>-0.81523675452190292</c:v>
                </c:pt>
                <c:pt idx="2675">
                  <c:v>-0.78569322964558541</c:v>
                </c:pt>
                <c:pt idx="2676">
                  <c:v>-0.75594661609226321</c:v>
                </c:pt>
                <c:pt idx="2677">
                  <c:v>-0.72600698947476106</c:v>
                </c:pt>
                <c:pt idx="2678">
                  <c:v>-0.69588447020780164</c:v>
                </c:pt>
                <c:pt idx="2679">
                  <c:v>-0.66558922012399191</c:v>
                </c:pt>
                <c:pt idx="2680">
                  <c:v>-0.63513143908232483</c:v>
                </c:pt>
                <c:pt idx="2681">
                  <c:v>-0.60452136157047265</c:v>
                </c:pt>
                <c:pt idx="2682">
                  <c:v>-0.57376925330179152</c:v>
                </c:pt>
                <c:pt idx="2683">
                  <c:v>-0.54288540780840722</c:v>
                </c:pt>
                <c:pt idx="2684">
                  <c:v>-0.5118801430312484</c:v>
                </c:pt>
                <c:pt idx="2685">
                  <c:v>-0.48076379790846024</c:v>
                </c:pt>
                <c:pt idx="2686">
                  <c:v>-0.44954672896288245</c:v>
                </c:pt>
                <c:pt idx="2687">
                  <c:v>-0.41823930689013433</c:v>
                </c:pt>
                <c:pt idx="2688">
                  <c:v>-0.38685191314815093</c:v>
                </c:pt>
                <c:pt idx="2689">
                  <c:v>-0.35539493654943605</c:v>
                </c:pt>
                <c:pt idx="2690">
                  <c:v>-0.32387876985694769</c:v>
                </c:pt>
                <c:pt idx="2691">
                  <c:v>-0.29231380638497617</c:v>
                </c:pt>
                <c:pt idx="2692">
                  <c:v>-0.26071043660584453</c:v>
                </c:pt>
                <c:pt idx="2693">
                  <c:v>-0.22907904476386268</c:v>
                </c:pt>
                <c:pt idx="2694">
                  <c:v>-0.1974300054971809</c:v>
                </c:pt>
                <c:pt idx="2695">
                  <c:v>-0.16577368046906477</c:v>
                </c:pt>
                <c:pt idx="2696">
                  <c:v>-0.13412041500940144</c:v>
                </c:pt>
                <c:pt idx="2697">
                  <c:v>-0.10248053476767686</c:v>
                </c:pt>
                <c:pt idx="2698">
                  <c:v>-7.0864342378295336E-2</c:v>
                </c:pt>
                <c:pt idx="2699">
                  <c:v>-3.9282114139569918E-2</c:v>
                </c:pt>
                <c:pt idx="2700">
                  <c:v>-7.7440967071691139E-3</c:v>
                </c:pt>
                <c:pt idx="2701">
                  <c:v>2.3739496196591832E-2</c:v>
                </c:pt>
                <c:pt idx="2702">
                  <c:v>5.5158487057016856E-2</c:v>
                </c:pt>
                <c:pt idx="2703">
                  <c:v>8.6502737823377779E-2</c:v>
                </c:pt>
                <c:pt idx="2704">
                  <c:v>0.11776215314658953</c:v>
                </c:pt>
                <c:pt idx="2705">
                  <c:v>0.1489266835970271</c:v>
                </c:pt>
                <c:pt idx="2706">
                  <c:v>0.17998632886166768</c:v>
                </c:pt>
                <c:pt idx="2707">
                  <c:v>0.21093114091930487</c:v>
                </c:pt>
                <c:pt idx="2708">
                  <c:v>0.24175122719303568</c:v>
                </c:pt>
                <c:pt idx="2709">
                  <c:v>0.27243675367887349</c:v>
                </c:pt>
                <c:pt idx="2710">
                  <c:v>0.30297794804977529</c:v>
                </c:pt>
                <c:pt idx="2711">
                  <c:v>0.33336510273369141</c:v>
                </c:pt>
                <c:pt idx="2712">
                  <c:v>0.36358857796511462</c:v>
                </c:pt>
                <c:pt idx="2713">
                  <c:v>0.39363880480885582</c:v>
                </c:pt>
                <c:pt idx="2714">
                  <c:v>0.42350628815537328</c:v>
                </c:pt>
                <c:pt idx="2715">
                  <c:v>0.45318160968647531</c:v>
                </c:pt>
                <c:pt idx="2716">
                  <c:v>0.48265543081067908</c:v>
                </c:pt>
                <c:pt idx="2717">
                  <c:v>0.51191849556716262</c:v>
                </c:pt>
                <c:pt idx="2718">
                  <c:v>0.54096163349767712</c:v>
                </c:pt>
                <c:pt idx="2719">
                  <c:v>0.56977576248513617</c:v>
                </c:pt>
                <c:pt idx="2720">
                  <c:v>0.59835189155843027</c:v>
                </c:pt>
                <c:pt idx="2721">
                  <c:v>0.62668112366230022</c:v>
                </c:pt>
                <c:pt idx="2722">
                  <c:v>0.65475465839168256</c:v>
                </c:pt>
                <c:pt idx="2723">
                  <c:v>0.68256379468945727</c:v>
                </c:pt>
                <c:pt idx="2724">
                  <c:v>0.71009993350696565</c:v>
                </c:pt>
                <c:pt idx="2725">
                  <c:v>0.73735458042635438</c:v>
                </c:pt>
                <c:pt idx="2726">
                  <c:v>0.76431934824419689</c:v>
                </c:pt>
                <c:pt idx="2727">
                  <c:v>0.79098595951523565</c:v>
                </c:pt>
                <c:pt idx="2728">
                  <c:v>0.81734624905588549</c:v>
                </c:pt>
                <c:pt idx="2729">
                  <c:v>0.84339216640645487</c:v>
                </c:pt>
                <c:pt idx="2730">
                  <c:v>0.86911577825159225</c:v>
                </c:pt>
                <c:pt idx="2731">
                  <c:v>0.894509270798024</c:v>
                </c:pt>
                <c:pt idx="2732">
                  <c:v>0.91956495210904887</c:v>
                </c:pt>
                <c:pt idx="2733">
                  <c:v>0.94427525439498761</c:v>
                </c:pt>
                <c:pt idx="2734">
                  <c:v>0.96863273625905966</c:v>
                </c:pt>
                <c:pt idx="2735">
                  <c:v>0.99263008489790894</c:v>
                </c:pt>
                <c:pt idx="2736">
                  <c:v>1.016260118256141</c:v>
                </c:pt>
                <c:pt idx="2737">
                  <c:v>1.0395157871343361</c:v>
                </c:pt>
                <c:pt idx="2738">
                  <c:v>1.0623901772499402</c:v>
                </c:pt>
                <c:pt idx="2739">
                  <c:v>1.0848765112503167</c:v>
                </c:pt>
                <c:pt idx="2740">
                  <c:v>1.1069681506775209</c:v>
                </c:pt>
                <c:pt idx="2741">
                  <c:v>1.1286585978841468</c:v>
                </c:pt>
                <c:pt idx="2742">
                  <c:v>1.1499414978998295</c:v>
                </c:pt>
                <c:pt idx="2743">
                  <c:v>1.170810640247768</c:v>
                </c:pt>
                <c:pt idx="2744">
                  <c:v>1.191259960710771</c:v>
                </c:pt>
                <c:pt idx="2745">
                  <c:v>1.2112835430464139</c:v>
                </c:pt>
                <c:pt idx="2746">
                  <c:v>1.2308756206508407</c:v>
                </c:pt>
                <c:pt idx="2747">
                  <c:v>1.2500305781706456</c:v>
                </c:pt>
                <c:pt idx="2748">
                  <c:v>1.2687429530625312</c:v>
                </c:pt>
                <c:pt idx="2749">
                  <c:v>1.2870074371002256</c:v>
                </c:pt>
                <c:pt idx="2750">
                  <c:v>1.304818877828386</c:v>
                </c:pt>
                <c:pt idx="2751">
                  <c:v>1.3221722799629556</c:v>
                </c:pt>
                <c:pt idx="2752">
                  <c:v>1.3390628067377686</c:v>
                </c:pt>
                <c:pt idx="2753">
                  <c:v>1.355485781196905</c:v>
                </c:pt>
                <c:pt idx="2754">
                  <c:v>1.3714366874325965</c:v>
                </c:pt>
                <c:pt idx="2755">
                  <c:v>1.3869111717683678</c:v>
                </c:pt>
                <c:pt idx="2756">
                  <c:v>1.40190504388702</c:v>
                </c:pt>
                <c:pt idx="2757">
                  <c:v>1.4164142779033067</c:v>
                </c:pt>
                <c:pt idx="2758">
                  <c:v>1.4304350133809711</c:v>
                </c:pt>
                <c:pt idx="2759">
                  <c:v>1.4439635562939901</c:v>
                </c:pt>
                <c:pt idx="2760">
                  <c:v>1.4569963799317469</c:v>
                </c:pt>
                <c:pt idx="2761">
                  <c:v>1.4695301257479301</c:v>
                </c:pt>
                <c:pt idx="2762">
                  <c:v>1.4815616041530477</c:v>
                </c:pt>
                <c:pt idx="2763">
                  <c:v>1.4930877952503776</c:v>
                </c:pt>
                <c:pt idx="2764">
                  <c:v>1.5041058495151665</c:v>
                </c:pt>
                <c:pt idx="2765">
                  <c:v>1.5146130884170195</c:v>
                </c:pt>
                <c:pt idx="2766">
                  <c:v>1.5246070049853335</c:v>
                </c:pt>
                <c:pt idx="2767">
                  <c:v>1.5340852643177501</c:v>
                </c:pt>
                <c:pt idx="2768">
                  <c:v>1.5430457040315113</c:v>
                </c:pt>
                <c:pt idx="2769">
                  <c:v>1.5514863346576673</c:v>
                </c:pt>
                <c:pt idx="2770">
                  <c:v>1.5594053399781698</c:v>
                </c:pt>
                <c:pt idx="2771">
                  <c:v>1.5668010773058119</c:v>
                </c:pt>
                <c:pt idx="2772">
                  <c:v>1.5736720777069952</c:v>
                </c:pt>
                <c:pt idx="2773">
                  <c:v>1.5800170461674101</c:v>
                </c:pt>
                <c:pt idx="2774">
                  <c:v>1.5858348617006339</c:v>
                </c:pt>
                <c:pt idx="2775">
                  <c:v>1.5911245773997511</c:v>
                </c:pt>
                <c:pt idx="2776">
                  <c:v>1.5958854204320427</c:v>
                </c:pt>
                <c:pt idx="2777">
                  <c:v>1.6001167919768997</c:v>
                </c:pt>
                <c:pt idx="2778">
                  <c:v>1.6038182671070045</c:v>
                </c:pt>
                <c:pt idx="2779">
                  <c:v>1.6069895946130264</c:v>
                </c:pt>
                <c:pt idx="2780">
                  <c:v>1.6096306967718983</c:v>
                </c:pt>
                <c:pt idx="2781">
                  <c:v>1.6117416690588995</c:v>
                </c:pt>
                <c:pt idx="2782">
                  <c:v>1.6133227798037273</c:v>
                </c:pt>
                <c:pt idx="2783">
                  <c:v>1.6143744697907778</c:v>
                </c:pt>
                <c:pt idx="2784">
                  <c:v>1.6148973518038525</c:v>
                </c:pt>
                <c:pt idx="2785">
                  <c:v>1.6148922101155578</c:v>
                </c:pt>
                <c:pt idx="2786">
                  <c:v>1.6143599999216476</c:v>
                </c:pt>
                <c:pt idx="2787">
                  <c:v>1.6133018467206082</c:v>
                </c:pt>
                <c:pt idx="2788">
                  <c:v>1.6117190456387678</c:v>
                </c:pt>
                <c:pt idx="2789">
                  <c:v>1.6096130607012746</c:v>
                </c:pt>
                <c:pt idx="2790">
                  <c:v>1.6069855240492605</c:v>
                </c:pt>
                <c:pt idx="2791">
                  <c:v>1.6038382351035354</c:v>
                </c:pt>
                <c:pt idx="2792">
                  <c:v>1.6001731596752136</c:v>
                </c:pt>
                <c:pt idx="2793">
                  <c:v>1.595992429023624</c:v>
                </c:pt>
                <c:pt idx="2794">
                  <c:v>1.5912983388619326</c:v>
                </c:pt>
                <c:pt idx="2795">
                  <c:v>1.5860933483108761</c:v>
                </c:pt>
                <c:pt idx="2796">
                  <c:v>1.5803800788010542</c:v>
                </c:pt>
                <c:pt idx="2797">
                  <c:v>1.5741613129242278</c:v>
                </c:pt>
                <c:pt idx="2798">
                  <c:v>1.567439993234103</c:v>
                </c:pt>
                <c:pt idx="2799">
                  <c:v>1.5602192209970451</c:v>
                </c:pt>
                <c:pt idx="2800">
                  <c:v>1.5525022548932703</c:v>
                </c:pt>
                <c:pt idx="2801">
                  <c:v>1.5442925096689948</c:v>
                </c:pt>
                <c:pt idx="2802">
                  <c:v>1.5355935547400958</c:v>
                </c:pt>
                <c:pt idx="2803">
                  <c:v>1.5264091127477721</c:v>
                </c:pt>
                <c:pt idx="2804">
                  <c:v>1.5167430580668519</c:v>
                </c:pt>
                <c:pt idx="2805">
                  <c:v>1.5065994152672366</c:v>
                </c:pt>
                <c:pt idx="2806">
                  <c:v>1.4959823575291302</c:v>
                </c:pt>
                <c:pt idx="2807">
                  <c:v>1.4848962050125802</c:v>
                </c:pt>
                <c:pt idx="2808">
                  <c:v>1.4733454231820409</c:v>
                </c:pt>
                <c:pt idx="2809">
                  <c:v>1.4613346210865046</c:v>
                </c:pt>
                <c:pt idx="2810">
                  <c:v>1.4488685495959062</c:v>
                </c:pt>
                <c:pt idx="2811">
                  <c:v>1.4359520995943622</c:v>
                </c:pt>
                <c:pt idx="2812">
                  <c:v>1.4225903001310571</c:v>
                </c:pt>
                <c:pt idx="2813">
                  <c:v>1.408788316529304</c:v>
                </c:pt>
                <c:pt idx="2814">
                  <c:v>1.3945514484545976</c:v>
                </c:pt>
                <c:pt idx="2815">
                  <c:v>1.3798851279422459</c:v>
                </c:pt>
                <c:pt idx="2816">
                  <c:v>1.3647949173854181</c:v>
                </c:pt>
                <c:pt idx="2817">
                  <c:v>1.3492865074842444</c:v>
                </c:pt>
                <c:pt idx="2818">
                  <c:v>1.3333657151567813</c:v>
                </c:pt>
                <c:pt idx="2819">
                  <c:v>1.3170384814124663</c:v>
                </c:pt>
                <c:pt idx="2820">
                  <c:v>1.3003108691890295</c:v>
                </c:pt>
                <c:pt idx="2821">
                  <c:v>1.2831890611534198</c:v>
                </c:pt>
                <c:pt idx="2822">
                  <c:v>1.2656793574676954</c:v>
                </c:pt>
                <c:pt idx="2823">
                  <c:v>1.2477881735205198</c:v>
                </c:pt>
                <c:pt idx="2824">
                  <c:v>1.2295220376252234</c:v>
                </c:pt>
                <c:pt idx="2825">
                  <c:v>1.2108875886851194</c:v>
                </c:pt>
                <c:pt idx="2826">
                  <c:v>1.1918915738269777</c:v>
                </c:pt>
                <c:pt idx="2827">
                  <c:v>1.1725408460033961</c:v>
                </c:pt>
                <c:pt idx="2828">
                  <c:v>1.152842361564991</c:v>
                </c:pt>
                <c:pt idx="2829">
                  <c:v>1.1328031778032488</c:v>
                </c:pt>
                <c:pt idx="2830">
                  <c:v>1.1124304504648537</c:v>
                </c:pt>
                <c:pt idx="2831">
                  <c:v>1.0917314312383166</c:v>
                </c:pt>
                <c:pt idx="2832">
                  <c:v>1.0707134652139083</c:v>
                </c:pt>
                <c:pt idx="2833">
                  <c:v>1.0493839883176408</c:v>
                </c:pt>
                <c:pt idx="2834">
                  <c:v>1.0277505247202887</c:v>
                </c:pt>
                <c:pt idx="2835">
                  <c:v>1.0058206842222108</c:v>
                </c:pt>
                <c:pt idx="2836">
                  <c:v>0.9836021596149882</c:v>
                </c:pt>
                <c:pt idx="2837">
                  <c:v>0.96110272402077002</c:v>
                </c:pt>
                <c:pt idx="2838">
                  <c:v>0.93833022821017942</c:v>
                </c:pt>
                <c:pt idx="2839">
                  <c:v>0.91529259789966755</c:v>
                </c:pt>
                <c:pt idx="2840">
                  <c:v>0.89199783102937058</c:v>
                </c:pt>
                <c:pt idx="2841">
                  <c:v>0.86845399502225462</c:v>
                </c:pt>
                <c:pt idx="2842">
                  <c:v>0.84466922402558553</c:v>
                </c:pt>
                <c:pt idx="2843">
                  <c:v>0.82065171613551247</c:v>
                </c:pt>
                <c:pt idx="2844">
                  <c:v>0.79640973060589448</c:v>
                </c:pt>
                <c:pt idx="2845">
                  <c:v>0.7719515850420976</c:v>
                </c:pt>
                <c:pt idx="2846">
                  <c:v>0.74728565258097135</c:v>
                </c:pt>
                <c:pt idx="2847">
                  <c:v>0.72242035905760038</c:v>
                </c:pt>
                <c:pt idx="2848">
                  <c:v>0.69736418016011681</c:v>
                </c:pt>
                <c:pt idx="2849">
                  <c:v>0.67212563857331042</c:v>
                </c:pt>
                <c:pt idx="2850">
                  <c:v>0.64671330111211855</c:v>
                </c:pt>
                <c:pt idx="2851">
                  <c:v>0.62113577584578861</c:v>
                </c:pt>
                <c:pt idx="2852">
                  <c:v>0.59540170921387869</c:v>
                </c:pt>
                <c:pt idx="2853">
                  <c:v>0.5695197831348332</c:v>
                </c:pt>
                <c:pt idx="2854">
                  <c:v>0.54349871210836032</c:v>
                </c:pt>
                <c:pt idx="2855">
                  <c:v>0.51734724031220625</c:v>
                </c:pt>
                <c:pt idx="2856">
                  <c:v>0.49107413869463845</c:v>
                </c:pt>
                <c:pt idx="2857">
                  <c:v>0.46468820206336947</c:v>
                </c:pt>
                <c:pt idx="2858">
                  <c:v>0.43819824617201192</c:v>
                </c:pt>
                <c:pt idx="2859">
                  <c:v>0.41161310480485624</c:v>
                </c:pt>
                <c:pt idx="2860">
                  <c:v>0.38494162686114153</c:v>
                </c:pt>
                <c:pt idx="2861">
                  <c:v>0.35819267343954175</c:v>
                </c:pt>
                <c:pt idx="2862">
                  <c:v>0.33137511492410637</c:v>
                </c:pt>
                <c:pt idx="2863">
                  <c:v>0.30449782807221898</c:v>
                </c:pt>
                <c:pt idx="2864">
                  <c:v>0.27756969310589463</c:v>
                </c:pt>
                <c:pt idx="2865">
                  <c:v>0.25059959080712396</c:v>
                </c:pt>
                <c:pt idx="2866">
                  <c:v>0.22359639961834438</c:v>
                </c:pt>
                <c:pt idx="2867">
                  <c:v>0.19656899274880352</c:v>
                </c:pt>
                <c:pt idx="2868">
                  <c:v>0.16952623528796334</c:v>
                </c:pt>
                <c:pt idx="2869">
                  <c:v>0.14247698132670278</c:v>
                </c:pt>
                <c:pt idx="2870">
                  <c:v>0.11543007108738355</c:v>
                </c:pt>
                <c:pt idx="2871">
                  <c:v>8.8394328063465394E-2</c:v>
                </c:pt>
                <c:pt idx="2872">
                  <c:v>6.1378556169959214E-2</c:v>
                </c:pt>
                <c:pt idx="2873">
                  <c:v>3.4391536905246309E-2</c:v>
                </c:pt>
                <c:pt idx="2874">
                  <c:v>7.442026525456163E-3</c:v>
                </c:pt>
                <c:pt idx="2875">
                  <c:v>-1.9461246767931473E-2</c:v>
                </c:pt>
                <c:pt idx="2876">
                  <c:v>-4.6309585626142784E-2</c:v>
                </c:pt>
                <c:pt idx="2877">
                  <c:v>-7.3094326336086091E-2</c:v>
                </c:pt>
                <c:pt idx="2878">
                  <c:v>-9.9806841587376877E-2</c:v>
                </c:pt>
                <c:pt idx="2879">
                  <c:v>-0.12643854322232673</c:v>
                </c:pt>
                <c:pt idx="2880">
                  <c:v>-0.15298088496839779</c:v>
                </c:pt>
                <c:pt idx="2881">
                  <c:v>-0.1794253651518945</c:v>
                </c:pt>
                <c:pt idx="2882">
                  <c:v>-0.20576352939227233</c:v>
                </c:pt>
                <c:pt idx="2883">
                  <c:v>-0.23198697327608159</c:v>
                </c:pt>
                <c:pt idx="2884">
                  <c:v>-0.25808734500987979</c:v>
                </c:pt>
                <c:pt idx="2885">
                  <c:v>-0.28405634805107288</c:v>
                </c:pt>
                <c:pt idx="2886">
                  <c:v>-0.30988574371602617</c:v>
                </c:pt>
                <c:pt idx="2887">
                  <c:v>-0.33556735376457009</c:v>
                </c:pt>
                <c:pt idx="2888">
                  <c:v>-0.36109306296011112</c:v>
                </c:pt>
                <c:pt idx="2889">
                  <c:v>-0.38645482160455474</c:v>
                </c:pt>
                <c:pt idx="2890">
                  <c:v>-0.41164464804727319</c:v>
                </c:pt>
                <c:pt idx="2891">
                  <c:v>-0.43665463116727865</c:v>
                </c:pt>
                <c:pt idx="2892">
                  <c:v>-0.46147693282799856</c:v>
                </c:pt>
                <c:pt idx="2893">
                  <c:v>-0.48610379030369183</c:v>
                </c:pt>
                <c:pt idx="2894">
                  <c:v>-0.51052751867693469</c:v>
                </c:pt>
                <c:pt idx="2895">
                  <c:v>-0.53474051320631266</c:v>
                </c:pt>
                <c:pt idx="2896">
                  <c:v>-0.55873525166381</c:v>
                </c:pt>
                <c:pt idx="2897">
                  <c:v>-0.5825042966408579</c:v>
                </c:pt>
                <c:pt idx="2898">
                  <c:v>-0.60604029782268787</c:v>
                </c:pt>
                <c:pt idx="2899">
                  <c:v>-0.62933599423004549</c:v>
                </c:pt>
                <c:pt idx="2900">
                  <c:v>-0.65238421642780287</c:v>
                </c:pt>
                <c:pt idx="2901">
                  <c:v>-0.67517788869961037</c:v>
                </c:pt>
                <c:pt idx="2902">
                  <c:v>-0.69771003118808728</c:v>
                </c:pt>
                <c:pt idx="2903">
                  <c:v>-0.71997376199980023</c:v>
                </c:pt>
                <c:pt idx="2904">
                  <c:v>-0.741962299274598</c:v>
                </c:pt>
                <c:pt idx="2905">
                  <c:v>-0.76366896321838118</c:v>
                </c:pt>
                <c:pt idx="2906">
                  <c:v>-0.78508717809903339</c:v>
                </c:pt>
                <c:pt idx="2907">
                  <c:v>-0.80621047420468495</c:v>
                </c:pt>
                <c:pt idx="2908">
                  <c:v>-0.82703248976393251</c:v>
                </c:pt>
                <c:pt idx="2909">
                  <c:v>-0.84754697282727354</c:v>
                </c:pt>
                <c:pt idx="2910">
                  <c:v>-0.86774778310935274</c:v>
                </c:pt>
                <c:pt idx="2911">
                  <c:v>-0.88762889379138599</c:v>
                </c:pt>
                <c:pt idx="2912">
                  <c:v>-0.90718439328336475</c:v>
                </c:pt>
                <c:pt idx="2913">
                  <c:v>-0.92640848694543532</c:v>
                </c:pt>
                <c:pt idx="2914">
                  <c:v>-0.94529549876796104</c:v>
                </c:pt>
                <c:pt idx="2915">
                  <c:v>-0.96383987300986829</c:v>
                </c:pt>
                <c:pt idx="2916">
                  <c:v>-0.98203617579481284</c:v>
                </c:pt>
                <c:pt idx="2917">
                  <c:v>-0.9998790966646266</c:v>
                </c:pt>
                <c:pt idx="2918">
                  <c:v>-1.0173634500897151</c:v>
                </c:pt>
                <c:pt idx="2919">
                  <c:v>-1.0344841769359154</c:v>
                </c:pt>
                <c:pt idx="2920">
                  <c:v>-1.0512363458875122</c:v>
                </c:pt>
                <c:pt idx="2921">
                  <c:v>-1.0676151548259314</c:v>
                </c:pt>
                <c:pt idx="2922">
                  <c:v>-1.0836159321637462</c:v>
                </c:pt>
                <c:pt idx="2923">
                  <c:v>-1.099234138133705</c:v>
                </c:pt>
                <c:pt idx="2924">
                  <c:v>-1.1144653660324322</c:v>
                </c:pt>
                <c:pt idx="2925">
                  <c:v>-1.1293053434183988</c:v>
                </c:pt>
                <c:pt idx="2926">
                  <c:v>-1.1437499332639456</c:v>
                </c:pt>
                <c:pt idx="2927">
                  <c:v>-1.1577951350609919</c:v>
                </c:pt>
                <c:pt idx="2928">
                  <c:v>-1.171437085880245</c:v>
                </c:pt>
                <c:pt idx="2929">
                  <c:v>-1.1846720613835608</c:v>
                </c:pt>
                <c:pt idx="2930">
                  <c:v>-1.1974964767892207</c:v>
                </c:pt>
                <c:pt idx="2931">
                  <c:v>-1.2099068877899402</c:v>
                </c:pt>
                <c:pt idx="2932">
                  <c:v>-1.2218999914233957</c:v>
                </c:pt>
                <c:pt idx="2933">
                  <c:v>-1.2334726268950005</c:v>
                </c:pt>
                <c:pt idx="2934">
                  <c:v>-1.2446217763528205</c:v>
                </c:pt>
                <c:pt idx="2935">
                  <c:v>-1.2553445656144144</c:v>
                </c:pt>
                <c:pt idx="2936">
                  <c:v>-1.2656382648455065</c:v>
                </c:pt>
                <c:pt idx="2937">
                  <c:v>-1.27550028919028</c:v>
                </c:pt>
                <c:pt idx="2938">
                  <c:v>-1.2849281993532558</c:v>
                </c:pt>
                <c:pt idx="2939">
                  <c:v>-1.2939197021325457</c:v>
                </c:pt>
                <c:pt idx="2940">
                  <c:v>-1.3024726509045428</c:v>
                </c:pt>
                <c:pt idx="2941">
                  <c:v>-1.3105850460598334</c:v>
                </c:pt>
                <c:pt idx="2942">
                  <c:v>-1.3182550353903679</c:v>
                </c:pt>
                <c:pt idx="2943">
                  <c:v>-1.3254809144278015</c:v>
                </c:pt>
                <c:pt idx="2944">
                  <c:v>-1.3322611267330333</c:v>
                </c:pt>
                <c:pt idx="2945">
                  <c:v>-1.3385942641368778</c:v>
                </c:pt>
                <c:pt idx="2946">
                  <c:v>-1.3444790669319404</c:v>
                </c:pt>
                <c:pt idx="2947">
                  <c:v>-1.3499144240156393</c:v>
                </c:pt>
                <c:pt idx="2948">
                  <c:v>-1.3548993729845327</c:v>
                </c:pt>
                <c:pt idx="2949">
                  <c:v>-1.3594331001798929</c:v>
                </c:pt>
                <c:pt idx="2950">
                  <c:v>-1.3635149406846687</c:v>
                </c:pt>
                <c:pt idx="2951">
                  <c:v>-1.3671443782719024</c:v>
                </c:pt>
                <c:pt idx="2952">
                  <c:v>-1.3703210453047141</c:v>
                </c:pt>
                <c:pt idx="2953">
                  <c:v>-1.3730447225879652</c:v>
                </c:pt>
                <c:pt idx="2954">
                  <c:v>-1.3753153391717374</c:v>
                </c:pt>
                <c:pt idx="2955">
                  <c:v>-1.3771329721067904</c:v>
                </c:pt>
                <c:pt idx="2956">
                  <c:v>-1.3784978461521447</c:v>
                </c:pt>
                <c:pt idx="2957">
                  <c:v>-1.3794103334349939</c:v>
                </c:pt>
                <c:pt idx="2958">
                  <c:v>-1.3798709530631224</c:v>
                </c:pt>
                <c:pt idx="2959">
                  <c:v>-1.3798803706900578</c:v>
                </c:pt>
                <c:pt idx="2960">
                  <c:v>-1.3794393980331743</c:v>
                </c:pt>
                <c:pt idx="2961">
                  <c:v>-1.3785489923449943</c:v>
                </c:pt>
                <c:pt idx="2962">
                  <c:v>-1.3772102558379438</c:v>
                </c:pt>
                <c:pt idx="2963">
                  <c:v>-1.375424435062836</c:v>
                </c:pt>
                <c:pt idx="2964">
                  <c:v>-1.3731929202413602</c:v>
                </c:pt>
                <c:pt idx="2965">
                  <c:v>-1.3705172445528968</c:v>
                </c:pt>
                <c:pt idx="2966">
                  <c:v>-1.3673990833759424</c:v>
                </c:pt>
                <c:pt idx="2967">
                  <c:v>-1.3638402534845164</c:v>
                </c:pt>
                <c:pt idx="2968">
                  <c:v>-1.359842712199848</c:v>
                </c:pt>
                <c:pt idx="2969">
                  <c:v>-1.3554085564977292</c:v>
                </c:pt>
                <c:pt idx="2970">
                  <c:v>-1.3505400220719062</c:v>
                </c:pt>
                <c:pt idx="2971">
                  <c:v>-1.3452394823538862</c:v>
                </c:pt>
                <c:pt idx="2972">
                  <c:v>-1.3395094474895322</c:v>
                </c:pt>
                <c:pt idx="2973">
                  <c:v>-1.3333525632729273</c:v>
                </c:pt>
                <c:pt idx="2974">
                  <c:v>-1.3267716100378548</c:v>
                </c:pt>
                <c:pt idx="2975">
                  <c:v>-1.319769501507394</c:v>
                </c:pt>
                <c:pt idx="2976">
                  <c:v>-1.3123492836020323</c:v>
                </c:pt>
                <c:pt idx="2977">
                  <c:v>-1.3045141332068009</c:v>
                </c:pt>
                <c:pt idx="2978">
                  <c:v>-1.2962673568978833</c:v>
                </c:pt>
                <c:pt idx="2979">
                  <c:v>-1.2876123896292089</c:v>
                </c:pt>
                <c:pt idx="2980">
                  <c:v>-1.2785527933794893</c:v>
                </c:pt>
                <c:pt idx="2981">
                  <c:v>-1.2690922557602553</c:v>
                </c:pt>
                <c:pt idx="2982">
                  <c:v>-1.2592345885854115</c:v>
                </c:pt>
                <c:pt idx="2983">
                  <c:v>-1.2489837264028345</c:v>
                </c:pt>
                <c:pt idx="2984">
                  <c:v>-1.2383437249885358</c:v>
                </c:pt>
                <c:pt idx="2985">
                  <c:v>-1.2273187598040078</c:v>
                </c:pt>
                <c:pt idx="2986">
                  <c:v>-1.2159131244172801</c:v>
                </c:pt>
                <c:pt idx="2987">
                  <c:v>-1.2041312288882973</c:v>
                </c:pt>
                <c:pt idx="2988">
                  <c:v>-1.1919775981191461</c:v>
                </c:pt>
                <c:pt idx="2989">
                  <c:v>-1.1794568701698176</c:v>
                </c:pt>
                <c:pt idx="2990">
                  <c:v>-1.1665737945400756</c:v>
                </c:pt>
                <c:pt idx="2991">
                  <c:v>-1.1533332304180508</c:v>
                </c:pt>
                <c:pt idx="2992">
                  <c:v>-1.1397401448961737</c:v>
                </c:pt>
                <c:pt idx="2993">
                  <c:v>-1.1257996111551438</c:v>
                </c:pt>
                <c:pt idx="2994">
                  <c:v>-1.1115168066165313</c:v>
                </c:pt>
                <c:pt idx="2995">
                  <c:v>-1.0968970110647209</c:v>
                </c:pt>
                <c:pt idx="2996">
                  <c:v>-1.0819456047387908</c:v>
                </c:pt>
                <c:pt idx="2997">
                  <c:v>-1.0666680663950732</c:v>
                </c:pt>
                <c:pt idx="2998">
                  <c:v>-1.0510699713410845</c:v>
                </c:pt>
                <c:pt idx="2999">
                  <c:v>-1.0351569894414732</c:v>
                </c:pt>
                <c:pt idx="3000">
                  <c:v>-1.0189348830966711</c:v>
                </c:pt>
                <c:pt idx="3001">
                  <c:v>-1.0024095051950483</c:v>
                </c:pt>
                <c:pt idx="3002">
                  <c:v>-0.98558679703920415</c:v>
                </c:pt>
                <c:pt idx="3003">
                  <c:v>-0.96847278624714506</c:v>
                </c:pt>
                <c:pt idx="3004">
                  <c:v>-0.95107358462910696</c:v>
                </c:pt>
                <c:pt idx="3005">
                  <c:v>-0.93339538604068339</c:v>
                </c:pt>
                <c:pt idx="3006">
                  <c:v>-0.91544446421307801</c:v>
                </c:pt>
                <c:pt idx="3007">
                  <c:v>-0.8972271705612318</c:v>
                </c:pt>
                <c:pt idx="3008">
                  <c:v>-0.87874993197053208</c:v>
                </c:pt>
                <c:pt idx="3009">
                  <c:v>-0.86001924856284639</c:v>
                </c:pt>
                <c:pt idx="3010">
                  <c:v>-0.84104169144275054</c:v>
                </c:pt>
                <c:pt idx="3011">
                  <c:v>-0.82182390042461795</c:v>
                </c:pt>
                <c:pt idx="3012">
                  <c:v>-0.80237258174143133</c:v>
                </c:pt>
                <c:pt idx="3013">
                  <c:v>-0.78269450573598531</c:v>
                </c:pt>
                <c:pt idx="3014">
                  <c:v>-0.76279650453537229</c:v>
                </c:pt>
                <c:pt idx="3015">
                  <c:v>-0.74268546970953198</c:v>
                </c:pt>
                <c:pt idx="3016">
                  <c:v>-0.72236834991459875</c:v>
                </c:pt>
                <c:pt idx="3017">
                  <c:v>-0.70185214852183331</c:v>
                </c:pt>
                <c:pt idx="3018">
                  <c:v>-0.68114392123304601</c:v>
                </c:pt>
                <c:pt idx="3019">
                  <c:v>-0.66025077368320317</c:v>
                </c:pt>
                <c:pt idx="3020">
                  <c:v>-0.63917985903110797</c:v>
                </c:pt>
                <c:pt idx="3021">
                  <c:v>-0.61793837553885389</c:v>
                </c:pt>
                <c:pt idx="3022">
                  <c:v>-0.59653356414096526</c:v>
                </c:pt>
                <c:pt idx="3023">
                  <c:v>-0.57497270600403128</c:v>
                </c:pt>
                <c:pt idx="3024">
                  <c:v>-0.55326312007758871</c:v>
                </c:pt>
                <c:pt idx="3025">
                  <c:v>-0.53141216063704733</c:v>
                </c:pt>
                <c:pt idx="3026">
                  <c:v>-0.50942721481960196</c:v>
                </c:pt>
                <c:pt idx="3027">
                  <c:v>-0.48731570015381581</c:v>
                </c:pt>
                <c:pt idx="3028">
                  <c:v>-0.46508506208379868</c:v>
                </c:pt>
                <c:pt idx="3029">
                  <c:v>-0.44274277148865748</c:v>
                </c:pt>
                <c:pt idx="3030">
                  <c:v>-0.42029632219821944</c:v>
                </c:pt>
                <c:pt idx="3031">
                  <c:v>-0.39775322850565675</c:v>
                </c:pt>
                <c:pt idx="3032">
                  <c:v>-0.37512102267806197</c:v>
                </c:pt>
                <c:pt idx="3033">
                  <c:v>-0.3524072524654781</c:v>
                </c:pt>
                <c:pt idx="3034">
                  <c:v>-0.32961947860950508</c:v>
                </c:pt>
                <c:pt idx="3035">
                  <c:v>-0.30676527235210405</c:v>
                </c:pt>
                <c:pt idx="3036">
                  <c:v>-0.28385221294552443</c:v>
                </c:pt>
                <c:pt idx="3037">
                  <c:v>-0.26088788516402656</c:v>
                </c:pt>
                <c:pt idx="3038">
                  <c:v>-0.23787987681839223</c:v>
                </c:pt>
                <c:pt idx="3039">
                  <c:v>-0.21483577627383332</c:v>
                </c:pt>
                <c:pt idx="3040">
                  <c:v>-0.19176316997234755</c:v>
                </c:pt>
                <c:pt idx="3041">
                  <c:v>-0.16866963995999421</c:v>
                </c:pt>
                <c:pt idx="3042">
                  <c:v>-0.14556276142020552</c:v>
                </c:pt>
                <c:pt idx="3043">
                  <c:v>-0.12245010021373037</c:v>
                </c:pt>
                <c:pt idx="3044">
                  <c:v>-9.9339210426115807E-2</c:v>
                </c:pt>
                <c:pt idx="3045">
                  <c:v>-7.6237631923370949E-2</c:v>
                </c:pt>
                <c:pt idx="3046">
                  <c:v>-5.3152887916776644E-2</c:v>
                </c:pt>
                <c:pt idx="3047">
                  <c:v>-3.0092482537482815E-2</c:v>
                </c:pt>
                <c:pt idx="3048">
                  <c:v>-7.0638984217226289E-3</c:v>
                </c:pt>
                <c:pt idx="3049">
                  <c:v>1.59254056925975E-2</c:v>
                </c:pt>
                <c:pt idx="3050">
                  <c:v>3.8867997357167304E-2</c:v>
                </c:pt>
                <c:pt idx="3051">
                  <c:v>6.1756472791652424E-2</c:v>
                </c:pt>
                <c:pt idx="3052">
                  <c:v>8.4583459248377554E-2</c:v>
                </c:pt>
                <c:pt idx="3053">
                  <c:v>0.10734161736270052</c:v>
                </c:pt>
                <c:pt idx="3054">
                  <c:v>0.13002364348815657</c:v>
                </c:pt>
                <c:pt idx="3055">
                  <c:v>0.15262227201578127</c:v>
                </c:pt>
                <c:pt idx="3056">
                  <c:v>0.17513027767676845</c:v>
                </c:pt>
                <c:pt idx="3057">
                  <c:v>0.19754047782793704</c:v>
                </c:pt>
                <c:pt idx="3058">
                  <c:v>0.21984573471897897</c:v>
                </c:pt>
                <c:pt idx="3059">
                  <c:v>0.24203895774110462</c:v>
                </c:pt>
                <c:pt idx="3060">
                  <c:v>0.26411310565614354</c:v>
                </c:pt>
                <c:pt idx="3061">
                  <c:v>0.28606118880560083</c:v>
                </c:pt>
                <c:pt idx="3062">
                  <c:v>0.30787627129880463</c:v>
                </c:pt>
                <c:pt idx="3063">
                  <c:v>0.32955147317960293</c:v>
                </c:pt>
                <c:pt idx="3064">
                  <c:v>0.35107997257083295</c:v>
                </c:pt>
                <c:pt idx="3065">
                  <c:v>0.37245500779609031</c:v>
                </c:pt>
                <c:pt idx="3066">
                  <c:v>0.39366987947784504</c:v>
                </c:pt>
                <c:pt idx="3067">
                  <c:v>0.41471795261157424</c:v>
                </c:pt>
                <c:pt idx="3068">
                  <c:v>0.43559265861504443</c:v>
                </c:pt>
                <c:pt idx="3069">
                  <c:v>0.456287497352306</c:v>
                </c:pt>
                <c:pt idx="3070">
                  <c:v>0.47679603913161067</c:v>
                </c:pt>
                <c:pt idx="3071">
                  <c:v>0.4971119266767754</c:v>
                </c:pt>
                <c:pt idx="3072">
                  <c:v>0.51722887707130805</c:v>
                </c:pt>
                <c:pt idx="3073">
                  <c:v>0.53714068367481949</c:v>
                </c:pt>
                <c:pt idx="3074">
                  <c:v>0.55684121801104036</c:v>
                </c:pt>
                <c:pt idx="3075">
                  <c:v>0.5763244316268874</c:v>
                </c:pt>
                <c:pt idx="3076">
                  <c:v>0.59558435792208597</c:v>
                </c:pt>
                <c:pt idx="3077">
                  <c:v>0.61461511394880719</c:v>
                </c:pt>
                <c:pt idx="3078">
                  <c:v>0.63341090218068874</c:v>
                </c:pt>
                <c:pt idx="3079">
                  <c:v>0.65196601225082174</c:v>
                </c:pt>
                <c:pt idx="3080">
                  <c:v>0.67027482265810978</c:v>
                </c:pt>
                <c:pt idx="3081">
                  <c:v>0.68833180244160874</c:v>
                </c:pt>
                <c:pt idx="3082">
                  <c:v>0.70613151282225173</c:v>
                </c:pt>
                <c:pt idx="3083">
                  <c:v>0.72366860881149642</c:v>
                </c:pt>
                <c:pt idx="3084">
                  <c:v>0.74093784078648584</c:v>
                </c:pt>
                <c:pt idx="3085">
                  <c:v>0.75793405603127029</c:v>
                </c:pt>
                <c:pt idx="3086">
                  <c:v>0.7746522002435563</c:v>
                </c:pt>
                <c:pt idx="3087">
                  <c:v>0.7910873190066543</c:v>
                </c:pt>
                <c:pt idx="3088">
                  <c:v>0.80723455922612797</c:v>
                </c:pt>
                <c:pt idx="3089">
                  <c:v>0.82308917053083852</c:v>
                </c:pt>
                <c:pt idx="3090">
                  <c:v>0.83864650663789553</c:v>
                </c:pt>
                <c:pt idx="3091">
                  <c:v>0.85390202668114723</c:v>
                </c:pt>
                <c:pt idx="3092">
                  <c:v>0.8688512965028945</c:v>
                </c:pt>
                <c:pt idx="3093">
                  <c:v>0.88348998990846572</c:v>
                </c:pt>
                <c:pt idx="3094">
                  <c:v>0.89781388988324062</c:v>
                </c:pt>
                <c:pt idx="3095">
                  <c:v>0.91181888977187764</c:v>
                </c:pt>
                <c:pt idx="3096">
                  <c:v>0.9255009944193513</c:v>
                </c:pt>
                <c:pt idx="3097">
                  <c:v>0.93885632127360219</c:v>
                </c:pt>
                <c:pt idx="3098">
                  <c:v>0.95188110144937454</c:v>
                </c:pt>
                <c:pt idx="3099">
                  <c:v>0.96457168075309785</c:v>
                </c:pt>
                <c:pt idx="3100">
                  <c:v>0.97692452066839819</c:v>
                </c:pt>
                <c:pt idx="3101">
                  <c:v>0.98893619930217846</c:v>
                </c:pt>
                <c:pt idx="3102">
                  <c:v>1.0006034122908489</c:v>
                </c:pt>
                <c:pt idx="3103">
                  <c:v>1.0119229736665964</c:v>
                </c:pt>
                <c:pt idx="3104">
                  <c:v>1.0228918166834193</c:v>
                </c:pt>
                <c:pt idx="3105">
                  <c:v>1.0335069946028015</c:v>
                </c:pt>
                <c:pt idx="3106">
                  <c:v>1.0437656814387546</c:v>
                </c:pt>
                <c:pt idx="3107">
                  <c:v>1.0536651726621433</c:v>
                </c:pt>
                <c:pt idx="3108">
                  <c:v>1.0632028858640368</c:v>
                </c:pt>
                <c:pt idx="3109">
                  <c:v>1.0723763613780828</c:v>
                </c:pt>
                <c:pt idx="3110">
                  <c:v>1.0811832628616347</c:v>
                </c:pt>
                <c:pt idx="3111">
                  <c:v>1.0896213778356103</c:v>
                </c:pt>
                <c:pt idx="3112">
                  <c:v>1.0976886181829191</c:v>
                </c:pt>
                <c:pt idx="3113">
                  <c:v>1.105383020605444</c:v>
                </c:pt>
                <c:pt idx="3114">
                  <c:v>1.1127027470394157</c:v>
                </c:pt>
                <c:pt idx="3115">
                  <c:v>1.1196460850291832</c:v>
                </c:pt>
                <c:pt idx="3116">
                  <c:v>1.1262114480593108</c:v>
                </c:pt>
                <c:pt idx="3117">
                  <c:v>1.132397375844965</c:v>
                </c:pt>
                <c:pt idx="3118">
                  <c:v>1.1382025345805828</c:v>
                </c:pt>
                <c:pt idx="3119">
                  <c:v>1.1436257171468107</c:v>
                </c:pt>
                <c:pt idx="3120">
                  <c:v>1.1486658432757064</c:v>
                </c:pt>
                <c:pt idx="3121">
                  <c:v>1.153321959674267</c:v>
                </c:pt>
                <c:pt idx="3122">
                  <c:v>1.1575932401062676</c:v>
                </c:pt>
                <c:pt idx="3123">
                  <c:v>1.1614789854324921</c:v>
                </c:pt>
                <c:pt idx="3124">
                  <c:v>1.1649786236094024</c:v>
                </c:pt>
                <c:pt idx="3125">
                  <c:v>1.1680917096463475</c:v>
                </c:pt>
                <c:pt idx="3126">
                  <c:v>1.1708179255213504</c:v>
                </c:pt>
                <c:pt idx="3127">
                  <c:v>1.1731570800556335</c:v>
                </c:pt>
                <c:pt idx="3128">
                  <c:v>1.1751091087469543</c:v>
                </c:pt>
                <c:pt idx="3129">
                  <c:v>1.1766740735619068</c:v>
                </c:pt>
                <c:pt idx="3130">
                  <c:v>1.1778521626873144</c:v>
                </c:pt>
                <c:pt idx="3131">
                  <c:v>1.1786436902408743</c:v>
                </c:pt>
                <c:pt idx="3132">
                  <c:v>1.1790490959412325</c:v>
                </c:pt>
                <c:pt idx="3133">
                  <c:v>1.1790689447376441</c:v>
                </c:pt>
                <c:pt idx="3134">
                  <c:v>1.1787039263994428</c:v>
                </c:pt>
                <c:pt idx="3135">
                  <c:v>1.177954855065505</c:v>
                </c:pt>
                <c:pt idx="3136">
                  <c:v>1.1768226687539374</c:v>
                </c:pt>
                <c:pt idx="3137">
                  <c:v>1.1753084288322189</c:v>
                </c:pt>
                <c:pt idx="3138">
                  <c:v>1.1734133194480352</c:v>
                </c:pt>
                <c:pt idx="3139">
                  <c:v>1.1711386469210727</c:v>
                </c:pt>
                <c:pt idx="3140">
                  <c:v>1.168485839096032</c:v>
                </c:pt>
                <c:pt idx="3141">
                  <c:v>1.1654564446571509</c:v>
                </c:pt>
                <c:pt idx="3142">
                  <c:v>1.1620521324045123</c:v>
                </c:pt>
                <c:pt idx="3143">
                  <c:v>1.1582746904924752</c:v>
                </c:pt>
                <c:pt idx="3144">
                  <c:v>1.1541260256305006</c:v>
                </c:pt>
                <c:pt idx="3145">
                  <c:v>1.1496081622467549</c:v>
                </c:pt>
                <c:pt idx="3146">
                  <c:v>1.1447232416147737</c:v>
                </c:pt>
                <c:pt idx="3147">
                  <c:v>1.1394735209435807</c:v>
                </c:pt>
                <c:pt idx="3148">
                  <c:v>1.1338613724316089</c:v>
                </c:pt>
                <c:pt idx="3149">
                  <c:v>1.1278892822848103</c:v>
                </c:pt>
                <c:pt idx="3150">
                  <c:v>1.1215598496992885</c:v>
                </c:pt>
                <c:pt idx="3151">
                  <c:v>1.114875785808946</c:v>
                </c:pt>
                <c:pt idx="3152">
                  <c:v>1.1078399125984504</c:v>
                </c:pt>
                <c:pt idx="3153">
                  <c:v>1.1004551617820171</c:v>
                </c:pt>
                <c:pt idx="3154">
                  <c:v>1.0927245736483731</c:v>
                </c:pt>
                <c:pt idx="3155">
                  <c:v>1.08465129587239</c:v>
                </c:pt>
                <c:pt idx="3156">
                  <c:v>1.0762385822938054</c:v>
                </c:pt>
                <c:pt idx="3157">
                  <c:v>1.0674897916635151</c:v>
                </c:pt>
                <c:pt idx="3158">
                  <c:v>1.058408386357842</c:v>
                </c:pt>
                <c:pt idx="3159">
                  <c:v>1.04899793106137</c:v>
                </c:pt>
                <c:pt idx="3160">
                  <c:v>1.0392620914187074</c:v>
                </c:pt>
                <c:pt idx="3161">
                  <c:v>1.0292046326557798</c:v>
                </c:pt>
                <c:pt idx="3162">
                  <c:v>1.018829418171064</c:v>
                </c:pt>
                <c:pt idx="3163">
                  <c:v>1.0081404080973588</c:v>
                </c:pt>
                <c:pt idx="3164">
                  <c:v>0.99714165783456543</c:v>
                </c:pt>
                <c:pt idx="3165">
                  <c:v>0.98583731655404438</c:v>
                </c:pt>
                <c:pt idx="3166">
                  <c:v>0.9742316256750243</c:v>
                </c:pt>
                <c:pt idx="3167">
                  <c:v>0.96232891731368575</c:v>
                </c:pt>
                <c:pt idx="3168">
                  <c:v>0.95013361270545038</c:v>
                </c:pt>
                <c:pt idx="3169">
                  <c:v>0.93765022060102088</c:v>
                </c:pt>
                <c:pt idx="3170">
                  <c:v>0.92488333563673109</c:v>
                </c:pt>
                <c:pt idx="3171">
                  <c:v>0.91183763667984286</c:v>
                </c:pt>
                <c:pt idx="3172">
                  <c:v>0.89851788514931763</c:v>
                </c:pt>
                <c:pt idx="3173">
                  <c:v>0.88492892331270157</c:v>
                </c:pt>
                <c:pt idx="3174">
                  <c:v>0.8710756725596559</c:v>
                </c:pt>
                <c:pt idx="3175">
                  <c:v>0.8569631316528048</c:v>
                </c:pt>
                <c:pt idx="3176">
                  <c:v>0.84259637495650808</c:v>
                </c:pt>
                <c:pt idx="3177">
                  <c:v>0.82798055064413967</c:v>
                </c:pt>
                <c:pt idx="3178">
                  <c:v>0.81312087888448381</c:v>
                </c:pt>
                <c:pt idx="3179">
                  <c:v>0.79802265000795636</c:v>
                </c:pt>
                <c:pt idx="3180">
                  <c:v>0.78269122265320468</c:v>
                </c:pt>
                <c:pt idx="3181">
                  <c:v>0.76713202189480023</c:v>
                </c:pt>
                <c:pt idx="3182">
                  <c:v>0.75135053735255675</c:v>
                </c:pt>
                <c:pt idx="3183">
                  <c:v>0.73535232128327621</c:v>
                </c:pt>
                <c:pt idx="3184">
                  <c:v>0.71914298665541965</c:v>
                </c:pt>
                <c:pt idx="3185">
                  <c:v>0.70272820520754153</c:v>
                </c:pt>
                <c:pt idx="3186">
                  <c:v>0.68611370549092676</c:v>
                </c:pt>
                <c:pt idx="3187">
                  <c:v>0.66930527089730885</c:v>
                </c:pt>
                <c:pt idx="3188">
                  <c:v>0.65230873767220865</c:v>
                </c:pt>
                <c:pt idx="3189">
                  <c:v>0.63512999291464967</c:v>
                </c:pt>
                <c:pt idx="3190">
                  <c:v>0.61777497256381952</c:v>
                </c:pt>
                <c:pt idx="3191">
                  <c:v>0.6002496593735015</c:v>
                </c:pt>
                <c:pt idx="3192">
                  <c:v>0.58256008087480904</c:v>
                </c:pt>
                <c:pt idx="3193">
                  <c:v>0.56471230732809419</c:v>
                </c:pt>
                <c:pt idx="3194">
                  <c:v>0.54671244966447097</c:v>
                </c:pt>
                <c:pt idx="3195">
                  <c:v>0.52856665741788444</c:v>
                </c:pt>
                <c:pt idx="3196">
                  <c:v>0.51028111664826736</c:v>
                </c:pt>
                <c:pt idx="3197">
                  <c:v>0.4918620478565669</c:v>
                </c:pt>
                <c:pt idx="3198">
                  <c:v>0.47331570389222483</c:v>
                </c:pt>
                <c:pt idx="3199">
                  <c:v>0.45464836785395635</c:v>
                </c:pt>
                <c:pt idx="3200">
                  <c:v>0.43586635098436938</c:v>
                </c:pt>
                <c:pt idx="3201">
                  <c:v>0.41697599055931223</c:v>
                </c:pt>
                <c:pt idx="3202">
                  <c:v>0.39798364777239553</c:v>
                </c:pt>
                <c:pt idx="3203">
                  <c:v>0.37889570561563291</c:v>
                </c:pt>
                <c:pt idx="3204">
                  <c:v>0.35971856675674485</c:v>
                </c:pt>
                <c:pt idx="3205">
                  <c:v>0.34045865141391901</c:v>
                </c:pt>
                <c:pt idx="3206">
                  <c:v>0.32112239522860375</c:v>
                </c:pt>
                <c:pt idx="3207">
                  <c:v>0.3017162471371852</c:v>
                </c:pt>
                <c:pt idx="3208">
                  <c:v>0.28224666724212288</c:v>
                </c:pt>
                <c:pt idx="3209">
                  <c:v>0.2627201246833385</c:v>
                </c:pt>
                <c:pt idx="3210">
                  <c:v>0.2431430955103849</c:v>
                </c:pt>
                <c:pt idx="3211">
                  <c:v>0.22352206055635407</c:v>
                </c:pt>
                <c:pt idx="3212">
                  <c:v>0.20386350331394168</c:v>
                </c:pt>
                <c:pt idx="3213">
                  <c:v>0.18417390781456347</c:v>
                </c:pt>
                <c:pt idx="3214">
                  <c:v>0.16445975651104058</c:v>
                </c:pt>
                <c:pt idx="3215">
                  <c:v>0.1447275281647008</c:v>
                </c:pt>
                <c:pt idx="3216">
                  <c:v>0.12498369573745419</c:v>
                </c:pt>
                <c:pt idx="3217">
                  <c:v>0.10523472428962173</c:v>
                </c:pt>
                <c:pt idx="3218">
                  <c:v>8.5487068884023715E-2</c:v>
                </c:pt>
                <c:pt idx="3219">
                  <c:v>6.574717249727012E-2</c:v>
                </c:pt>
                <c:pt idx="3220">
                  <c:v>4.6021463938643835E-2</c:v>
                </c:pt>
                <c:pt idx="3221">
                  <c:v>2.6316355777452023E-2</c:v>
                </c:pt>
                <c:pt idx="3222">
                  <c:v>6.6382422793343932E-3</c:v>
                </c:pt>
                <c:pt idx="3223">
                  <c:v>-1.3006502647649489E-2</c:v>
                </c:pt>
                <c:pt idx="3224">
                  <c:v>-3.2611527496626179E-2</c:v>
                </c:pt>
                <c:pt idx="3225">
                  <c:v>-5.2170505194458587E-2</c:v>
                </c:pt>
                <c:pt idx="3226">
                  <c:v>-7.1677135122766342E-2</c:v>
                </c:pt>
                <c:pt idx="3227">
                  <c:v>-9.1125145126508336E-2</c:v>
                </c:pt>
                <c:pt idx="3228">
                  <c:v>-0.11050829350977082</c:v>
                </c:pt>
                <c:pt idx="3229">
                  <c:v>-0.12982037101792615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4E-4489-8131-F283BE9F7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346527"/>
        <c:axId val="794652175"/>
      </c:scatterChart>
      <c:valAx>
        <c:axId val="800346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652175"/>
        <c:crosses val="autoZero"/>
        <c:crossBetween val="midCat"/>
      </c:valAx>
      <c:valAx>
        <c:axId val="79465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346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Displacement (Damped)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Sheet2!$C$1</c:f>
              <c:strCache>
                <c:ptCount val="1"/>
                <c:pt idx="0">
                  <c:v>u(t) Damped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Sheet2!$A$2:$A$3231</c:f>
              <c:numCache>
                <c:formatCode>General</c:formatCode>
                <c:ptCount val="3230"/>
                <c:pt idx="0">
                  <c:v>0</c:v>
                </c:pt>
                <c:pt idx="1">
                  <c:v>1E-3</c:v>
                </c:pt>
                <c:pt idx="2">
                  <c:v>2E-3</c:v>
                </c:pt>
                <c:pt idx="3">
                  <c:v>3.0000000000000001E-3</c:v>
                </c:pt>
                <c:pt idx="4">
                  <c:v>4.0000000000000001E-3</c:v>
                </c:pt>
                <c:pt idx="5">
                  <c:v>5.0000000000000001E-3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8.0000000000000002E-3</c:v>
                </c:pt>
                <c:pt idx="9">
                  <c:v>8.9999999999999993E-3</c:v>
                </c:pt>
                <c:pt idx="10">
                  <c:v>0.01</c:v>
                </c:pt>
                <c:pt idx="11">
                  <c:v>1.0999999999999999E-2</c:v>
                </c:pt>
                <c:pt idx="12">
                  <c:v>1.2E-2</c:v>
                </c:pt>
                <c:pt idx="13">
                  <c:v>1.2999999999999999E-2</c:v>
                </c:pt>
                <c:pt idx="14">
                  <c:v>1.4E-2</c:v>
                </c:pt>
                <c:pt idx="15">
                  <c:v>1.4999999999999999E-2</c:v>
                </c:pt>
                <c:pt idx="16">
                  <c:v>1.6E-2</c:v>
                </c:pt>
                <c:pt idx="17">
                  <c:v>1.7000000000000001E-2</c:v>
                </c:pt>
                <c:pt idx="18">
                  <c:v>1.7999999999999999E-2</c:v>
                </c:pt>
                <c:pt idx="19">
                  <c:v>1.9E-2</c:v>
                </c:pt>
                <c:pt idx="20">
                  <c:v>0.02</c:v>
                </c:pt>
                <c:pt idx="21">
                  <c:v>2.1000000000000001E-2</c:v>
                </c:pt>
                <c:pt idx="22">
                  <c:v>2.1999999999999999E-2</c:v>
                </c:pt>
                <c:pt idx="23">
                  <c:v>2.3E-2</c:v>
                </c:pt>
                <c:pt idx="24">
                  <c:v>2.4E-2</c:v>
                </c:pt>
                <c:pt idx="25">
                  <c:v>2.5000000000000001E-2</c:v>
                </c:pt>
                <c:pt idx="26">
                  <c:v>2.5999999999999999E-2</c:v>
                </c:pt>
                <c:pt idx="27">
                  <c:v>2.7E-2</c:v>
                </c:pt>
                <c:pt idx="28">
                  <c:v>2.8000000000000001E-2</c:v>
                </c:pt>
                <c:pt idx="29">
                  <c:v>2.9000000000000001E-2</c:v>
                </c:pt>
                <c:pt idx="30">
                  <c:v>0.03</c:v>
                </c:pt>
                <c:pt idx="31">
                  <c:v>3.1E-2</c:v>
                </c:pt>
                <c:pt idx="32">
                  <c:v>3.2000000000000001E-2</c:v>
                </c:pt>
                <c:pt idx="33">
                  <c:v>3.3000000000000002E-2</c:v>
                </c:pt>
                <c:pt idx="34">
                  <c:v>3.4000000000000002E-2</c:v>
                </c:pt>
                <c:pt idx="35">
                  <c:v>3.5000000000000003E-2</c:v>
                </c:pt>
                <c:pt idx="36">
                  <c:v>3.5999999999999997E-2</c:v>
                </c:pt>
                <c:pt idx="37">
                  <c:v>3.6999999999999998E-2</c:v>
                </c:pt>
                <c:pt idx="38">
                  <c:v>3.7999999999999999E-2</c:v>
                </c:pt>
                <c:pt idx="39">
                  <c:v>3.9E-2</c:v>
                </c:pt>
                <c:pt idx="40">
                  <c:v>0.04</c:v>
                </c:pt>
                <c:pt idx="41">
                  <c:v>4.1000000000000002E-2</c:v>
                </c:pt>
                <c:pt idx="42">
                  <c:v>4.2000000000000003E-2</c:v>
                </c:pt>
                <c:pt idx="43">
                  <c:v>4.2999999999999997E-2</c:v>
                </c:pt>
                <c:pt idx="44">
                  <c:v>4.3999999999999997E-2</c:v>
                </c:pt>
                <c:pt idx="45">
                  <c:v>4.4999999999999998E-2</c:v>
                </c:pt>
                <c:pt idx="46">
                  <c:v>4.5999999999999999E-2</c:v>
                </c:pt>
                <c:pt idx="47">
                  <c:v>4.7E-2</c:v>
                </c:pt>
                <c:pt idx="48">
                  <c:v>4.8000000000000001E-2</c:v>
                </c:pt>
                <c:pt idx="49">
                  <c:v>4.9000000000000002E-2</c:v>
                </c:pt>
                <c:pt idx="50">
                  <c:v>0.05</c:v>
                </c:pt>
                <c:pt idx="51">
                  <c:v>5.0999999999999997E-2</c:v>
                </c:pt>
                <c:pt idx="52">
                  <c:v>5.1999999999999998E-2</c:v>
                </c:pt>
                <c:pt idx="53">
                  <c:v>5.2999999999999999E-2</c:v>
                </c:pt>
                <c:pt idx="54">
                  <c:v>5.3999999999999999E-2</c:v>
                </c:pt>
                <c:pt idx="55">
                  <c:v>5.5E-2</c:v>
                </c:pt>
                <c:pt idx="56">
                  <c:v>5.6000000000000001E-2</c:v>
                </c:pt>
                <c:pt idx="57">
                  <c:v>5.7000000000000002E-2</c:v>
                </c:pt>
                <c:pt idx="58">
                  <c:v>5.8000000000000003E-2</c:v>
                </c:pt>
                <c:pt idx="59">
                  <c:v>5.8999999999999997E-2</c:v>
                </c:pt>
                <c:pt idx="60">
                  <c:v>0.06</c:v>
                </c:pt>
                <c:pt idx="61">
                  <c:v>6.0999999999999999E-2</c:v>
                </c:pt>
                <c:pt idx="62">
                  <c:v>6.2E-2</c:v>
                </c:pt>
                <c:pt idx="63">
                  <c:v>6.3E-2</c:v>
                </c:pt>
                <c:pt idx="64">
                  <c:v>6.4000000000000001E-2</c:v>
                </c:pt>
                <c:pt idx="65">
                  <c:v>6.5000000000000002E-2</c:v>
                </c:pt>
                <c:pt idx="66">
                  <c:v>6.6000000000000003E-2</c:v>
                </c:pt>
                <c:pt idx="67">
                  <c:v>6.7000000000000004E-2</c:v>
                </c:pt>
                <c:pt idx="68">
                  <c:v>6.8000000000000005E-2</c:v>
                </c:pt>
                <c:pt idx="69">
                  <c:v>6.9000000000000006E-2</c:v>
                </c:pt>
                <c:pt idx="70">
                  <c:v>7.0000000000000007E-2</c:v>
                </c:pt>
                <c:pt idx="71">
                  <c:v>7.0999999999999994E-2</c:v>
                </c:pt>
                <c:pt idx="72">
                  <c:v>7.1999999999999995E-2</c:v>
                </c:pt>
                <c:pt idx="73">
                  <c:v>7.2999999999999995E-2</c:v>
                </c:pt>
                <c:pt idx="74">
                  <c:v>7.3999999999999996E-2</c:v>
                </c:pt>
                <c:pt idx="75">
                  <c:v>7.4999999999999997E-2</c:v>
                </c:pt>
                <c:pt idx="76">
                  <c:v>7.5999999999999998E-2</c:v>
                </c:pt>
                <c:pt idx="77">
                  <c:v>7.6999999999999999E-2</c:v>
                </c:pt>
                <c:pt idx="78">
                  <c:v>7.8E-2</c:v>
                </c:pt>
                <c:pt idx="79">
                  <c:v>7.9000000000000001E-2</c:v>
                </c:pt>
                <c:pt idx="80">
                  <c:v>0.08</c:v>
                </c:pt>
                <c:pt idx="81">
                  <c:v>8.1000000000000003E-2</c:v>
                </c:pt>
                <c:pt idx="82">
                  <c:v>8.2000000000000003E-2</c:v>
                </c:pt>
                <c:pt idx="83">
                  <c:v>8.3000000000000004E-2</c:v>
                </c:pt>
                <c:pt idx="84">
                  <c:v>8.4000000000000005E-2</c:v>
                </c:pt>
                <c:pt idx="85">
                  <c:v>8.5000000000000006E-2</c:v>
                </c:pt>
                <c:pt idx="86">
                  <c:v>8.5999999999999993E-2</c:v>
                </c:pt>
                <c:pt idx="87">
                  <c:v>8.6999999999999994E-2</c:v>
                </c:pt>
                <c:pt idx="88">
                  <c:v>8.7999999999999995E-2</c:v>
                </c:pt>
                <c:pt idx="89">
                  <c:v>8.8999999999999996E-2</c:v>
                </c:pt>
                <c:pt idx="90">
                  <c:v>0.09</c:v>
                </c:pt>
                <c:pt idx="91">
                  <c:v>9.0999999999999998E-2</c:v>
                </c:pt>
                <c:pt idx="92">
                  <c:v>9.1999999999999998E-2</c:v>
                </c:pt>
                <c:pt idx="93">
                  <c:v>9.2999999999999999E-2</c:v>
                </c:pt>
                <c:pt idx="94">
                  <c:v>9.4E-2</c:v>
                </c:pt>
                <c:pt idx="95">
                  <c:v>9.5000000000000001E-2</c:v>
                </c:pt>
                <c:pt idx="96">
                  <c:v>9.6000000000000002E-2</c:v>
                </c:pt>
                <c:pt idx="97">
                  <c:v>9.7000000000000003E-2</c:v>
                </c:pt>
                <c:pt idx="98">
                  <c:v>9.8000000000000004E-2</c:v>
                </c:pt>
                <c:pt idx="99">
                  <c:v>9.9000000000000005E-2</c:v>
                </c:pt>
                <c:pt idx="100">
                  <c:v>0.1</c:v>
                </c:pt>
                <c:pt idx="101">
                  <c:v>0.10100000000000001</c:v>
                </c:pt>
                <c:pt idx="102">
                  <c:v>0.10199999999999999</c:v>
                </c:pt>
                <c:pt idx="103">
                  <c:v>0.10299999999999999</c:v>
                </c:pt>
                <c:pt idx="104">
                  <c:v>0.104</c:v>
                </c:pt>
                <c:pt idx="105">
                  <c:v>0.105</c:v>
                </c:pt>
                <c:pt idx="106">
                  <c:v>0.106</c:v>
                </c:pt>
                <c:pt idx="107">
                  <c:v>0.107</c:v>
                </c:pt>
                <c:pt idx="108">
                  <c:v>0.108</c:v>
                </c:pt>
                <c:pt idx="109">
                  <c:v>0.109</c:v>
                </c:pt>
                <c:pt idx="110">
                  <c:v>0.11</c:v>
                </c:pt>
                <c:pt idx="111">
                  <c:v>0.111</c:v>
                </c:pt>
                <c:pt idx="112">
                  <c:v>0.112</c:v>
                </c:pt>
                <c:pt idx="113">
                  <c:v>0.113</c:v>
                </c:pt>
                <c:pt idx="114">
                  <c:v>0.114</c:v>
                </c:pt>
                <c:pt idx="115">
                  <c:v>0.115</c:v>
                </c:pt>
                <c:pt idx="116">
                  <c:v>0.11600000000000001</c:v>
                </c:pt>
                <c:pt idx="117">
                  <c:v>0.11700000000000001</c:v>
                </c:pt>
                <c:pt idx="118">
                  <c:v>0.11799999999999999</c:v>
                </c:pt>
                <c:pt idx="119">
                  <c:v>0.11899999999999999</c:v>
                </c:pt>
                <c:pt idx="120">
                  <c:v>0.12</c:v>
                </c:pt>
                <c:pt idx="121">
                  <c:v>0.121</c:v>
                </c:pt>
                <c:pt idx="122">
                  <c:v>0.122</c:v>
                </c:pt>
                <c:pt idx="123">
                  <c:v>0.123</c:v>
                </c:pt>
                <c:pt idx="124">
                  <c:v>0.124</c:v>
                </c:pt>
                <c:pt idx="125">
                  <c:v>0.125</c:v>
                </c:pt>
                <c:pt idx="126">
                  <c:v>0.126</c:v>
                </c:pt>
                <c:pt idx="127">
                  <c:v>0.127</c:v>
                </c:pt>
                <c:pt idx="128">
                  <c:v>0.128</c:v>
                </c:pt>
                <c:pt idx="129">
                  <c:v>0.129</c:v>
                </c:pt>
                <c:pt idx="130">
                  <c:v>0.13</c:v>
                </c:pt>
                <c:pt idx="131">
                  <c:v>0.13100000000000001</c:v>
                </c:pt>
                <c:pt idx="132">
                  <c:v>0.13200000000000001</c:v>
                </c:pt>
                <c:pt idx="133">
                  <c:v>0.13300000000000001</c:v>
                </c:pt>
                <c:pt idx="134">
                  <c:v>0.13400000000000001</c:v>
                </c:pt>
                <c:pt idx="135">
                  <c:v>0.13500000000000001</c:v>
                </c:pt>
                <c:pt idx="136">
                  <c:v>0.13600000000000001</c:v>
                </c:pt>
                <c:pt idx="137">
                  <c:v>0.13700000000000001</c:v>
                </c:pt>
                <c:pt idx="138">
                  <c:v>0.13800000000000001</c:v>
                </c:pt>
                <c:pt idx="139">
                  <c:v>0.13900000000000001</c:v>
                </c:pt>
                <c:pt idx="140">
                  <c:v>0.14000000000000001</c:v>
                </c:pt>
                <c:pt idx="141">
                  <c:v>0.14099999999999999</c:v>
                </c:pt>
                <c:pt idx="142">
                  <c:v>0.14199999999999999</c:v>
                </c:pt>
                <c:pt idx="143">
                  <c:v>0.14299999999999999</c:v>
                </c:pt>
                <c:pt idx="144">
                  <c:v>0.14399999999999999</c:v>
                </c:pt>
                <c:pt idx="145">
                  <c:v>0.14499999999999999</c:v>
                </c:pt>
                <c:pt idx="146">
                  <c:v>0.14599999999999999</c:v>
                </c:pt>
                <c:pt idx="147">
                  <c:v>0.14699999999999999</c:v>
                </c:pt>
                <c:pt idx="148">
                  <c:v>0.14799999999999999</c:v>
                </c:pt>
                <c:pt idx="149">
                  <c:v>0.14899999999999999</c:v>
                </c:pt>
                <c:pt idx="150">
                  <c:v>0.15</c:v>
                </c:pt>
                <c:pt idx="151">
                  <c:v>0.151</c:v>
                </c:pt>
                <c:pt idx="152">
                  <c:v>0.152</c:v>
                </c:pt>
                <c:pt idx="153">
                  <c:v>0.153</c:v>
                </c:pt>
                <c:pt idx="154">
                  <c:v>0.154</c:v>
                </c:pt>
                <c:pt idx="155">
                  <c:v>0.155</c:v>
                </c:pt>
                <c:pt idx="156">
                  <c:v>0.156</c:v>
                </c:pt>
                <c:pt idx="157">
                  <c:v>0.157</c:v>
                </c:pt>
                <c:pt idx="158">
                  <c:v>0.158</c:v>
                </c:pt>
                <c:pt idx="159">
                  <c:v>0.159</c:v>
                </c:pt>
                <c:pt idx="160">
                  <c:v>0.16</c:v>
                </c:pt>
                <c:pt idx="161">
                  <c:v>0.161</c:v>
                </c:pt>
                <c:pt idx="162">
                  <c:v>0.16200000000000001</c:v>
                </c:pt>
                <c:pt idx="163">
                  <c:v>0.16300000000000001</c:v>
                </c:pt>
                <c:pt idx="164">
                  <c:v>0.16400000000000001</c:v>
                </c:pt>
                <c:pt idx="165">
                  <c:v>0.16500000000000001</c:v>
                </c:pt>
                <c:pt idx="166">
                  <c:v>0.16600000000000001</c:v>
                </c:pt>
                <c:pt idx="167">
                  <c:v>0.16700000000000001</c:v>
                </c:pt>
                <c:pt idx="168">
                  <c:v>0.16800000000000001</c:v>
                </c:pt>
                <c:pt idx="169">
                  <c:v>0.16900000000000001</c:v>
                </c:pt>
                <c:pt idx="170">
                  <c:v>0.17</c:v>
                </c:pt>
                <c:pt idx="171">
                  <c:v>0.17100000000000001</c:v>
                </c:pt>
                <c:pt idx="172">
                  <c:v>0.17199999999999999</c:v>
                </c:pt>
                <c:pt idx="173">
                  <c:v>0.17299999999999999</c:v>
                </c:pt>
                <c:pt idx="174">
                  <c:v>0.17399999999999999</c:v>
                </c:pt>
                <c:pt idx="175">
                  <c:v>0.17499999999999999</c:v>
                </c:pt>
                <c:pt idx="176">
                  <c:v>0.17599999999999999</c:v>
                </c:pt>
                <c:pt idx="177">
                  <c:v>0.17699999999999999</c:v>
                </c:pt>
                <c:pt idx="178">
                  <c:v>0.17799999999999999</c:v>
                </c:pt>
                <c:pt idx="179">
                  <c:v>0.17899999999999999</c:v>
                </c:pt>
                <c:pt idx="180">
                  <c:v>0.18</c:v>
                </c:pt>
                <c:pt idx="181">
                  <c:v>0.18099999999999999</c:v>
                </c:pt>
                <c:pt idx="182">
                  <c:v>0.182</c:v>
                </c:pt>
                <c:pt idx="183">
                  <c:v>0.183</c:v>
                </c:pt>
                <c:pt idx="184">
                  <c:v>0.184</c:v>
                </c:pt>
                <c:pt idx="185">
                  <c:v>0.185</c:v>
                </c:pt>
                <c:pt idx="186">
                  <c:v>0.186</c:v>
                </c:pt>
                <c:pt idx="187">
                  <c:v>0.187</c:v>
                </c:pt>
                <c:pt idx="188">
                  <c:v>0.188</c:v>
                </c:pt>
                <c:pt idx="189">
                  <c:v>0.189</c:v>
                </c:pt>
                <c:pt idx="190">
                  <c:v>0.19</c:v>
                </c:pt>
                <c:pt idx="191">
                  <c:v>0.191</c:v>
                </c:pt>
                <c:pt idx="192">
                  <c:v>0.192</c:v>
                </c:pt>
                <c:pt idx="193">
                  <c:v>0.193</c:v>
                </c:pt>
                <c:pt idx="194">
                  <c:v>0.19400000000000001</c:v>
                </c:pt>
                <c:pt idx="195">
                  <c:v>0.19500000000000001</c:v>
                </c:pt>
                <c:pt idx="196">
                  <c:v>0.19600000000000001</c:v>
                </c:pt>
                <c:pt idx="197">
                  <c:v>0.19700000000000001</c:v>
                </c:pt>
                <c:pt idx="198">
                  <c:v>0.19800000000000001</c:v>
                </c:pt>
                <c:pt idx="199">
                  <c:v>0.19900000000000001</c:v>
                </c:pt>
                <c:pt idx="200">
                  <c:v>0.2</c:v>
                </c:pt>
                <c:pt idx="201">
                  <c:v>0.20100000000000001</c:v>
                </c:pt>
                <c:pt idx="202">
                  <c:v>0.20200000000000001</c:v>
                </c:pt>
                <c:pt idx="203">
                  <c:v>0.20300000000000001</c:v>
                </c:pt>
                <c:pt idx="204">
                  <c:v>0.20399999999999999</c:v>
                </c:pt>
                <c:pt idx="205">
                  <c:v>0.20499999999999999</c:v>
                </c:pt>
                <c:pt idx="206">
                  <c:v>0.20599999999999999</c:v>
                </c:pt>
                <c:pt idx="207">
                  <c:v>0.20699999999999999</c:v>
                </c:pt>
                <c:pt idx="208">
                  <c:v>0.20799999999999999</c:v>
                </c:pt>
                <c:pt idx="209">
                  <c:v>0.20899999999999999</c:v>
                </c:pt>
                <c:pt idx="210">
                  <c:v>0.21</c:v>
                </c:pt>
                <c:pt idx="211">
                  <c:v>0.21099999999999999</c:v>
                </c:pt>
                <c:pt idx="212">
                  <c:v>0.21199999999999999</c:v>
                </c:pt>
                <c:pt idx="213">
                  <c:v>0.21299999999999999</c:v>
                </c:pt>
                <c:pt idx="214">
                  <c:v>0.214</c:v>
                </c:pt>
                <c:pt idx="215">
                  <c:v>0.215</c:v>
                </c:pt>
                <c:pt idx="216">
                  <c:v>0.216</c:v>
                </c:pt>
                <c:pt idx="217">
                  <c:v>0.217</c:v>
                </c:pt>
                <c:pt idx="218">
                  <c:v>0.218</c:v>
                </c:pt>
                <c:pt idx="219">
                  <c:v>0.219</c:v>
                </c:pt>
                <c:pt idx="220">
                  <c:v>0.22</c:v>
                </c:pt>
                <c:pt idx="221">
                  <c:v>0.221</c:v>
                </c:pt>
                <c:pt idx="222">
                  <c:v>0.222</c:v>
                </c:pt>
                <c:pt idx="223">
                  <c:v>0.223</c:v>
                </c:pt>
                <c:pt idx="224">
                  <c:v>0.224</c:v>
                </c:pt>
                <c:pt idx="225">
                  <c:v>0.22500000000000001</c:v>
                </c:pt>
                <c:pt idx="226">
                  <c:v>0.22600000000000001</c:v>
                </c:pt>
                <c:pt idx="227">
                  <c:v>0.22700000000000001</c:v>
                </c:pt>
                <c:pt idx="228">
                  <c:v>0.22800000000000001</c:v>
                </c:pt>
                <c:pt idx="229">
                  <c:v>0.22900000000000001</c:v>
                </c:pt>
                <c:pt idx="230">
                  <c:v>0.23</c:v>
                </c:pt>
                <c:pt idx="231">
                  <c:v>0.23100000000000001</c:v>
                </c:pt>
                <c:pt idx="232">
                  <c:v>0.23200000000000001</c:v>
                </c:pt>
                <c:pt idx="233">
                  <c:v>0.23300000000000001</c:v>
                </c:pt>
                <c:pt idx="234">
                  <c:v>0.23400000000000001</c:v>
                </c:pt>
                <c:pt idx="235">
                  <c:v>0.23499999999999999</c:v>
                </c:pt>
                <c:pt idx="236">
                  <c:v>0.23599999999999999</c:v>
                </c:pt>
                <c:pt idx="237">
                  <c:v>0.23699999999999999</c:v>
                </c:pt>
                <c:pt idx="238">
                  <c:v>0.23799999999999999</c:v>
                </c:pt>
                <c:pt idx="239">
                  <c:v>0.23899999999999999</c:v>
                </c:pt>
                <c:pt idx="240">
                  <c:v>0.24</c:v>
                </c:pt>
                <c:pt idx="241">
                  <c:v>0.24099999999999999</c:v>
                </c:pt>
                <c:pt idx="242">
                  <c:v>0.24199999999999999</c:v>
                </c:pt>
                <c:pt idx="243">
                  <c:v>0.24299999999999999</c:v>
                </c:pt>
                <c:pt idx="244">
                  <c:v>0.24399999999999999</c:v>
                </c:pt>
                <c:pt idx="245">
                  <c:v>0.245</c:v>
                </c:pt>
                <c:pt idx="246">
                  <c:v>0.246</c:v>
                </c:pt>
                <c:pt idx="247">
                  <c:v>0.247</c:v>
                </c:pt>
                <c:pt idx="248">
                  <c:v>0.248</c:v>
                </c:pt>
                <c:pt idx="249">
                  <c:v>0.249</c:v>
                </c:pt>
                <c:pt idx="250">
                  <c:v>0.25</c:v>
                </c:pt>
                <c:pt idx="251">
                  <c:v>0.251</c:v>
                </c:pt>
                <c:pt idx="252">
                  <c:v>0.252</c:v>
                </c:pt>
                <c:pt idx="253">
                  <c:v>0.253</c:v>
                </c:pt>
                <c:pt idx="254">
                  <c:v>0.254</c:v>
                </c:pt>
                <c:pt idx="255">
                  <c:v>0.255</c:v>
                </c:pt>
                <c:pt idx="256">
                  <c:v>0.25600000000000001</c:v>
                </c:pt>
                <c:pt idx="257">
                  <c:v>0.25700000000000001</c:v>
                </c:pt>
                <c:pt idx="258">
                  <c:v>0.25800000000000001</c:v>
                </c:pt>
                <c:pt idx="259">
                  <c:v>0.25900000000000001</c:v>
                </c:pt>
                <c:pt idx="260">
                  <c:v>0.26</c:v>
                </c:pt>
                <c:pt idx="261">
                  <c:v>0.26100000000000001</c:v>
                </c:pt>
                <c:pt idx="262">
                  <c:v>0.26200000000000001</c:v>
                </c:pt>
                <c:pt idx="263">
                  <c:v>0.26300000000000001</c:v>
                </c:pt>
                <c:pt idx="264">
                  <c:v>0.26400000000000001</c:v>
                </c:pt>
                <c:pt idx="265">
                  <c:v>0.26500000000000001</c:v>
                </c:pt>
                <c:pt idx="266">
                  <c:v>0.26600000000000001</c:v>
                </c:pt>
                <c:pt idx="267">
                  <c:v>0.26700000000000002</c:v>
                </c:pt>
                <c:pt idx="268">
                  <c:v>0.26800000000000002</c:v>
                </c:pt>
                <c:pt idx="269">
                  <c:v>0.26900000000000002</c:v>
                </c:pt>
                <c:pt idx="270">
                  <c:v>0.27</c:v>
                </c:pt>
                <c:pt idx="271">
                  <c:v>0.27100000000000002</c:v>
                </c:pt>
                <c:pt idx="272">
                  <c:v>0.27200000000000002</c:v>
                </c:pt>
                <c:pt idx="273">
                  <c:v>0.27300000000000002</c:v>
                </c:pt>
                <c:pt idx="274">
                  <c:v>0.27400000000000002</c:v>
                </c:pt>
                <c:pt idx="275">
                  <c:v>0.27500000000000002</c:v>
                </c:pt>
                <c:pt idx="276">
                  <c:v>0.27600000000000002</c:v>
                </c:pt>
                <c:pt idx="277">
                  <c:v>0.27700000000000002</c:v>
                </c:pt>
                <c:pt idx="278">
                  <c:v>0.27800000000000002</c:v>
                </c:pt>
                <c:pt idx="279">
                  <c:v>0.27900000000000003</c:v>
                </c:pt>
                <c:pt idx="280">
                  <c:v>0.28000000000000003</c:v>
                </c:pt>
                <c:pt idx="281">
                  <c:v>0.28100000000000003</c:v>
                </c:pt>
                <c:pt idx="282">
                  <c:v>0.28199999999999997</c:v>
                </c:pt>
                <c:pt idx="283">
                  <c:v>0.28299999999999997</c:v>
                </c:pt>
                <c:pt idx="284">
                  <c:v>0.28399999999999997</c:v>
                </c:pt>
                <c:pt idx="285">
                  <c:v>0.28499999999999998</c:v>
                </c:pt>
                <c:pt idx="286">
                  <c:v>0.28599999999999998</c:v>
                </c:pt>
                <c:pt idx="287">
                  <c:v>0.28699999999999998</c:v>
                </c:pt>
                <c:pt idx="288">
                  <c:v>0.28799999999999998</c:v>
                </c:pt>
                <c:pt idx="289">
                  <c:v>0.28899999999999998</c:v>
                </c:pt>
                <c:pt idx="290">
                  <c:v>0.28999999999999998</c:v>
                </c:pt>
                <c:pt idx="291">
                  <c:v>0.29099999999999998</c:v>
                </c:pt>
                <c:pt idx="292">
                  <c:v>0.29199999999999998</c:v>
                </c:pt>
                <c:pt idx="293">
                  <c:v>0.29299999999999998</c:v>
                </c:pt>
                <c:pt idx="294">
                  <c:v>0.29399999999999998</c:v>
                </c:pt>
                <c:pt idx="295">
                  <c:v>0.29499999999999998</c:v>
                </c:pt>
                <c:pt idx="296">
                  <c:v>0.29599999999999999</c:v>
                </c:pt>
                <c:pt idx="297">
                  <c:v>0.29699999999999999</c:v>
                </c:pt>
                <c:pt idx="298">
                  <c:v>0.29799999999999999</c:v>
                </c:pt>
                <c:pt idx="299">
                  <c:v>0.29899999999999999</c:v>
                </c:pt>
                <c:pt idx="300">
                  <c:v>0.3</c:v>
                </c:pt>
                <c:pt idx="301">
                  <c:v>0.30099999999999999</c:v>
                </c:pt>
                <c:pt idx="302">
                  <c:v>0.30199999999999999</c:v>
                </c:pt>
                <c:pt idx="303">
                  <c:v>0.30299999999999999</c:v>
                </c:pt>
                <c:pt idx="304">
                  <c:v>0.30399999999999999</c:v>
                </c:pt>
                <c:pt idx="305">
                  <c:v>0.30499999999999999</c:v>
                </c:pt>
                <c:pt idx="306">
                  <c:v>0.30599999999999999</c:v>
                </c:pt>
                <c:pt idx="307">
                  <c:v>0.307</c:v>
                </c:pt>
                <c:pt idx="308">
                  <c:v>0.308</c:v>
                </c:pt>
                <c:pt idx="309">
                  <c:v>0.309</c:v>
                </c:pt>
                <c:pt idx="310">
                  <c:v>0.31</c:v>
                </c:pt>
                <c:pt idx="311">
                  <c:v>0.311</c:v>
                </c:pt>
                <c:pt idx="312">
                  <c:v>0.312</c:v>
                </c:pt>
                <c:pt idx="313">
                  <c:v>0.313</c:v>
                </c:pt>
                <c:pt idx="314">
                  <c:v>0.314</c:v>
                </c:pt>
                <c:pt idx="315">
                  <c:v>0.315</c:v>
                </c:pt>
                <c:pt idx="316">
                  <c:v>0.316</c:v>
                </c:pt>
                <c:pt idx="317">
                  <c:v>0.317</c:v>
                </c:pt>
                <c:pt idx="318">
                  <c:v>0.318</c:v>
                </c:pt>
                <c:pt idx="319">
                  <c:v>0.31900000000000001</c:v>
                </c:pt>
                <c:pt idx="320">
                  <c:v>0.32</c:v>
                </c:pt>
                <c:pt idx="321">
                  <c:v>0.32100000000000001</c:v>
                </c:pt>
                <c:pt idx="322">
                  <c:v>0.32200000000000001</c:v>
                </c:pt>
                <c:pt idx="323">
                  <c:v>0.32300000000000001</c:v>
                </c:pt>
                <c:pt idx="324">
                  <c:v>0.32400000000000001</c:v>
                </c:pt>
                <c:pt idx="325">
                  <c:v>0.32500000000000001</c:v>
                </c:pt>
                <c:pt idx="326">
                  <c:v>0.32600000000000001</c:v>
                </c:pt>
                <c:pt idx="327">
                  <c:v>0.32700000000000001</c:v>
                </c:pt>
                <c:pt idx="328">
                  <c:v>0.32800000000000001</c:v>
                </c:pt>
                <c:pt idx="329">
                  <c:v>0.32900000000000001</c:v>
                </c:pt>
                <c:pt idx="330">
                  <c:v>0.33</c:v>
                </c:pt>
                <c:pt idx="331">
                  <c:v>0.33100000000000002</c:v>
                </c:pt>
                <c:pt idx="332">
                  <c:v>0.33200000000000002</c:v>
                </c:pt>
                <c:pt idx="333">
                  <c:v>0.33300000000000002</c:v>
                </c:pt>
                <c:pt idx="334">
                  <c:v>0.33400000000000002</c:v>
                </c:pt>
                <c:pt idx="335">
                  <c:v>0.33500000000000002</c:v>
                </c:pt>
                <c:pt idx="336">
                  <c:v>0.33600000000000002</c:v>
                </c:pt>
                <c:pt idx="337">
                  <c:v>0.33700000000000002</c:v>
                </c:pt>
                <c:pt idx="338">
                  <c:v>0.33800000000000002</c:v>
                </c:pt>
                <c:pt idx="339">
                  <c:v>0.33900000000000002</c:v>
                </c:pt>
                <c:pt idx="340">
                  <c:v>0.34</c:v>
                </c:pt>
                <c:pt idx="341">
                  <c:v>0.34100000000000003</c:v>
                </c:pt>
                <c:pt idx="342">
                  <c:v>0.34200000000000003</c:v>
                </c:pt>
                <c:pt idx="343">
                  <c:v>0.34300000000000003</c:v>
                </c:pt>
                <c:pt idx="344">
                  <c:v>0.34399999999999997</c:v>
                </c:pt>
                <c:pt idx="345">
                  <c:v>0.34499999999999997</c:v>
                </c:pt>
                <c:pt idx="346">
                  <c:v>0.34599999999999997</c:v>
                </c:pt>
                <c:pt idx="347">
                  <c:v>0.34699999999999998</c:v>
                </c:pt>
                <c:pt idx="348">
                  <c:v>0.34799999999999998</c:v>
                </c:pt>
                <c:pt idx="349">
                  <c:v>0.34899999999999998</c:v>
                </c:pt>
                <c:pt idx="350">
                  <c:v>0.35</c:v>
                </c:pt>
                <c:pt idx="351">
                  <c:v>0.35099999999999998</c:v>
                </c:pt>
                <c:pt idx="352">
                  <c:v>0.35199999999999998</c:v>
                </c:pt>
                <c:pt idx="353">
                  <c:v>0.35299999999999998</c:v>
                </c:pt>
                <c:pt idx="354">
                  <c:v>0.35399999999999998</c:v>
                </c:pt>
                <c:pt idx="355">
                  <c:v>0.35499999999999998</c:v>
                </c:pt>
                <c:pt idx="356">
                  <c:v>0.35599999999999998</c:v>
                </c:pt>
                <c:pt idx="357">
                  <c:v>0.35699999999999998</c:v>
                </c:pt>
                <c:pt idx="358">
                  <c:v>0.35799999999999998</c:v>
                </c:pt>
                <c:pt idx="359">
                  <c:v>0.35899999999999999</c:v>
                </c:pt>
                <c:pt idx="360">
                  <c:v>0.36</c:v>
                </c:pt>
                <c:pt idx="361">
                  <c:v>0.36099999999999999</c:v>
                </c:pt>
                <c:pt idx="362">
                  <c:v>0.36199999999999999</c:v>
                </c:pt>
                <c:pt idx="363">
                  <c:v>0.36299999999999999</c:v>
                </c:pt>
                <c:pt idx="364">
                  <c:v>0.36399999999999999</c:v>
                </c:pt>
                <c:pt idx="365">
                  <c:v>0.36499999999999999</c:v>
                </c:pt>
                <c:pt idx="366">
                  <c:v>0.36599999999999999</c:v>
                </c:pt>
                <c:pt idx="367">
                  <c:v>0.36699999999999999</c:v>
                </c:pt>
                <c:pt idx="368">
                  <c:v>0.36799999999999999</c:v>
                </c:pt>
                <c:pt idx="369">
                  <c:v>0.36899999999999999</c:v>
                </c:pt>
                <c:pt idx="370">
                  <c:v>0.37</c:v>
                </c:pt>
                <c:pt idx="371">
                  <c:v>0.371</c:v>
                </c:pt>
                <c:pt idx="372">
                  <c:v>0.372</c:v>
                </c:pt>
                <c:pt idx="373">
                  <c:v>0.373</c:v>
                </c:pt>
                <c:pt idx="374">
                  <c:v>0.374</c:v>
                </c:pt>
                <c:pt idx="375">
                  <c:v>0.375</c:v>
                </c:pt>
                <c:pt idx="376">
                  <c:v>0.376</c:v>
                </c:pt>
                <c:pt idx="377">
                  <c:v>0.377</c:v>
                </c:pt>
                <c:pt idx="378">
                  <c:v>0.378</c:v>
                </c:pt>
                <c:pt idx="379">
                  <c:v>0.379</c:v>
                </c:pt>
                <c:pt idx="380">
                  <c:v>0.38</c:v>
                </c:pt>
                <c:pt idx="381">
                  <c:v>0.38100000000000001</c:v>
                </c:pt>
                <c:pt idx="382">
                  <c:v>0.38200000000000001</c:v>
                </c:pt>
                <c:pt idx="383">
                  <c:v>0.38300000000000001</c:v>
                </c:pt>
                <c:pt idx="384">
                  <c:v>0.38400000000000001</c:v>
                </c:pt>
                <c:pt idx="385">
                  <c:v>0.38500000000000001</c:v>
                </c:pt>
                <c:pt idx="386">
                  <c:v>0.38600000000000001</c:v>
                </c:pt>
                <c:pt idx="387">
                  <c:v>0.38700000000000001</c:v>
                </c:pt>
                <c:pt idx="388">
                  <c:v>0.38800000000000001</c:v>
                </c:pt>
                <c:pt idx="389">
                  <c:v>0.38900000000000001</c:v>
                </c:pt>
                <c:pt idx="390">
                  <c:v>0.39</c:v>
                </c:pt>
                <c:pt idx="391">
                  <c:v>0.39100000000000001</c:v>
                </c:pt>
                <c:pt idx="392">
                  <c:v>0.39200000000000002</c:v>
                </c:pt>
                <c:pt idx="393">
                  <c:v>0.39300000000000002</c:v>
                </c:pt>
                <c:pt idx="394">
                  <c:v>0.39400000000000002</c:v>
                </c:pt>
                <c:pt idx="395">
                  <c:v>0.39500000000000002</c:v>
                </c:pt>
                <c:pt idx="396">
                  <c:v>0.39600000000000002</c:v>
                </c:pt>
                <c:pt idx="397">
                  <c:v>0.39700000000000002</c:v>
                </c:pt>
                <c:pt idx="398">
                  <c:v>0.39800000000000002</c:v>
                </c:pt>
                <c:pt idx="399">
                  <c:v>0.39900000000000002</c:v>
                </c:pt>
                <c:pt idx="400">
                  <c:v>0.4</c:v>
                </c:pt>
                <c:pt idx="401">
                  <c:v>0.40100000000000002</c:v>
                </c:pt>
                <c:pt idx="402">
                  <c:v>0.40200000000000002</c:v>
                </c:pt>
                <c:pt idx="403">
                  <c:v>0.40300000000000002</c:v>
                </c:pt>
                <c:pt idx="404">
                  <c:v>0.40400000000000003</c:v>
                </c:pt>
                <c:pt idx="405">
                  <c:v>0.40500000000000003</c:v>
                </c:pt>
                <c:pt idx="406">
                  <c:v>0.40600000000000003</c:v>
                </c:pt>
                <c:pt idx="407">
                  <c:v>0.40699999999999997</c:v>
                </c:pt>
                <c:pt idx="408">
                  <c:v>0.40799999999999997</c:v>
                </c:pt>
                <c:pt idx="409">
                  <c:v>0.40899999999999997</c:v>
                </c:pt>
                <c:pt idx="410">
                  <c:v>0.41</c:v>
                </c:pt>
                <c:pt idx="411">
                  <c:v>0.41099999999999998</c:v>
                </c:pt>
                <c:pt idx="412">
                  <c:v>0.41199999999999998</c:v>
                </c:pt>
                <c:pt idx="413">
                  <c:v>0.41299999999999998</c:v>
                </c:pt>
                <c:pt idx="414">
                  <c:v>0.41399999999999998</c:v>
                </c:pt>
                <c:pt idx="415">
                  <c:v>0.41499999999999998</c:v>
                </c:pt>
                <c:pt idx="416">
                  <c:v>0.41599999999999998</c:v>
                </c:pt>
                <c:pt idx="417">
                  <c:v>0.41699999999999998</c:v>
                </c:pt>
                <c:pt idx="418">
                  <c:v>0.41799999999999998</c:v>
                </c:pt>
                <c:pt idx="419">
                  <c:v>0.41899999999999998</c:v>
                </c:pt>
                <c:pt idx="420">
                  <c:v>0.42</c:v>
                </c:pt>
                <c:pt idx="421">
                  <c:v>0.42099999999999999</c:v>
                </c:pt>
                <c:pt idx="422">
                  <c:v>0.42199999999999999</c:v>
                </c:pt>
                <c:pt idx="423">
                  <c:v>0.42299999999999999</c:v>
                </c:pt>
                <c:pt idx="424">
                  <c:v>0.42399999999999999</c:v>
                </c:pt>
                <c:pt idx="425">
                  <c:v>0.42499999999999999</c:v>
                </c:pt>
                <c:pt idx="426">
                  <c:v>0.42599999999999999</c:v>
                </c:pt>
                <c:pt idx="427">
                  <c:v>0.42699999999999999</c:v>
                </c:pt>
                <c:pt idx="428">
                  <c:v>0.42799999999999999</c:v>
                </c:pt>
                <c:pt idx="429">
                  <c:v>0.42899999999999999</c:v>
                </c:pt>
                <c:pt idx="430">
                  <c:v>0.43</c:v>
                </c:pt>
                <c:pt idx="431">
                  <c:v>0.43099999999999999</c:v>
                </c:pt>
                <c:pt idx="432">
                  <c:v>0.432</c:v>
                </c:pt>
                <c:pt idx="433">
                  <c:v>0.433</c:v>
                </c:pt>
                <c:pt idx="434">
                  <c:v>0.434</c:v>
                </c:pt>
                <c:pt idx="435">
                  <c:v>0.435</c:v>
                </c:pt>
                <c:pt idx="436">
                  <c:v>0.436</c:v>
                </c:pt>
                <c:pt idx="437">
                  <c:v>0.437</c:v>
                </c:pt>
                <c:pt idx="438">
                  <c:v>0.438</c:v>
                </c:pt>
                <c:pt idx="439">
                  <c:v>0.439</c:v>
                </c:pt>
                <c:pt idx="440">
                  <c:v>0.44</c:v>
                </c:pt>
                <c:pt idx="441">
                  <c:v>0.441</c:v>
                </c:pt>
                <c:pt idx="442">
                  <c:v>0.442</c:v>
                </c:pt>
                <c:pt idx="443">
                  <c:v>0.443</c:v>
                </c:pt>
                <c:pt idx="444">
                  <c:v>0.44400000000000001</c:v>
                </c:pt>
                <c:pt idx="445">
                  <c:v>0.44500000000000001</c:v>
                </c:pt>
                <c:pt idx="446">
                  <c:v>0.44600000000000001</c:v>
                </c:pt>
                <c:pt idx="447">
                  <c:v>0.44700000000000001</c:v>
                </c:pt>
                <c:pt idx="448">
                  <c:v>0.44800000000000001</c:v>
                </c:pt>
                <c:pt idx="449">
                  <c:v>0.44900000000000001</c:v>
                </c:pt>
                <c:pt idx="450">
                  <c:v>0.45</c:v>
                </c:pt>
                <c:pt idx="451">
                  <c:v>0.45100000000000001</c:v>
                </c:pt>
                <c:pt idx="452">
                  <c:v>0.45200000000000001</c:v>
                </c:pt>
                <c:pt idx="453">
                  <c:v>0.45300000000000001</c:v>
                </c:pt>
                <c:pt idx="454">
                  <c:v>0.45400000000000001</c:v>
                </c:pt>
                <c:pt idx="455">
                  <c:v>0.45500000000000002</c:v>
                </c:pt>
                <c:pt idx="456">
                  <c:v>0.45600000000000002</c:v>
                </c:pt>
                <c:pt idx="457">
                  <c:v>0.45700000000000002</c:v>
                </c:pt>
                <c:pt idx="458">
                  <c:v>0.45800000000000002</c:v>
                </c:pt>
                <c:pt idx="459">
                  <c:v>0.45900000000000002</c:v>
                </c:pt>
                <c:pt idx="460">
                  <c:v>0.46</c:v>
                </c:pt>
                <c:pt idx="461">
                  <c:v>0.46100000000000002</c:v>
                </c:pt>
                <c:pt idx="462">
                  <c:v>0.46200000000000002</c:v>
                </c:pt>
                <c:pt idx="463">
                  <c:v>0.46300000000000002</c:v>
                </c:pt>
                <c:pt idx="464">
                  <c:v>0.46400000000000002</c:v>
                </c:pt>
                <c:pt idx="465">
                  <c:v>0.46500000000000002</c:v>
                </c:pt>
                <c:pt idx="466">
                  <c:v>0.46600000000000003</c:v>
                </c:pt>
                <c:pt idx="467">
                  <c:v>0.46700000000000003</c:v>
                </c:pt>
                <c:pt idx="468">
                  <c:v>0.46800000000000003</c:v>
                </c:pt>
                <c:pt idx="469">
                  <c:v>0.46899999999999997</c:v>
                </c:pt>
                <c:pt idx="470">
                  <c:v>0.47</c:v>
                </c:pt>
                <c:pt idx="471">
                  <c:v>0.47099999999999997</c:v>
                </c:pt>
                <c:pt idx="472">
                  <c:v>0.47199999999999998</c:v>
                </c:pt>
                <c:pt idx="473">
                  <c:v>0.47299999999999998</c:v>
                </c:pt>
                <c:pt idx="474">
                  <c:v>0.47399999999999998</c:v>
                </c:pt>
                <c:pt idx="475">
                  <c:v>0.47499999999999998</c:v>
                </c:pt>
                <c:pt idx="476">
                  <c:v>0.47599999999999998</c:v>
                </c:pt>
                <c:pt idx="477">
                  <c:v>0.47699999999999998</c:v>
                </c:pt>
                <c:pt idx="478">
                  <c:v>0.47799999999999998</c:v>
                </c:pt>
                <c:pt idx="479">
                  <c:v>0.47899999999999998</c:v>
                </c:pt>
                <c:pt idx="480">
                  <c:v>0.48</c:v>
                </c:pt>
                <c:pt idx="481">
                  <c:v>0.48099999999999998</c:v>
                </c:pt>
                <c:pt idx="482">
                  <c:v>0.48199999999999998</c:v>
                </c:pt>
                <c:pt idx="483">
                  <c:v>0.48299999999999998</c:v>
                </c:pt>
                <c:pt idx="484">
                  <c:v>0.48399999999999999</c:v>
                </c:pt>
                <c:pt idx="485">
                  <c:v>0.48499999999999999</c:v>
                </c:pt>
                <c:pt idx="486">
                  <c:v>0.48599999999999999</c:v>
                </c:pt>
                <c:pt idx="487">
                  <c:v>0.48699999999999999</c:v>
                </c:pt>
                <c:pt idx="488">
                  <c:v>0.48799999999999999</c:v>
                </c:pt>
                <c:pt idx="489">
                  <c:v>0.48899999999999999</c:v>
                </c:pt>
                <c:pt idx="490">
                  <c:v>0.49</c:v>
                </c:pt>
                <c:pt idx="491">
                  <c:v>0.49099999999999999</c:v>
                </c:pt>
                <c:pt idx="492">
                  <c:v>0.49199999999999999</c:v>
                </c:pt>
                <c:pt idx="493">
                  <c:v>0.49299999999999999</c:v>
                </c:pt>
                <c:pt idx="494">
                  <c:v>0.49399999999999999</c:v>
                </c:pt>
                <c:pt idx="495">
                  <c:v>0.495</c:v>
                </c:pt>
                <c:pt idx="496">
                  <c:v>0.496</c:v>
                </c:pt>
                <c:pt idx="497">
                  <c:v>0.497</c:v>
                </c:pt>
                <c:pt idx="498">
                  <c:v>0.498</c:v>
                </c:pt>
                <c:pt idx="499">
                  <c:v>0.499</c:v>
                </c:pt>
                <c:pt idx="500">
                  <c:v>0.5</c:v>
                </c:pt>
                <c:pt idx="501">
                  <c:v>0.501</c:v>
                </c:pt>
                <c:pt idx="502">
                  <c:v>0.502</c:v>
                </c:pt>
                <c:pt idx="503">
                  <c:v>0.503</c:v>
                </c:pt>
                <c:pt idx="504">
                  <c:v>0.504</c:v>
                </c:pt>
                <c:pt idx="505">
                  <c:v>0.505</c:v>
                </c:pt>
                <c:pt idx="506">
                  <c:v>0.50600000000000001</c:v>
                </c:pt>
                <c:pt idx="507">
                  <c:v>0.50700000000000001</c:v>
                </c:pt>
                <c:pt idx="508">
                  <c:v>0.50800000000000001</c:v>
                </c:pt>
                <c:pt idx="509">
                  <c:v>0.50900000000000001</c:v>
                </c:pt>
                <c:pt idx="510">
                  <c:v>0.51</c:v>
                </c:pt>
                <c:pt idx="511">
                  <c:v>0.51100000000000001</c:v>
                </c:pt>
                <c:pt idx="512">
                  <c:v>0.51200000000000001</c:v>
                </c:pt>
                <c:pt idx="513">
                  <c:v>0.51300000000000001</c:v>
                </c:pt>
                <c:pt idx="514">
                  <c:v>0.51400000000000001</c:v>
                </c:pt>
                <c:pt idx="515">
                  <c:v>0.51500000000000001</c:v>
                </c:pt>
                <c:pt idx="516">
                  <c:v>0.51600000000000001</c:v>
                </c:pt>
                <c:pt idx="517">
                  <c:v>0.51700000000000002</c:v>
                </c:pt>
                <c:pt idx="518">
                  <c:v>0.51800000000000002</c:v>
                </c:pt>
                <c:pt idx="519">
                  <c:v>0.51900000000000002</c:v>
                </c:pt>
                <c:pt idx="520">
                  <c:v>0.52</c:v>
                </c:pt>
                <c:pt idx="521">
                  <c:v>0.52100000000000002</c:v>
                </c:pt>
                <c:pt idx="522">
                  <c:v>0.52200000000000002</c:v>
                </c:pt>
                <c:pt idx="523">
                  <c:v>0.52300000000000002</c:v>
                </c:pt>
                <c:pt idx="524">
                  <c:v>0.52400000000000002</c:v>
                </c:pt>
                <c:pt idx="525">
                  <c:v>0.52500000000000002</c:v>
                </c:pt>
                <c:pt idx="526">
                  <c:v>0.52600000000000002</c:v>
                </c:pt>
                <c:pt idx="527">
                  <c:v>0.52700000000000002</c:v>
                </c:pt>
                <c:pt idx="528">
                  <c:v>0.52800000000000002</c:v>
                </c:pt>
                <c:pt idx="529">
                  <c:v>0.52900000000000003</c:v>
                </c:pt>
                <c:pt idx="530">
                  <c:v>0.53</c:v>
                </c:pt>
                <c:pt idx="531">
                  <c:v>0.53100000000000003</c:v>
                </c:pt>
                <c:pt idx="532">
                  <c:v>0.53200000000000003</c:v>
                </c:pt>
                <c:pt idx="533">
                  <c:v>0.53300000000000003</c:v>
                </c:pt>
                <c:pt idx="534">
                  <c:v>0.53400000000000003</c:v>
                </c:pt>
                <c:pt idx="535">
                  <c:v>0.53500000000000003</c:v>
                </c:pt>
                <c:pt idx="536">
                  <c:v>0.53600000000000003</c:v>
                </c:pt>
                <c:pt idx="537">
                  <c:v>0.53700000000000003</c:v>
                </c:pt>
                <c:pt idx="538">
                  <c:v>0.53800000000000003</c:v>
                </c:pt>
                <c:pt idx="539">
                  <c:v>0.53900000000000003</c:v>
                </c:pt>
                <c:pt idx="540">
                  <c:v>0.54</c:v>
                </c:pt>
                <c:pt idx="541">
                  <c:v>0.54100000000000004</c:v>
                </c:pt>
                <c:pt idx="542">
                  <c:v>0.54200000000000004</c:v>
                </c:pt>
                <c:pt idx="543">
                  <c:v>0.54300000000000004</c:v>
                </c:pt>
                <c:pt idx="544">
                  <c:v>0.54400000000000004</c:v>
                </c:pt>
                <c:pt idx="545">
                  <c:v>0.54500000000000004</c:v>
                </c:pt>
                <c:pt idx="546">
                  <c:v>0.54600000000000004</c:v>
                </c:pt>
                <c:pt idx="547">
                  <c:v>0.54700000000000004</c:v>
                </c:pt>
                <c:pt idx="548">
                  <c:v>0.54800000000000004</c:v>
                </c:pt>
                <c:pt idx="549">
                  <c:v>0.54900000000000004</c:v>
                </c:pt>
                <c:pt idx="550">
                  <c:v>0.55000000000000004</c:v>
                </c:pt>
                <c:pt idx="551">
                  <c:v>0.55100000000000005</c:v>
                </c:pt>
                <c:pt idx="552">
                  <c:v>0.55200000000000005</c:v>
                </c:pt>
                <c:pt idx="553">
                  <c:v>0.55300000000000005</c:v>
                </c:pt>
                <c:pt idx="554">
                  <c:v>0.55400000000000005</c:v>
                </c:pt>
                <c:pt idx="555">
                  <c:v>0.55500000000000005</c:v>
                </c:pt>
                <c:pt idx="556">
                  <c:v>0.55600000000000005</c:v>
                </c:pt>
                <c:pt idx="557">
                  <c:v>0.55700000000000005</c:v>
                </c:pt>
                <c:pt idx="558">
                  <c:v>0.55800000000000005</c:v>
                </c:pt>
                <c:pt idx="559">
                  <c:v>0.55900000000000005</c:v>
                </c:pt>
                <c:pt idx="560">
                  <c:v>0.56000000000000005</c:v>
                </c:pt>
                <c:pt idx="561">
                  <c:v>0.56100000000000005</c:v>
                </c:pt>
                <c:pt idx="562">
                  <c:v>0.56200000000000006</c:v>
                </c:pt>
                <c:pt idx="563">
                  <c:v>0.56299999999999994</c:v>
                </c:pt>
                <c:pt idx="564">
                  <c:v>0.56399999999999995</c:v>
                </c:pt>
                <c:pt idx="565">
                  <c:v>0.56499999999999995</c:v>
                </c:pt>
                <c:pt idx="566">
                  <c:v>0.56599999999999995</c:v>
                </c:pt>
                <c:pt idx="567">
                  <c:v>0.56699999999999995</c:v>
                </c:pt>
                <c:pt idx="568">
                  <c:v>0.56799999999999995</c:v>
                </c:pt>
                <c:pt idx="569">
                  <c:v>0.56899999999999995</c:v>
                </c:pt>
                <c:pt idx="570">
                  <c:v>0.56999999999999995</c:v>
                </c:pt>
                <c:pt idx="571">
                  <c:v>0.57099999999999995</c:v>
                </c:pt>
                <c:pt idx="572">
                  <c:v>0.57199999999999995</c:v>
                </c:pt>
                <c:pt idx="573">
                  <c:v>0.57299999999999995</c:v>
                </c:pt>
                <c:pt idx="574">
                  <c:v>0.57399999999999995</c:v>
                </c:pt>
                <c:pt idx="575">
                  <c:v>0.57499999999999996</c:v>
                </c:pt>
                <c:pt idx="576">
                  <c:v>0.57599999999999996</c:v>
                </c:pt>
                <c:pt idx="577">
                  <c:v>0.57699999999999996</c:v>
                </c:pt>
                <c:pt idx="578">
                  <c:v>0.57799999999999996</c:v>
                </c:pt>
                <c:pt idx="579">
                  <c:v>0.57899999999999996</c:v>
                </c:pt>
                <c:pt idx="580">
                  <c:v>0.57999999999999996</c:v>
                </c:pt>
                <c:pt idx="581">
                  <c:v>0.58099999999999996</c:v>
                </c:pt>
                <c:pt idx="582">
                  <c:v>0.58199999999999996</c:v>
                </c:pt>
                <c:pt idx="583">
                  <c:v>0.58299999999999996</c:v>
                </c:pt>
                <c:pt idx="584">
                  <c:v>0.58399999999999996</c:v>
                </c:pt>
                <c:pt idx="585">
                  <c:v>0.58499999999999996</c:v>
                </c:pt>
                <c:pt idx="586">
                  <c:v>0.58599999999999997</c:v>
                </c:pt>
                <c:pt idx="587">
                  <c:v>0.58699999999999997</c:v>
                </c:pt>
                <c:pt idx="588">
                  <c:v>0.58799999999999997</c:v>
                </c:pt>
                <c:pt idx="589">
                  <c:v>0.58899999999999997</c:v>
                </c:pt>
                <c:pt idx="590">
                  <c:v>0.59</c:v>
                </c:pt>
                <c:pt idx="591">
                  <c:v>0.59099999999999997</c:v>
                </c:pt>
                <c:pt idx="592">
                  <c:v>0.59199999999999997</c:v>
                </c:pt>
                <c:pt idx="593">
                  <c:v>0.59299999999999997</c:v>
                </c:pt>
                <c:pt idx="594">
                  <c:v>0.59399999999999997</c:v>
                </c:pt>
                <c:pt idx="595">
                  <c:v>0.59499999999999997</c:v>
                </c:pt>
                <c:pt idx="596">
                  <c:v>0.59599999999999997</c:v>
                </c:pt>
                <c:pt idx="597">
                  <c:v>0.59699999999999998</c:v>
                </c:pt>
                <c:pt idx="598">
                  <c:v>0.59799999999999998</c:v>
                </c:pt>
                <c:pt idx="599">
                  <c:v>0.59899999999999998</c:v>
                </c:pt>
                <c:pt idx="600">
                  <c:v>0.6</c:v>
                </c:pt>
                <c:pt idx="601">
                  <c:v>0.60099999999999998</c:v>
                </c:pt>
                <c:pt idx="602">
                  <c:v>0.60199999999999998</c:v>
                </c:pt>
                <c:pt idx="603">
                  <c:v>0.60299999999999998</c:v>
                </c:pt>
                <c:pt idx="604">
                  <c:v>0.60399999999999998</c:v>
                </c:pt>
                <c:pt idx="605">
                  <c:v>0.60499999999999998</c:v>
                </c:pt>
                <c:pt idx="606">
                  <c:v>0.60599999999999998</c:v>
                </c:pt>
                <c:pt idx="607">
                  <c:v>0.60699999999999998</c:v>
                </c:pt>
                <c:pt idx="608">
                  <c:v>0.60799999999999998</c:v>
                </c:pt>
                <c:pt idx="609">
                  <c:v>0.60899999999999999</c:v>
                </c:pt>
                <c:pt idx="610">
                  <c:v>0.61</c:v>
                </c:pt>
                <c:pt idx="611">
                  <c:v>0.61099999999999999</c:v>
                </c:pt>
                <c:pt idx="612">
                  <c:v>0.61199999999999999</c:v>
                </c:pt>
                <c:pt idx="613">
                  <c:v>0.61299999999999999</c:v>
                </c:pt>
                <c:pt idx="614">
                  <c:v>0.61399999999999999</c:v>
                </c:pt>
                <c:pt idx="615">
                  <c:v>0.61499999999999999</c:v>
                </c:pt>
                <c:pt idx="616">
                  <c:v>0.61599999999999999</c:v>
                </c:pt>
                <c:pt idx="617">
                  <c:v>0.61699999999999999</c:v>
                </c:pt>
                <c:pt idx="618">
                  <c:v>0.61799999999999999</c:v>
                </c:pt>
                <c:pt idx="619">
                  <c:v>0.61899999999999999</c:v>
                </c:pt>
                <c:pt idx="620">
                  <c:v>0.62</c:v>
                </c:pt>
                <c:pt idx="621">
                  <c:v>0.621</c:v>
                </c:pt>
                <c:pt idx="622">
                  <c:v>0.622</c:v>
                </c:pt>
                <c:pt idx="623">
                  <c:v>0.623</c:v>
                </c:pt>
                <c:pt idx="624">
                  <c:v>0.624</c:v>
                </c:pt>
                <c:pt idx="625">
                  <c:v>0.625</c:v>
                </c:pt>
                <c:pt idx="626">
                  <c:v>0.626</c:v>
                </c:pt>
                <c:pt idx="627">
                  <c:v>0.627</c:v>
                </c:pt>
                <c:pt idx="628">
                  <c:v>0.628</c:v>
                </c:pt>
                <c:pt idx="629">
                  <c:v>0.629</c:v>
                </c:pt>
                <c:pt idx="630">
                  <c:v>0.63</c:v>
                </c:pt>
                <c:pt idx="631">
                  <c:v>0.63100000000000001</c:v>
                </c:pt>
                <c:pt idx="632">
                  <c:v>0.63200000000000001</c:v>
                </c:pt>
                <c:pt idx="633">
                  <c:v>0.63300000000000001</c:v>
                </c:pt>
                <c:pt idx="634">
                  <c:v>0.63400000000000001</c:v>
                </c:pt>
                <c:pt idx="635">
                  <c:v>0.63500000000000001</c:v>
                </c:pt>
                <c:pt idx="636">
                  <c:v>0.63600000000000001</c:v>
                </c:pt>
                <c:pt idx="637">
                  <c:v>0.63700000000000001</c:v>
                </c:pt>
                <c:pt idx="638">
                  <c:v>0.63800000000000001</c:v>
                </c:pt>
                <c:pt idx="639">
                  <c:v>0.63900000000000001</c:v>
                </c:pt>
                <c:pt idx="640">
                  <c:v>0.64</c:v>
                </c:pt>
                <c:pt idx="641">
                  <c:v>0.64100000000000001</c:v>
                </c:pt>
                <c:pt idx="642">
                  <c:v>0.64200000000000002</c:v>
                </c:pt>
                <c:pt idx="643">
                  <c:v>0.64300000000000002</c:v>
                </c:pt>
                <c:pt idx="644">
                  <c:v>0.64400000000000002</c:v>
                </c:pt>
                <c:pt idx="645">
                  <c:v>0.64500000000000002</c:v>
                </c:pt>
                <c:pt idx="646">
                  <c:v>0.64600000000000002</c:v>
                </c:pt>
                <c:pt idx="647">
                  <c:v>0.64700000000000002</c:v>
                </c:pt>
                <c:pt idx="648">
                  <c:v>0.64800000000000002</c:v>
                </c:pt>
                <c:pt idx="649">
                  <c:v>0.64900000000000002</c:v>
                </c:pt>
                <c:pt idx="650">
                  <c:v>0.65</c:v>
                </c:pt>
                <c:pt idx="651">
                  <c:v>0.65100000000000002</c:v>
                </c:pt>
                <c:pt idx="652">
                  <c:v>0.65200000000000002</c:v>
                </c:pt>
                <c:pt idx="653">
                  <c:v>0.65300000000000002</c:v>
                </c:pt>
                <c:pt idx="654">
                  <c:v>0.65400000000000003</c:v>
                </c:pt>
                <c:pt idx="655">
                  <c:v>0.65500000000000003</c:v>
                </c:pt>
                <c:pt idx="656">
                  <c:v>0.65600000000000003</c:v>
                </c:pt>
                <c:pt idx="657">
                  <c:v>0.65700000000000003</c:v>
                </c:pt>
                <c:pt idx="658">
                  <c:v>0.65800000000000003</c:v>
                </c:pt>
                <c:pt idx="659">
                  <c:v>0.65900000000000003</c:v>
                </c:pt>
                <c:pt idx="660">
                  <c:v>0.66</c:v>
                </c:pt>
                <c:pt idx="661">
                  <c:v>0.66100000000000003</c:v>
                </c:pt>
                <c:pt idx="662">
                  <c:v>0.66200000000000003</c:v>
                </c:pt>
                <c:pt idx="663">
                  <c:v>0.66300000000000003</c:v>
                </c:pt>
                <c:pt idx="664">
                  <c:v>0.66400000000000003</c:v>
                </c:pt>
                <c:pt idx="665">
                  <c:v>0.66500000000000004</c:v>
                </c:pt>
                <c:pt idx="666">
                  <c:v>0.66600000000000004</c:v>
                </c:pt>
                <c:pt idx="667">
                  <c:v>0.66700000000000004</c:v>
                </c:pt>
                <c:pt idx="668">
                  <c:v>0.66800000000000004</c:v>
                </c:pt>
                <c:pt idx="669">
                  <c:v>0.66900000000000004</c:v>
                </c:pt>
                <c:pt idx="670">
                  <c:v>0.67</c:v>
                </c:pt>
                <c:pt idx="671">
                  <c:v>0.67100000000000004</c:v>
                </c:pt>
                <c:pt idx="672">
                  <c:v>0.67200000000000004</c:v>
                </c:pt>
                <c:pt idx="673">
                  <c:v>0.67300000000000004</c:v>
                </c:pt>
                <c:pt idx="674">
                  <c:v>0.67400000000000004</c:v>
                </c:pt>
                <c:pt idx="675">
                  <c:v>0.67500000000000004</c:v>
                </c:pt>
                <c:pt idx="676">
                  <c:v>0.67600000000000005</c:v>
                </c:pt>
                <c:pt idx="677">
                  <c:v>0.67700000000000005</c:v>
                </c:pt>
                <c:pt idx="678">
                  <c:v>0.67800000000000005</c:v>
                </c:pt>
                <c:pt idx="679">
                  <c:v>0.67900000000000005</c:v>
                </c:pt>
                <c:pt idx="680">
                  <c:v>0.68</c:v>
                </c:pt>
                <c:pt idx="681">
                  <c:v>0.68100000000000005</c:v>
                </c:pt>
                <c:pt idx="682">
                  <c:v>0.68200000000000005</c:v>
                </c:pt>
                <c:pt idx="683">
                  <c:v>0.68300000000000005</c:v>
                </c:pt>
                <c:pt idx="684">
                  <c:v>0.68400000000000005</c:v>
                </c:pt>
                <c:pt idx="685">
                  <c:v>0.68500000000000005</c:v>
                </c:pt>
                <c:pt idx="686">
                  <c:v>0.68600000000000005</c:v>
                </c:pt>
                <c:pt idx="687">
                  <c:v>0.68700000000000006</c:v>
                </c:pt>
                <c:pt idx="688">
                  <c:v>0.68799999999999994</c:v>
                </c:pt>
                <c:pt idx="689">
                  <c:v>0.68899999999999995</c:v>
                </c:pt>
                <c:pt idx="690">
                  <c:v>0.69</c:v>
                </c:pt>
                <c:pt idx="691">
                  <c:v>0.69099999999999995</c:v>
                </c:pt>
                <c:pt idx="692">
                  <c:v>0.69199999999999995</c:v>
                </c:pt>
                <c:pt idx="693">
                  <c:v>0.69299999999999995</c:v>
                </c:pt>
                <c:pt idx="694">
                  <c:v>0.69399999999999995</c:v>
                </c:pt>
                <c:pt idx="695">
                  <c:v>0.69499999999999995</c:v>
                </c:pt>
                <c:pt idx="696">
                  <c:v>0.69599999999999995</c:v>
                </c:pt>
                <c:pt idx="697">
                  <c:v>0.69699999999999995</c:v>
                </c:pt>
                <c:pt idx="698">
                  <c:v>0.69799999999999995</c:v>
                </c:pt>
                <c:pt idx="699">
                  <c:v>0.69899999999999995</c:v>
                </c:pt>
                <c:pt idx="700">
                  <c:v>0.7</c:v>
                </c:pt>
                <c:pt idx="701">
                  <c:v>0.70099999999999996</c:v>
                </c:pt>
                <c:pt idx="702">
                  <c:v>0.70199999999999996</c:v>
                </c:pt>
                <c:pt idx="703">
                  <c:v>0.70299999999999996</c:v>
                </c:pt>
                <c:pt idx="704">
                  <c:v>0.70399999999999996</c:v>
                </c:pt>
                <c:pt idx="705">
                  <c:v>0.70499999999999996</c:v>
                </c:pt>
                <c:pt idx="706">
                  <c:v>0.70599999999999996</c:v>
                </c:pt>
                <c:pt idx="707">
                  <c:v>0.70699999999999996</c:v>
                </c:pt>
                <c:pt idx="708">
                  <c:v>0.70799999999999996</c:v>
                </c:pt>
                <c:pt idx="709">
                  <c:v>0.70899999999999996</c:v>
                </c:pt>
                <c:pt idx="710">
                  <c:v>0.71</c:v>
                </c:pt>
                <c:pt idx="711">
                  <c:v>0.71099999999999997</c:v>
                </c:pt>
                <c:pt idx="712">
                  <c:v>0.71199999999999997</c:v>
                </c:pt>
                <c:pt idx="713">
                  <c:v>0.71299999999999997</c:v>
                </c:pt>
                <c:pt idx="714">
                  <c:v>0.71399999999999997</c:v>
                </c:pt>
                <c:pt idx="715">
                  <c:v>0.71499999999999997</c:v>
                </c:pt>
                <c:pt idx="716">
                  <c:v>0.71599999999999997</c:v>
                </c:pt>
                <c:pt idx="717">
                  <c:v>0.71699999999999997</c:v>
                </c:pt>
                <c:pt idx="718">
                  <c:v>0.71799999999999997</c:v>
                </c:pt>
                <c:pt idx="719">
                  <c:v>0.71899999999999997</c:v>
                </c:pt>
                <c:pt idx="720">
                  <c:v>0.72</c:v>
                </c:pt>
                <c:pt idx="721">
                  <c:v>0.72099999999999997</c:v>
                </c:pt>
                <c:pt idx="722">
                  <c:v>0.72199999999999998</c:v>
                </c:pt>
                <c:pt idx="723">
                  <c:v>0.72299999999999998</c:v>
                </c:pt>
                <c:pt idx="724">
                  <c:v>0.72399999999999998</c:v>
                </c:pt>
                <c:pt idx="725">
                  <c:v>0.72499999999999998</c:v>
                </c:pt>
                <c:pt idx="726">
                  <c:v>0.72599999999999998</c:v>
                </c:pt>
                <c:pt idx="727">
                  <c:v>0.72699999999999998</c:v>
                </c:pt>
                <c:pt idx="728">
                  <c:v>0.72799999999999998</c:v>
                </c:pt>
                <c:pt idx="729">
                  <c:v>0.72899999999999998</c:v>
                </c:pt>
                <c:pt idx="730">
                  <c:v>0.73</c:v>
                </c:pt>
                <c:pt idx="731">
                  <c:v>0.73099999999999998</c:v>
                </c:pt>
                <c:pt idx="732">
                  <c:v>0.73199999999999998</c:v>
                </c:pt>
                <c:pt idx="733">
                  <c:v>0.73299999999999998</c:v>
                </c:pt>
                <c:pt idx="734">
                  <c:v>0.73399999999999999</c:v>
                </c:pt>
                <c:pt idx="735">
                  <c:v>0.73499999999999999</c:v>
                </c:pt>
                <c:pt idx="736">
                  <c:v>0.73599999999999999</c:v>
                </c:pt>
                <c:pt idx="737">
                  <c:v>0.73699999999999999</c:v>
                </c:pt>
                <c:pt idx="738">
                  <c:v>0.73799999999999999</c:v>
                </c:pt>
                <c:pt idx="739">
                  <c:v>0.73899999999999999</c:v>
                </c:pt>
                <c:pt idx="740">
                  <c:v>0.74</c:v>
                </c:pt>
                <c:pt idx="741">
                  <c:v>0.74099999999999999</c:v>
                </c:pt>
                <c:pt idx="742">
                  <c:v>0.74199999999999999</c:v>
                </c:pt>
                <c:pt idx="743">
                  <c:v>0.74299999999999999</c:v>
                </c:pt>
                <c:pt idx="744">
                  <c:v>0.74399999999999999</c:v>
                </c:pt>
                <c:pt idx="745">
                  <c:v>0.745</c:v>
                </c:pt>
                <c:pt idx="746">
                  <c:v>0.746</c:v>
                </c:pt>
                <c:pt idx="747">
                  <c:v>0.747</c:v>
                </c:pt>
                <c:pt idx="748">
                  <c:v>0.748</c:v>
                </c:pt>
                <c:pt idx="749">
                  <c:v>0.749</c:v>
                </c:pt>
                <c:pt idx="750">
                  <c:v>0.75</c:v>
                </c:pt>
                <c:pt idx="751">
                  <c:v>0.751</c:v>
                </c:pt>
                <c:pt idx="752">
                  <c:v>0.752</c:v>
                </c:pt>
                <c:pt idx="753">
                  <c:v>0.753</c:v>
                </c:pt>
                <c:pt idx="754">
                  <c:v>0.754</c:v>
                </c:pt>
                <c:pt idx="755">
                  <c:v>0.755</c:v>
                </c:pt>
                <c:pt idx="756">
                  <c:v>0.75600000000000001</c:v>
                </c:pt>
                <c:pt idx="757">
                  <c:v>0.75700000000000001</c:v>
                </c:pt>
                <c:pt idx="758">
                  <c:v>0.75800000000000001</c:v>
                </c:pt>
                <c:pt idx="759">
                  <c:v>0.75900000000000001</c:v>
                </c:pt>
                <c:pt idx="760">
                  <c:v>0.76</c:v>
                </c:pt>
                <c:pt idx="761">
                  <c:v>0.76100000000000001</c:v>
                </c:pt>
                <c:pt idx="762">
                  <c:v>0.76200000000000001</c:v>
                </c:pt>
                <c:pt idx="763">
                  <c:v>0.76300000000000001</c:v>
                </c:pt>
                <c:pt idx="764">
                  <c:v>0.76400000000000001</c:v>
                </c:pt>
                <c:pt idx="765">
                  <c:v>0.76500000000000001</c:v>
                </c:pt>
                <c:pt idx="766">
                  <c:v>0.76600000000000001</c:v>
                </c:pt>
                <c:pt idx="767">
                  <c:v>0.76700000000000002</c:v>
                </c:pt>
                <c:pt idx="768">
                  <c:v>0.76800000000000002</c:v>
                </c:pt>
                <c:pt idx="769">
                  <c:v>0.76900000000000002</c:v>
                </c:pt>
                <c:pt idx="770">
                  <c:v>0.77</c:v>
                </c:pt>
                <c:pt idx="771">
                  <c:v>0.77100000000000002</c:v>
                </c:pt>
                <c:pt idx="772">
                  <c:v>0.77200000000000002</c:v>
                </c:pt>
                <c:pt idx="773">
                  <c:v>0.77300000000000002</c:v>
                </c:pt>
                <c:pt idx="774">
                  <c:v>0.77400000000000002</c:v>
                </c:pt>
                <c:pt idx="775">
                  <c:v>0.77500000000000002</c:v>
                </c:pt>
                <c:pt idx="776">
                  <c:v>0.77600000000000002</c:v>
                </c:pt>
                <c:pt idx="777">
                  <c:v>0.77700000000000002</c:v>
                </c:pt>
                <c:pt idx="778">
                  <c:v>0.77800000000000002</c:v>
                </c:pt>
                <c:pt idx="779">
                  <c:v>0.77900000000000003</c:v>
                </c:pt>
                <c:pt idx="780">
                  <c:v>0.78</c:v>
                </c:pt>
                <c:pt idx="781">
                  <c:v>0.78100000000000003</c:v>
                </c:pt>
                <c:pt idx="782">
                  <c:v>0.78200000000000003</c:v>
                </c:pt>
                <c:pt idx="783">
                  <c:v>0.78300000000000003</c:v>
                </c:pt>
                <c:pt idx="784">
                  <c:v>0.78400000000000003</c:v>
                </c:pt>
                <c:pt idx="785">
                  <c:v>0.78500000000000003</c:v>
                </c:pt>
                <c:pt idx="786">
                  <c:v>0.78600000000000003</c:v>
                </c:pt>
                <c:pt idx="787">
                  <c:v>0.78700000000000003</c:v>
                </c:pt>
                <c:pt idx="788">
                  <c:v>0.78800000000000003</c:v>
                </c:pt>
                <c:pt idx="789">
                  <c:v>0.78900000000000003</c:v>
                </c:pt>
                <c:pt idx="790">
                  <c:v>0.79</c:v>
                </c:pt>
                <c:pt idx="791">
                  <c:v>0.79100000000000004</c:v>
                </c:pt>
                <c:pt idx="792">
                  <c:v>0.79200000000000004</c:v>
                </c:pt>
                <c:pt idx="793">
                  <c:v>0.79300000000000004</c:v>
                </c:pt>
                <c:pt idx="794">
                  <c:v>0.79400000000000004</c:v>
                </c:pt>
                <c:pt idx="795">
                  <c:v>0.79500000000000004</c:v>
                </c:pt>
                <c:pt idx="796">
                  <c:v>0.79600000000000004</c:v>
                </c:pt>
                <c:pt idx="797">
                  <c:v>0.79700000000000004</c:v>
                </c:pt>
                <c:pt idx="798">
                  <c:v>0.79800000000000004</c:v>
                </c:pt>
                <c:pt idx="799">
                  <c:v>0.79900000000000004</c:v>
                </c:pt>
                <c:pt idx="800">
                  <c:v>0.8</c:v>
                </c:pt>
                <c:pt idx="801">
                  <c:v>0.80100000000000005</c:v>
                </c:pt>
                <c:pt idx="802">
                  <c:v>0.80200000000000005</c:v>
                </c:pt>
                <c:pt idx="803">
                  <c:v>0.80300000000000005</c:v>
                </c:pt>
                <c:pt idx="804">
                  <c:v>0.80400000000000005</c:v>
                </c:pt>
                <c:pt idx="805">
                  <c:v>0.80500000000000005</c:v>
                </c:pt>
                <c:pt idx="806">
                  <c:v>0.80600000000000005</c:v>
                </c:pt>
                <c:pt idx="807">
                  <c:v>0.80700000000000005</c:v>
                </c:pt>
                <c:pt idx="808">
                  <c:v>0.80800000000000005</c:v>
                </c:pt>
                <c:pt idx="809">
                  <c:v>0.80900000000000005</c:v>
                </c:pt>
                <c:pt idx="810">
                  <c:v>0.81</c:v>
                </c:pt>
                <c:pt idx="811">
                  <c:v>0.81100000000000005</c:v>
                </c:pt>
                <c:pt idx="812">
                  <c:v>0.81200000000000006</c:v>
                </c:pt>
                <c:pt idx="813">
                  <c:v>0.81299999999999994</c:v>
                </c:pt>
                <c:pt idx="814">
                  <c:v>0.81399999999999995</c:v>
                </c:pt>
                <c:pt idx="815">
                  <c:v>0.81499999999999995</c:v>
                </c:pt>
                <c:pt idx="816">
                  <c:v>0.81599999999999995</c:v>
                </c:pt>
                <c:pt idx="817">
                  <c:v>0.81699999999999995</c:v>
                </c:pt>
                <c:pt idx="818">
                  <c:v>0.81799999999999995</c:v>
                </c:pt>
                <c:pt idx="819">
                  <c:v>0.81899999999999995</c:v>
                </c:pt>
                <c:pt idx="820">
                  <c:v>0.82</c:v>
                </c:pt>
                <c:pt idx="821">
                  <c:v>0.82099999999999995</c:v>
                </c:pt>
                <c:pt idx="822">
                  <c:v>0.82199999999999995</c:v>
                </c:pt>
                <c:pt idx="823">
                  <c:v>0.82299999999999995</c:v>
                </c:pt>
                <c:pt idx="824">
                  <c:v>0.82399999999999995</c:v>
                </c:pt>
                <c:pt idx="825">
                  <c:v>0.82499999999999996</c:v>
                </c:pt>
                <c:pt idx="826">
                  <c:v>0.82599999999999996</c:v>
                </c:pt>
                <c:pt idx="827">
                  <c:v>0.82699999999999996</c:v>
                </c:pt>
                <c:pt idx="828">
                  <c:v>0.82799999999999996</c:v>
                </c:pt>
                <c:pt idx="829">
                  <c:v>0.82899999999999996</c:v>
                </c:pt>
                <c:pt idx="830">
                  <c:v>0.83</c:v>
                </c:pt>
                <c:pt idx="831">
                  <c:v>0.83099999999999996</c:v>
                </c:pt>
                <c:pt idx="832">
                  <c:v>0.83199999999999996</c:v>
                </c:pt>
                <c:pt idx="833">
                  <c:v>0.83299999999999996</c:v>
                </c:pt>
                <c:pt idx="834">
                  <c:v>0.83399999999999996</c:v>
                </c:pt>
                <c:pt idx="835">
                  <c:v>0.83499999999999996</c:v>
                </c:pt>
                <c:pt idx="836">
                  <c:v>0.83599999999999997</c:v>
                </c:pt>
                <c:pt idx="837">
                  <c:v>0.83699999999999997</c:v>
                </c:pt>
                <c:pt idx="838">
                  <c:v>0.83799999999999997</c:v>
                </c:pt>
                <c:pt idx="839">
                  <c:v>0.83899999999999997</c:v>
                </c:pt>
                <c:pt idx="840">
                  <c:v>0.84</c:v>
                </c:pt>
                <c:pt idx="841">
                  <c:v>0.84099999999999997</c:v>
                </c:pt>
                <c:pt idx="842">
                  <c:v>0.84199999999999997</c:v>
                </c:pt>
                <c:pt idx="843">
                  <c:v>0.84299999999999997</c:v>
                </c:pt>
                <c:pt idx="844">
                  <c:v>0.84399999999999997</c:v>
                </c:pt>
                <c:pt idx="845">
                  <c:v>0.84499999999999997</c:v>
                </c:pt>
                <c:pt idx="846">
                  <c:v>0.84599999999999997</c:v>
                </c:pt>
                <c:pt idx="847">
                  <c:v>0.84699999999999998</c:v>
                </c:pt>
                <c:pt idx="848">
                  <c:v>0.84799999999999998</c:v>
                </c:pt>
                <c:pt idx="849">
                  <c:v>0.84899999999999998</c:v>
                </c:pt>
                <c:pt idx="850">
                  <c:v>0.85</c:v>
                </c:pt>
                <c:pt idx="851">
                  <c:v>0.85099999999999998</c:v>
                </c:pt>
                <c:pt idx="852">
                  <c:v>0.85199999999999998</c:v>
                </c:pt>
                <c:pt idx="853">
                  <c:v>0.85299999999999998</c:v>
                </c:pt>
                <c:pt idx="854">
                  <c:v>0.85399999999999998</c:v>
                </c:pt>
                <c:pt idx="855">
                  <c:v>0.85499999999999998</c:v>
                </c:pt>
                <c:pt idx="856">
                  <c:v>0.85599999999999998</c:v>
                </c:pt>
                <c:pt idx="857">
                  <c:v>0.85699999999999998</c:v>
                </c:pt>
                <c:pt idx="858">
                  <c:v>0.85799999999999998</c:v>
                </c:pt>
                <c:pt idx="859">
                  <c:v>0.85899999999999999</c:v>
                </c:pt>
                <c:pt idx="860">
                  <c:v>0.86</c:v>
                </c:pt>
                <c:pt idx="861">
                  <c:v>0.86099999999999999</c:v>
                </c:pt>
                <c:pt idx="862">
                  <c:v>0.86199999999999999</c:v>
                </c:pt>
                <c:pt idx="863">
                  <c:v>0.86299999999999999</c:v>
                </c:pt>
                <c:pt idx="864">
                  <c:v>0.86399999999999999</c:v>
                </c:pt>
                <c:pt idx="865">
                  <c:v>0.86499999999999999</c:v>
                </c:pt>
                <c:pt idx="866">
                  <c:v>0.86599999999999999</c:v>
                </c:pt>
                <c:pt idx="867">
                  <c:v>0.86699999999999999</c:v>
                </c:pt>
                <c:pt idx="868">
                  <c:v>0.86799999999999999</c:v>
                </c:pt>
                <c:pt idx="869">
                  <c:v>0.86899999999999999</c:v>
                </c:pt>
                <c:pt idx="870">
                  <c:v>0.87</c:v>
                </c:pt>
                <c:pt idx="871">
                  <c:v>0.871</c:v>
                </c:pt>
                <c:pt idx="872">
                  <c:v>0.872</c:v>
                </c:pt>
                <c:pt idx="873">
                  <c:v>0.873</c:v>
                </c:pt>
                <c:pt idx="874">
                  <c:v>0.874</c:v>
                </c:pt>
                <c:pt idx="875">
                  <c:v>0.875</c:v>
                </c:pt>
                <c:pt idx="876">
                  <c:v>0.876</c:v>
                </c:pt>
                <c:pt idx="877">
                  <c:v>0.877</c:v>
                </c:pt>
                <c:pt idx="878">
                  <c:v>0.878</c:v>
                </c:pt>
                <c:pt idx="879">
                  <c:v>0.879</c:v>
                </c:pt>
                <c:pt idx="880">
                  <c:v>0.88</c:v>
                </c:pt>
                <c:pt idx="881">
                  <c:v>0.88100000000000001</c:v>
                </c:pt>
                <c:pt idx="882">
                  <c:v>0.88200000000000001</c:v>
                </c:pt>
                <c:pt idx="883">
                  <c:v>0.88300000000000001</c:v>
                </c:pt>
                <c:pt idx="884">
                  <c:v>0.88400000000000001</c:v>
                </c:pt>
                <c:pt idx="885">
                  <c:v>0.88500000000000001</c:v>
                </c:pt>
                <c:pt idx="886">
                  <c:v>0.88600000000000001</c:v>
                </c:pt>
                <c:pt idx="887">
                  <c:v>0.88700000000000001</c:v>
                </c:pt>
                <c:pt idx="888">
                  <c:v>0.88800000000000001</c:v>
                </c:pt>
                <c:pt idx="889">
                  <c:v>0.88900000000000001</c:v>
                </c:pt>
                <c:pt idx="890">
                  <c:v>0.89</c:v>
                </c:pt>
                <c:pt idx="891">
                  <c:v>0.89100000000000001</c:v>
                </c:pt>
                <c:pt idx="892">
                  <c:v>0.89200000000000002</c:v>
                </c:pt>
                <c:pt idx="893">
                  <c:v>0.89300000000000002</c:v>
                </c:pt>
                <c:pt idx="894">
                  <c:v>0.89400000000000002</c:v>
                </c:pt>
                <c:pt idx="895">
                  <c:v>0.89500000000000002</c:v>
                </c:pt>
                <c:pt idx="896">
                  <c:v>0.89600000000000002</c:v>
                </c:pt>
                <c:pt idx="897">
                  <c:v>0.89700000000000002</c:v>
                </c:pt>
                <c:pt idx="898">
                  <c:v>0.89800000000000002</c:v>
                </c:pt>
                <c:pt idx="899">
                  <c:v>0.89900000000000002</c:v>
                </c:pt>
                <c:pt idx="900">
                  <c:v>0.9</c:v>
                </c:pt>
                <c:pt idx="901">
                  <c:v>0.90100000000000002</c:v>
                </c:pt>
                <c:pt idx="902">
                  <c:v>0.90200000000000002</c:v>
                </c:pt>
                <c:pt idx="903">
                  <c:v>0.90300000000000002</c:v>
                </c:pt>
                <c:pt idx="904">
                  <c:v>0.90400000000000003</c:v>
                </c:pt>
                <c:pt idx="905">
                  <c:v>0.90500000000000003</c:v>
                </c:pt>
                <c:pt idx="906">
                  <c:v>0.90600000000000003</c:v>
                </c:pt>
                <c:pt idx="907">
                  <c:v>0.90700000000000003</c:v>
                </c:pt>
                <c:pt idx="908">
                  <c:v>0.90800000000000003</c:v>
                </c:pt>
                <c:pt idx="909">
                  <c:v>0.90900000000000003</c:v>
                </c:pt>
                <c:pt idx="910">
                  <c:v>0.91</c:v>
                </c:pt>
                <c:pt idx="911">
                  <c:v>0.91100000000000003</c:v>
                </c:pt>
                <c:pt idx="912">
                  <c:v>0.91200000000000003</c:v>
                </c:pt>
                <c:pt idx="913">
                  <c:v>0.91300000000000003</c:v>
                </c:pt>
                <c:pt idx="914">
                  <c:v>0.91400000000000003</c:v>
                </c:pt>
                <c:pt idx="915">
                  <c:v>0.91500000000000004</c:v>
                </c:pt>
                <c:pt idx="916">
                  <c:v>0.91600000000000004</c:v>
                </c:pt>
                <c:pt idx="917">
                  <c:v>0.91700000000000004</c:v>
                </c:pt>
                <c:pt idx="918">
                  <c:v>0.91800000000000004</c:v>
                </c:pt>
                <c:pt idx="919">
                  <c:v>0.91900000000000004</c:v>
                </c:pt>
                <c:pt idx="920">
                  <c:v>0.92</c:v>
                </c:pt>
                <c:pt idx="921">
                  <c:v>0.92100000000000004</c:v>
                </c:pt>
                <c:pt idx="922">
                  <c:v>0.92200000000000004</c:v>
                </c:pt>
                <c:pt idx="923">
                  <c:v>0.92300000000000004</c:v>
                </c:pt>
                <c:pt idx="924">
                  <c:v>0.92400000000000004</c:v>
                </c:pt>
                <c:pt idx="925">
                  <c:v>0.92500000000000004</c:v>
                </c:pt>
                <c:pt idx="926">
                  <c:v>0.92600000000000005</c:v>
                </c:pt>
                <c:pt idx="927">
                  <c:v>0.92700000000000005</c:v>
                </c:pt>
                <c:pt idx="928">
                  <c:v>0.92800000000000005</c:v>
                </c:pt>
                <c:pt idx="929">
                  <c:v>0.92900000000000005</c:v>
                </c:pt>
                <c:pt idx="930">
                  <c:v>0.93</c:v>
                </c:pt>
                <c:pt idx="931">
                  <c:v>0.93100000000000005</c:v>
                </c:pt>
                <c:pt idx="932">
                  <c:v>0.93200000000000005</c:v>
                </c:pt>
                <c:pt idx="933">
                  <c:v>0.93300000000000005</c:v>
                </c:pt>
                <c:pt idx="934">
                  <c:v>0.93400000000000005</c:v>
                </c:pt>
                <c:pt idx="935">
                  <c:v>0.93500000000000005</c:v>
                </c:pt>
                <c:pt idx="936">
                  <c:v>0.93600000000000005</c:v>
                </c:pt>
                <c:pt idx="937">
                  <c:v>0.93700000000000006</c:v>
                </c:pt>
                <c:pt idx="938">
                  <c:v>0.93799999999999994</c:v>
                </c:pt>
                <c:pt idx="939">
                  <c:v>0.93899999999999995</c:v>
                </c:pt>
                <c:pt idx="940">
                  <c:v>0.94</c:v>
                </c:pt>
                <c:pt idx="941">
                  <c:v>0.94099999999999995</c:v>
                </c:pt>
                <c:pt idx="942">
                  <c:v>0.94199999999999995</c:v>
                </c:pt>
                <c:pt idx="943">
                  <c:v>0.94299999999999995</c:v>
                </c:pt>
                <c:pt idx="944">
                  <c:v>0.94399999999999995</c:v>
                </c:pt>
                <c:pt idx="945">
                  <c:v>0.94499999999999995</c:v>
                </c:pt>
                <c:pt idx="946">
                  <c:v>0.94599999999999995</c:v>
                </c:pt>
                <c:pt idx="947">
                  <c:v>0.94699999999999995</c:v>
                </c:pt>
                <c:pt idx="948">
                  <c:v>0.94799999999999995</c:v>
                </c:pt>
                <c:pt idx="949">
                  <c:v>0.94899999999999995</c:v>
                </c:pt>
                <c:pt idx="950">
                  <c:v>0.95</c:v>
                </c:pt>
                <c:pt idx="951">
                  <c:v>0.95099999999999996</c:v>
                </c:pt>
                <c:pt idx="952">
                  <c:v>0.95199999999999996</c:v>
                </c:pt>
                <c:pt idx="953">
                  <c:v>0.95299999999999996</c:v>
                </c:pt>
                <c:pt idx="954">
                  <c:v>0.95399999999999996</c:v>
                </c:pt>
                <c:pt idx="955">
                  <c:v>0.95499999999999996</c:v>
                </c:pt>
                <c:pt idx="956">
                  <c:v>0.95599999999999996</c:v>
                </c:pt>
                <c:pt idx="957">
                  <c:v>0.95699999999999996</c:v>
                </c:pt>
                <c:pt idx="958">
                  <c:v>0.95799999999999996</c:v>
                </c:pt>
                <c:pt idx="959">
                  <c:v>0.95899999999999996</c:v>
                </c:pt>
                <c:pt idx="960">
                  <c:v>0.96</c:v>
                </c:pt>
                <c:pt idx="961">
                  <c:v>0.96099999999999997</c:v>
                </c:pt>
                <c:pt idx="962">
                  <c:v>0.96199999999999997</c:v>
                </c:pt>
                <c:pt idx="963">
                  <c:v>0.96299999999999997</c:v>
                </c:pt>
                <c:pt idx="964">
                  <c:v>0.96399999999999997</c:v>
                </c:pt>
                <c:pt idx="965">
                  <c:v>0.96499999999999997</c:v>
                </c:pt>
                <c:pt idx="966">
                  <c:v>0.96599999999999997</c:v>
                </c:pt>
                <c:pt idx="967">
                  <c:v>0.96699999999999997</c:v>
                </c:pt>
                <c:pt idx="968">
                  <c:v>0.96799999999999997</c:v>
                </c:pt>
                <c:pt idx="969">
                  <c:v>0.96899999999999997</c:v>
                </c:pt>
                <c:pt idx="970">
                  <c:v>0.97</c:v>
                </c:pt>
                <c:pt idx="971">
                  <c:v>0.97099999999999997</c:v>
                </c:pt>
                <c:pt idx="972">
                  <c:v>0.97199999999999998</c:v>
                </c:pt>
                <c:pt idx="973">
                  <c:v>0.97299999999999998</c:v>
                </c:pt>
                <c:pt idx="974">
                  <c:v>0.97399999999999998</c:v>
                </c:pt>
                <c:pt idx="975">
                  <c:v>0.97499999999999998</c:v>
                </c:pt>
                <c:pt idx="976">
                  <c:v>0.97599999999999998</c:v>
                </c:pt>
                <c:pt idx="977">
                  <c:v>0.97699999999999998</c:v>
                </c:pt>
                <c:pt idx="978">
                  <c:v>0.97799999999999998</c:v>
                </c:pt>
                <c:pt idx="979">
                  <c:v>0.97899999999999998</c:v>
                </c:pt>
                <c:pt idx="980">
                  <c:v>0.98</c:v>
                </c:pt>
                <c:pt idx="981">
                  <c:v>0.98099999999999998</c:v>
                </c:pt>
                <c:pt idx="982">
                  <c:v>0.98199999999999998</c:v>
                </c:pt>
                <c:pt idx="983">
                  <c:v>0.98299999999999998</c:v>
                </c:pt>
                <c:pt idx="984">
                  <c:v>0.98399999999999999</c:v>
                </c:pt>
                <c:pt idx="985">
                  <c:v>0.98499999999999999</c:v>
                </c:pt>
                <c:pt idx="986">
                  <c:v>0.98599999999999999</c:v>
                </c:pt>
                <c:pt idx="987">
                  <c:v>0.98699999999999999</c:v>
                </c:pt>
                <c:pt idx="988">
                  <c:v>0.98799999999999999</c:v>
                </c:pt>
                <c:pt idx="989">
                  <c:v>0.98899999999999999</c:v>
                </c:pt>
                <c:pt idx="990">
                  <c:v>0.99</c:v>
                </c:pt>
                <c:pt idx="991">
                  <c:v>0.99099999999999999</c:v>
                </c:pt>
                <c:pt idx="992">
                  <c:v>0.99199999999999999</c:v>
                </c:pt>
                <c:pt idx="993">
                  <c:v>0.99299999999999999</c:v>
                </c:pt>
                <c:pt idx="994">
                  <c:v>0.99399999999999999</c:v>
                </c:pt>
                <c:pt idx="995">
                  <c:v>0.995</c:v>
                </c:pt>
                <c:pt idx="996">
                  <c:v>0.996</c:v>
                </c:pt>
                <c:pt idx="997">
                  <c:v>0.997</c:v>
                </c:pt>
                <c:pt idx="998">
                  <c:v>0.998</c:v>
                </c:pt>
                <c:pt idx="999">
                  <c:v>0.999</c:v>
                </c:pt>
                <c:pt idx="1000">
                  <c:v>1</c:v>
                </c:pt>
                <c:pt idx="1001">
                  <c:v>1.0009999999999999</c:v>
                </c:pt>
                <c:pt idx="1002">
                  <c:v>1.002</c:v>
                </c:pt>
                <c:pt idx="1003">
                  <c:v>1.0029999999999999</c:v>
                </c:pt>
                <c:pt idx="1004">
                  <c:v>1.004</c:v>
                </c:pt>
                <c:pt idx="1005">
                  <c:v>1.0049999999999999</c:v>
                </c:pt>
                <c:pt idx="1006">
                  <c:v>1.006</c:v>
                </c:pt>
                <c:pt idx="1007">
                  <c:v>1.0069999999999999</c:v>
                </c:pt>
                <c:pt idx="1008">
                  <c:v>1.008</c:v>
                </c:pt>
                <c:pt idx="1009">
                  <c:v>1.0089999999999999</c:v>
                </c:pt>
                <c:pt idx="1010">
                  <c:v>1.01</c:v>
                </c:pt>
                <c:pt idx="1011">
                  <c:v>1.0109999999999999</c:v>
                </c:pt>
                <c:pt idx="1012">
                  <c:v>1.012</c:v>
                </c:pt>
                <c:pt idx="1013">
                  <c:v>1.0129999999999999</c:v>
                </c:pt>
                <c:pt idx="1014">
                  <c:v>1.014</c:v>
                </c:pt>
                <c:pt idx="1015">
                  <c:v>1.0149999999999999</c:v>
                </c:pt>
                <c:pt idx="1016">
                  <c:v>1.016</c:v>
                </c:pt>
                <c:pt idx="1017">
                  <c:v>1.0169999999999999</c:v>
                </c:pt>
                <c:pt idx="1018">
                  <c:v>1.018</c:v>
                </c:pt>
                <c:pt idx="1019">
                  <c:v>1.0189999999999999</c:v>
                </c:pt>
                <c:pt idx="1020">
                  <c:v>1.02</c:v>
                </c:pt>
                <c:pt idx="1021">
                  <c:v>1.0209999999999999</c:v>
                </c:pt>
                <c:pt idx="1022">
                  <c:v>1.022</c:v>
                </c:pt>
                <c:pt idx="1023">
                  <c:v>1.0229999999999999</c:v>
                </c:pt>
                <c:pt idx="1024">
                  <c:v>1.024</c:v>
                </c:pt>
                <c:pt idx="1025">
                  <c:v>1.0249999999999999</c:v>
                </c:pt>
                <c:pt idx="1026">
                  <c:v>1.026</c:v>
                </c:pt>
                <c:pt idx="1027">
                  <c:v>1.0269999999999999</c:v>
                </c:pt>
                <c:pt idx="1028">
                  <c:v>1.028</c:v>
                </c:pt>
                <c:pt idx="1029">
                  <c:v>1.0289999999999999</c:v>
                </c:pt>
                <c:pt idx="1030">
                  <c:v>1.03</c:v>
                </c:pt>
                <c:pt idx="1031">
                  <c:v>1.0309999999999999</c:v>
                </c:pt>
                <c:pt idx="1032">
                  <c:v>1.032</c:v>
                </c:pt>
                <c:pt idx="1033">
                  <c:v>1.0329999999999999</c:v>
                </c:pt>
                <c:pt idx="1034">
                  <c:v>1.034</c:v>
                </c:pt>
                <c:pt idx="1035">
                  <c:v>1.0349999999999999</c:v>
                </c:pt>
                <c:pt idx="1036">
                  <c:v>1.036</c:v>
                </c:pt>
                <c:pt idx="1037">
                  <c:v>1.0369999999999999</c:v>
                </c:pt>
                <c:pt idx="1038">
                  <c:v>1.038</c:v>
                </c:pt>
                <c:pt idx="1039">
                  <c:v>1.0389999999999999</c:v>
                </c:pt>
                <c:pt idx="1040">
                  <c:v>1.04</c:v>
                </c:pt>
                <c:pt idx="1041">
                  <c:v>1.0409999999999999</c:v>
                </c:pt>
                <c:pt idx="1042">
                  <c:v>1.042</c:v>
                </c:pt>
                <c:pt idx="1043">
                  <c:v>1.0429999999999999</c:v>
                </c:pt>
                <c:pt idx="1044">
                  <c:v>1.044</c:v>
                </c:pt>
                <c:pt idx="1045">
                  <c:v>1.0449999999999999</c:v>
                </c:pt>
                <c:pt idx="1046">
                  <c:v>1.046</c:v>
                </c:pt>
                <c:pt idx="1047">
                  <c:v>1.0469999999999999</c:v>
                </c:pt>
                <c:pt idx="1048">
                  <c:v>1.048</c:v>
                </c:pt>
                <c:pt idx="1049">
                  <c:v>1.0489999999999999</c:v>
                </c:pt>
                <c:pt idx="1050">
                  <c:v>1.05</c:v>
                </c:pt>
                <c:pt idx="1051">
                  <c:v>1.0509999999999999</c:v>
                </c:pt>
                <c:pt idx="1052">
                  <c:v>1.052</c:v>
                </c:pt>
                <c:pt idx="1053">
                  <c:v>1.0529999999999999</c:v>
                </c:pt>
                <c:pt idx="1054">
                  <c:v>1.054</c:v>
                </c:pt>
                <c:pt idx="1055">
                  <c:v>1.0549999999999999</c:v>
                </c:pt>
                <c:pt idx="1056">
                  <c:v>1.056</c:v>
                </c:pt>
                <c:pt idx="1057">
                  <c:v>1.0569999999999999</c:v>
                </c:pt>
                <c:pt idx="1058">
                  <c:v>1.0580000000000001</c:v>
                </c:pt>
                <c:pt idx="1059">
                  <c:v>1.0589999999999999</c:v>
                </c:pt>
                <c:pt idx="1060">
                  <c:v>1.06</c:v>
                </c:pt>
                <c:pt idx="1061">
                  <c:v>1.0609999999999999</c:v>
                </c:pt>
                <c:pt idx="1062">
                  <c:v>1.0620000000000001</c:v>
                </c:pt>
                <c:pt idx="1063">
                  <c:v>1.0629999999999999</c:v>
                </c:pt>
                <c:pt idx="1064">
                  <c:v>1.0640000000000001</c:v>
                </c:pt>
                <c:pt idx="1065">
                  <c:v>1.0649999999999999</c:v>
                </c:pt>
                <c:pt idx="1066">
                  <c:v>1.0660000000000001</c:v>
                </c:pt>
                <c:pt idx="1067">
                  <c:v>1.0669999999999999</c:v>
                </c:pt>
                <c:pt idx="1068">
                  <c:v>1.0680000000000001</c:v>
                </c:pt>
                <c:pt idx="1069">
                  <c:v>1.069</c:v>
                </c:pt>
                <c:pt idx="1070">
                  <c:v>1.07</c:v>
                </c:pt>
                <c:pt idx="1071">
                  <c:v>1.071</c:v>
                </c:pt>
                <c:pt idx="1072">
                  <c:v>1.0720000000000001</c:v>
                </c:pt>
                <c:pt idx="1073">
                  <c:v>1.073</c:v>
                </c:pt>
                <c:pt idx="1074">
                  <c:v>1.0740000000000001</c:v>
                </c:pt>
                <c:pt idx="1075">
                  <c:v>1.075</c:v>
                </c:pt>
                <c:pt idx="1076">
                  <c:v>1.0760000000000001</c:v>
                </c:pt>
                <c:pt idx="1077">
                  <c:v>1.077</c:v>
                </c:pt>
                <c:pt idx="1078">
                  <c:v>1.0780000000000001</c:v>
                </c:pt>
                <c:pt idx="1079">
                  <c:v>1.079</c:v>
                </c:pt>
                <c:pt idx="1080">
                  <c:v>1.08</c:v>
                </c:pt>
                <c:pt idx="1081">
                  <c:v>1.081</c:v>
                </c:pt>
                <c:pt idx="1082">
                  <c:v>1.0820000000000001</c:v>
                </c:pt>
                <c:pt idx="1083">
                  <c:v>1.083</c:v>
                </c:pt>
                <c:pt idx="1084">
                  <c:v>1.0840000000000001</c:v>
                </c:pt>
                <c:pt idx="1085">
                  <c:v>1.085</c:v>
                </c:pt>
                <c:pt idx="1086">
                  <c:v>1.0860000000000001</c:v>
                </c:pt>
                <c:pt idx="1087">
                  <c:v>1.087</c:v>
                </c:pt>
                <c:pt idx="1088">
                  <c:v>1.0880000000000001</c:v>
                </c:pt>
                <c:pt idx="1089">
                  <c:v>1.089</c:v>
                </c:pt>
                <c:pt idx="1090">
                  <c:v>1.0900000000000001</c:v>
                </c:pt>
                <c:pt idx="1091">
                  <c:v>1.091</c:v>
                </c:pt>
                <c:pt idx="1092">
                  <c:v>1.0920000000000001</c:v>
                </c:pt>
                <c:pt idx="1093">
                  <c:v>1.093</c:v>
                </c:pt>
                <c:pt idx="1094">
                  <c:v>1.0940000000000001</c:v>
                </c:pt>
                <c:pt idx="1095">
                  <c:v>1.095</c:v>
                </c:pt>
                <c:pt idx="1096">
                  <c:v>1.0960000000000001</c:v>
                </c:pt>
                <c:pt idx="1097">
                  <c:v>1.097</c:v>
                </c:pt>
                <c:pt idx="1098">
                  <c:v>1.0980000000000001</c:v>
                </c:pt>
                <c:pt idx="1099">
                  <c:v>1.099</c:v>
                </c:pt>
                <c:pt idx="1100">
                  <c:v>1.1000000000000001</c:v>
                </c:pt>
                <c:pt idx="1101">
                  <c:v>1.101</c:v>
                </c:pt>
                <c:pt idx="1102">
                  <c:v>1.1020000000000001</c:v>
                </c:pt>
                <c:pt idx="1103">
                  <c:v>1.103</c:v>
                </c:pt>
                <c:pt idx="1104">
                  <c:v>1.1040000000000001</c:v>
                </c:pt>
                <c:pt idx="1105">
                  <c:v>1.105</c:v>
                </c:pt>
                <c:pt idx="1106">
                  <c:v>1.1060000000000001</c:v>
                </c:pt>
                <c:pt idx="1107">
                  <c:v>1.107</c:v>
                </c:pt>
                <c:pt idx="1108">
                  <c:v>1.1080000000000001</c:v>
                </c:pt>
                <c:pt idx="1109">
                  <c:v>1.109</c:v>
                </c:pt>
                <c:pt idx="1110">
                  <c:v>1.1100000000000001</c:v>
                </c:pt>
                <c:pt idx="1111">
                  <c:v>1.111</c:v>
                </c:pt>
                <c:pt idx="1112">
                  <c:v>1.1120000000000001</c:v>
                </c:pt>
                <c:pt idx="1113">
                  <c:v>1.113</c:v>
                </c:pt>
                <c:pt idx="1114">
                  <c:v>1.1140000000000001</c:v>
                </c:pt>
                <c:pt idx="1115">
                  <c:v>1.115</c:v>
                </c:pt>
                <c:pt idx="1116">
                  <c:v>1.1160000000000001</c:v>
                </c:pt>
                <c:pt idx="1117">
                  <c:v>1.117</c:v>
                </c:pt>
                <c:pt idx="1118">
                  <c:v>1.1180000000000001</c:v>
                </c:pt>
                <c:pt idx="1119">
                  <c:v>1.119</c:v>
                </c:pt>
                <c:pt idx="1120">
                  <c:v>1.1200000000000001</c:v>
                </c:pt>
                <c:pt idx="1121">
                  <c:v>1.121</c:v>
                </c:pt>
                <c:pt idx="1122">
                  <c:v>1.1220000000000001</c:v>
                </c:pt>
                <c:pt idx="1123">
                  <c:v>1.123</c:v>
                </c:pt>
                <c:pt idx="1124">
                  <c:v>1.1240000000000001</c:v>
                </c:pt>
                <c:pt idx="1125">
                  <c:v>1.125</c:v>
                </c:pt>
                <c:pt idx="1126">
                  <c:v>1.1259999999999999</c:v>
                </c:pt>
                <c:pt idx="1127">
                  <c:v>1.127</c:v>
                </c:pt>
                <c:pt idx="1128">
                  <c:v>1.1279999999999999</c:v>
                </c:pt>
                <c:pt idx="1129">
                  <c:v>1.129</c:v>
                </c:pt>
                <c:pt idx="1130">
                  <c:v>1.1299999999999999</c:v>
                </c:pt>
                <c:pt idx="1131">
                  <c:v>1.131</c:v>
                </c:pt>
                <c:pt idx="1132">
                  <c:v>1.1319999999999999</c:v>
                </c:pt>
                <c:pt idx="1133">
                  <c:v>1.133</c:v>
                </c:pt>
                <c:pt idx="1134">
                  <c:v>1.1339999999999999</c:v>
                </c:pt>
                <c:pt idx="1135">
                  <c:v>1.135</c:v>
                </c:pt>
                <c:pt idx="1136">
                  <c:v>1.1359999999999999</c:v>
                </c:pt>
                <c:pt idx="1137">
                  <c:v>1.137</c:v>
                </c:pt>
                <c:pt idx="1138">
                  <c:v>1.1379999999999999</c:v>
                </c:pt>
                <c:pt idx="1139">
                  <c:v>1.139</c:v>
                </c:pt>
                <c:pt idx="1140">
                  <c:v>1.1399999999999999</c:v>
                </c:pt>
                <c:pt idx="1141">
                  <c:v>1.141</c:v>
                </c:pt>
                <c:pt idx="1142">
                  <c:v>1.1419999999999999</c:v>
                </c:pt>
                <c:pt idx="1143">
                  <c:v>1.143</c:v>
                </c:pt>
                <c:pt idx="1144">
                  <c:v>1.1439999999999999</c:v>
                </c:pt>
                <c:pt idx="1145">
                  <c:v>1.145</c:v>
                </c:pt>
                <c:pt idx="1146">
                  <c:v>1.1459999999999999</c:v>
                </c:pt>
                <c:pt idx="1147">
                  <c:v>1.147</c:v>
                </c:pt>
                <c:pt idx="1148">
                  <c:v>1.1479999999999999</c:v>
                </c:pt>
                <c:pt idx="1149">
                  <c:v>1.149</c:v>
                </c:pt>
                <c:pt idx="1150">
                  <c:v>1.1499999999999999</c:v>
                </c:pt>
                <c:pt idx="1151">
                  <c:v>1.151</c:v>
                </c:pt>
                <c:pt idx="1152">
                  <c:v>1.1519999999999999</c:v>
                </c:pt>
                <c:pt idx="1153">
                  <c:v>1.153</c:v>
                </c:pt>
                <c:pt idx="1154">
                  <c:v>1.1539999999999999</c:v>
                </c:pt>
                <c:pt idx="1155">
                  <c:v>1.155</c:v>
                </c:pt>
                <c:pt idx="1156">
                  <c:v>1.1559999999999999</c:v>
                </c:pt>
                <c:pt idx="1157">
                  <c:v>1.157</c:v>
                </c:pt>
                <c:pt idx="1158">
                  <c:v>1.1579999999999999</c:v>
                </c:pt>
                <c:pt idx="1159">
                  <c:v>1.159</c:v>
                </c:pt>
                <c:pt idx="1160">
                  <c:v>1.1599999999999999</c:v>
                </c:pt>
                <c:pt idx="1161">
                  <c:v>1.161</c:v>
                </c:pt>
                <c:pt idx="1162">
                  <c:v>1.1619999999999999</c:v>
                </c:pt>
                <c:pt idx="1163">
                  <c:v>1.163</c:v>
                </c:pt>
                <c:pt idx="1164">
                  <c:v>1.1639999999999999</c:v>
                </c:pt>
                <c:pt idx="1165">
                  <c:v>1.165</c:v>
                </c:pt>
                <c:pt idx="1166">
                  <c:v>1.1659999999999999</c:v>
                </c:pt>
                <c:pt idx="1167">
                  <c:v>1.167</c:v>
                </c:pt>
                <c:pt idx="1168">
                  <c:v>1.1679999999999999</c:v>
                </c:pt>
                <c:pt idx="1169">
                  <c:v>1.169</c:v>
                </c:pt>
                <c:pt idx="1170">
                  <c:v>1.17</c:v>
                </c:pt>
                <c:pt idx="1171">
                  <c:v>1.171</c:v>
                </c:pt>
                <c:pt idx="1172">
                  <c:v>1.1719999999999999</c:v>
                </c:pt>
                <c:pt idx="1173">
                  <c:v>1.173</c:v>
                </c:pt>
                <c:pt idx="1174">
                  <c:v>1.1739999999999999</c:v>
                </c:pt>
                <c:pt idx="1175">
                  <c:v>1.175</c:v>
                </c:pt>
                <c:pt idx="1176">
                  <c:v>1.1759999999999999</c:v>
                </c:pt>
                <c:pt idx="1177">
                  <c:v>1.177</c:v>
                </c:pt>
                <c:pt idx="1178">
                  <c:v>1.1779999999999999</c:v>
                </c:pt>
                <c:pt idx="1179">
                  <c:v>1.179</c:v>
                </c:pt>
                <c:pt idx="1180">
                  <c:v>1.18</c:v>
                </c:pt>
                <c:pt idx="1181">
                  <c:v>1.181</c:v>
                </c:pt>
                <c:pt idx="1182">
                  <c:v>1.1819999999999999</c:v>
                </c:pt>
                <c:pt idx="1183">
                  <c:v>1.1830000000000001</c:v>
                </c:pt>
                <c:pt idx="1184">
                  <c:v>1.1839999999999999</c:v>
                </c:pt>
                <c:pt idx="1185">
                  <c:v>1.1850000000000001</c:v>
                </c:pt>
                <c:pt idx="1186">
                  <c:v>1.1859999999999999</c:v>
                </c:pt>
                <c:pt idx="1187">
                  <c:v>1.1870000000000001</c:v>
                </c:pt>
                <c:pt idx="1188">
                  <c:v>1.1879999999999999</c:v>
                </c:pt>
                <c:pt idx="1189">
                  <c:v>1.1890000000000001</c:v>
                </c:pt>
                <c:pt idx="1190">
                  <c:v>1.19</c:v>
                </c:pt>
                <c:pt idx="1191">
                  <c:v>1.1910000000000001</c:v>
                </c:pt>
                <c:pt idx="1192">
                  <c:v>1.1919999999999999</c:v>
                </c:pt>
                <c:pt idx="1193">
                  <c:v>1.1930000000000001</c:v>
                </c:pt>
                <c:pt idx="1194">
                  <c:v>1.194</c:v>
                </c:pt>
                <c:pt idx="1195">
                  <c:v>1.1950000000000001</c:v>
                </c:pt>
                <c:pt idx="1196">
                  <c:v>1.196</c:v>
                </c:pt>
                <c:pt idx="1197">
                  <c:v>1.1970000000000001</c:v>
                </c:pt>
                <c:pt idx="1198">
                  <c:v>1.198</c:v>
                </c:pt>
                <c:pt idx="1199">
                  <c:v>1.1990000000000001</c:v>
                </c:pt>
                <c:pt idx="1200">
                  <c:v>1.2</c:v>
                </c:pt>
                <c:pt idx="1201">
                  <c:v>1.2010000000000001</c:v>
                </c:pt>
                <c:pt idx="1202">
                  <c:v>1.202</c:v>
                </c:pt>
                <c:pt idx="1203">
                  <c:v>1.2030000000000001</c:v>
                </c:pt>
                <c:pt idx="1204">
                  <c:v>1.204</c:v>
                </c:pt>
                <c:pt idx="1205">
                  <c:v>1.2050000000000001</c:v>
                </c:pt>
                <c:pt idx="1206">
                  <c:v>1.206</c:v>
                </c:pt>
                <c:pt idx="1207">
                  <c:v>1.2070000000000001</c:v>
                </c:pt>
                <c:pt idx="1208">
                  <c:v>1.208</c:v>
                </c:pt>
                <c:pt idx="1209">
                  <c:v>1.2090000000000001</c:v>
                </c:pt>
                <c:pt idx="1210">
                  <c:v>1.21</c:v>
                </c:pt>
                <c:pt idx="1211">
                  <c:v>1.2110000000000001</c:v>
                </c:pt>
                <c:pt idx="1212">
                  <c:v>1.212</c:v>
                </c:pt>
                <c:pt idx="1213">
                  <c:v>1.2130000000000001</c:v>
                </c:pt>
                <c:pt idx="1214">
                  <c:v>1.214</c:v>
                </c:pt>
                <c:pt idx="1215">
                  <c:v>1.2150000000000001</c:v>
                </c:pt>
                <c:pt idx="1216">
                  <c:v>1.216</c:v>
                </c:pt>
                <c:pt idx="1217">
                  <c:v>1.2170000000000001</c:v>
                </c:pt>
                <c:pt idx="1218">
                  <c:v>1.218</c:v>
                </c:pt>
                <c:pt idx="1219">
                  <c:v>1.2190000000000001</c:v>
                </c:pt>
                <c:pt idx="1220">
                  <c:v>1.22</c:v>
                </c:pt>
                <c:pt idx="1221">
                  <c:v>1.2210000000000001</c:v>
                </c:pt>
                <c:pt idx="1222">
                  <c:v>1.222</c:v>
                </c:pt>
                <c:pt idx="1223">
                  <c:v>1.2230000000000001</c:v>
                </c:pt>
                <c:pt idx="1224">
                  <c:v>1.224</c:v>
                </c:pt>
                <c:pt idx="1225">
                  <c:v>1.2250000000000001</c:v>
                </c:pt>
                <c:pt idx="1226">
                  <c:v>1.226</c:v>
                </c:pt>
                <c:pt idx="1227">
                  <c:v>1.2270000000000001</c:v>
                </c:pt>
                <c:pt idx="1228">
                  <c:v>1.228</c:v>
                </c:pt>
                <c:pt idx="1229">
                  <c:v>1.2290000000000001</c:v>
                </c:pt>
                <c:pt idx="1230">
                  <c:v>1.23</c:v>
                </c:pt>
                <c:pt idx="1231">
                  <c:v>1.2310000000000001</c:v>
                </c:pt>
                <c:pt idx="1232">
                  <c:v>1.232</c:v>
                </c:pt>
                <c:pt idx="1233">
                  <c:v>1.2330000000000001</c:v>
                </c:pt>
                <c:pt idx="1234">
                  <c:v>1.234</c:v>
                </c:pt>
                <c:pt idx="1235">
                  <c:v>1.2350000000000001</c:v>
                </c:pt>
                <c:pt idx="1236">
                  <c:v>1.236</c:v>
                </c:pt>
                <c:pt idx="1237">
                  <c:v>1.2370000000000001</c:v>
                </c:pt>
                <c:pt idx="1238">
                  <c:v>1.238</c:v>
                </c:pt>
                <c:pt idx="1239">
                  <c:v>1.2390000000000001</c:v>
                </c:pt>
                <c:pt idx="1240">
                  <c:v>1.24</c:v>
                </c:pt>
                <c:pt idx="1241">
                  <c:v>1.2410000000000001</c:v>
                </c:pt>
                <c:pt idx="1242">
                  <c:v>1.242</c:v>
                </c:pt>
                <c:pt idx="1243">
                  <c:v>1.2430000000000001</c:v>
                </c:pt>
                <c:pt idx="1244">
                  <c:v>1.244</c:v>
                </c:pt>
                <c:pt idx="1245">
                  <c:v>1.2450000000000001</c:v>
                </c:pt>
                <c:pt idx="1246">
                  <c:v>1.246</c:v>
                </c:pt>
                <c:pt idx="1247">
                  <c:v>1.2470000000000001</c:v>
                </c:pt>
                <c:pt idx="1248">
                  <c:v>1.248</c:v>
                </c:pt>
                <c:pt idx="1249">
                  <c:v>1.2490000000000001</c:v>
                </c:pt>
                <c:pt idx="1250">
                  <c:v>1.25</c:v>
                </c:pt>
                <c:pt idx="1251">
                  <c:v>1.2509999999999999</c:v>
                </c:pt>
                <c:pt idx="1252">
                  <c:v>1.252</c:v>
                </c:pt>
                <c:pt idx="1253">
                  <c:v>1.2529999999999999</c:v>
                </c:pt>
                <c:pt idx="1254">
                  <c:v>1.254</c:v>
                </c:pt>
                <c:pt idx="1255">
                  <c:v>1.2549999999999999</c:v>
                </c:pt>
                <c:pt idx="1256">
                  <c:v>1.256</c:v>
                </c:pt>
                <c:pt idx="1257">
                  <c:v>1.2569999999999999</c:v>
                </c:pt>
                <c:pt idx="1258">
                  <c:v>1.258</c:v>
                </c:pt>
                <c:pt idx="1259">
                  <c:v>1.2589999999999999</c:v>
                </c:pt>
                <c:pt idx="1260">
                  <c:v>1.26</c:v>
                </c:pt>
                <c:pt idx="1261">
                  <c:v>1.2609999999999999</c:v>
                </c:pt>
                <c:pt idx="1262">
                  <c:v>1.262</c:v>
                </c:pt>
                <c:pt idx="1263">
                  <c:v>1.2629999999999999</c:v>
                </c:pt>
                <c:pt idx="1264">
                  <c:v>1.264</c:v>
                </c:pt>
                <c:pt idx="1265">
                  <c:v>1.2649999999999999</c:v>
                </c:pt>
                <c:pt idx="1266">
                  <c:v>1.266</c:v>
                </c:pt>
                <c:pt idx="1267">
                  <c:v>1.2669999999999999</c:v>
                </c:pt>
                <c:pt idx="1268">
                  <c:v>1.268</c:v>
                </c:pt>
                <c:pt idx="1269">
                  <c:v>1.2689999999999999</c:v>
                </c:pt>
                <c:pt idx="1270">
                  <c:v>1.27</c:v>
                </c:pt>
                <c:pt idx="1271">
                  <c:v>1.2709999999999999</c:v>
                </c:pt>
                <c:pt idx="1272">
                  <c:v>1.272</c:v>
                </c:pt>
                <c:pt idx="1273">
                  <c:v>1.2729999999999999</c:v>
                </c:pt>
                <c:pt idx="1274">
                  <c:v>1.274</c:v>
                </c:pt>
                <c:pt idx="1275">
                  <c:v>1.2749999999999999</c:v>
                </c:pt>
                <c:pt idx="1276">
                  <c:v>1.276</c:v>
                </c:pt>
                <c:pt idx="1277">
                  <c:v>1.2769999999999999</c:v>
                </c:pt>
                <c:pt idx="1278">
                  <c:v>1.278</c:v>
                </c:pt>
                <c:pt idx="1279">
                  <c:v>1.2789999999999999</c:v>
                </c:pt>
                <c:pt idx="1280">
                  <c:v>1.28</c:v>
                </c:pt>
                <c:pt idx="1281">
                  <c:v>1.2809999999999999</c:v>
                </c:pt>
                <c:pt idx="1282">
                  <c:v>1.282</c:v>
                </c:pt>
                <c:pt idx="1283">
                  <c:v>1.2829999999999999</c:v>
                </c:pt>
                <c:pt idx="1284">
                  <c:v>1.284</c:v>
                </c:pt>
                <c:pt idx="1285">
                  <c:v>1.2849999999999999</c:v>
                </c:pt>
                <c:pt idx="1286">
                  <c:v>1.286</c:v>
                </c:pt>
                <c:pt idx="1287">
                  <c:v>1.2869999999999999</c:v>
                </c:pt>
                <c:pt idx="1288">
                  <c:v>1.288</c:v>
                </c:pt>
                <c:pt idx="1289">
                  <c:v>1.2889999999999999</c:v>
                </c:pt>
                <c:pt idx="1290">
                  <c:v>1.29</c:v>
                </c:pt>
                <c:pt idx="1291">
                  <c:v>1.2909999999999999</c:v>
                </c:pt>
                <c:pt idx="1292">
                  <c:v>1.292</c:v>
                </c:pt>
                <c:pt idx="1293">
                  <c:v>1.2929999999999999</c:v>
                </c:pt>
                <c:pt idx="1294">
                  <c:v>1.294</c:v>
                </c:pt>
                <c:pt idx="1295">
                  <c:v>1.2949999999999999</c:v>
                </c:pt>
                <c:pt idx="1296">
                  <c:v>1.296</c:v>
                </c:pt>
                <c:pt idx="1297">
                  <c:v>1.2969999999999999</c:v>
                </c:pt>
                <c:pt idx="1298">
                  <c:v>1.298</c:v>
                </c:pt>
                <c:pt idx="1299">
                  <c:v>1.2989999999999999</c:v>
                </c:pt>
                <c:pt idx="1300">
                  <c:v>1.3</c:v>
                </c:pt>
                <c:pt idx="1301">
                  <c:v>1.3009999999999999</c:v>
                </c:pt>
                <c:pt idx="1302">
                  <c:v>1.302</c:v>
                </c:pt>
                <c:pt idx="1303">
                  <c:v>1.3029999999999999</c:v>
                </c:pt>
                <c:pt idx="1304">
                  <c:v>1.304</c:v>
                </c:pt>
                <c:pt idx="1305">
                  <c:v>1.3049999999999999</c:v>
                </c:pt>
                <c:pt idx="1306">
                  <c:v>1.306</c:v>
                </c:pt>
                <c:pt idx="1307">
                  <c:v>1.3069999999999999</c:v>
                </c:pt>
                <c:pt idx="1308">
                  <c:v>1.3080000000000001</c:v>
                </c:pt>
                <c:pt idx="1309">
                  <c:v>1.3089999999999999</c:v>
                </c:pt>
                <c:pt idx="1310">
                  <c:v>1.31</c:v>
                </c:pt>
                <c:pt idx="1311">
                  <c:v>1.3109999999999999</c:v>
                </c:pt>
                <c:pt idx="1312">
                  <c:v>1.3120000000000001</c:v>
                </c:pt>
                <c:pt idx="1313">
                  <c:v>1.3129999999999999</c:v>
                </c:pt>
                <c:pt idx="1314">
                  <c:v>1.3140000000000001</c:v>
                </c:pt>
                <c:pt idx="1315">
                  <c:v>1.3149999999999999</c:v>
                </c:pt>
                <c:pt idx="1316">
                  <c:v>1.3160000000000001</c:v>
                </c:pt>
                <c:pt idx="1317">
                  <c:v>1.3169999999999999</c:v>
                </c:pt>
                <c:pt idx="1318">
                  <c:v>1.3180000000000001</c:v>
                </c:pt>
                <c:pt idx="1319">
                  <c:v>1.319</c:v>
                </c:pt>
                <c:pt idx="1320">
                  <c:v>1.32</c:v>
                </c:pt>
                <c:pt idx="1321">
                  <c:v>1.321</c:v>
                </c:pt>
                <c:pt idx="1322">
                  <c:v>1.3220000000000001</c:v>
                </c:pt>
                <c:pt idx="1323">
                  <c:v>1.323</c:v>
                </c:pt>
                <c:pt idx="1324">
                  <c:v>1.3240000000000001</c:v>
                </c:pt>
                <c:pt idx="1325">
                  <c:v>1.325</c:v>
                </c:pt>
                <c:pt idx="1326">
                  <c:v>1.3260000000000001</c:v>
                </c:pt>
                <c:pt idx="1327">
                  <c:v>1.327</c:v>
                </c:pt>
                <c:pt idx="1328">
                  <c:v>1.3280000000000001</c:v>
                </c:pt>
                <c:pt idx="1329">
                  <c:v>1.329</c:v>
                </c:pt>
                <c:pt idx="1330">
                  <c:v>1.33</c:v>
                </c:pt>
                <c:pt idx="1331">
                  <c:v>1.331</c:v>
                </c:pt>
                <c:pt idx="1332">
                  <c:v>1.3320000000000001</c:v>
                </c:pt>
                <c:pt idx="1333">
                  <c:v>1.333</c:v>
                </c:pt>
                <c:pt idx="1334">
                  <c:v>1.3340000000000001</c:v>
                </c:pt>
                <c:pt idx="1335">
                  <c:v>1.335</c:v>
                </c:pt>
                <c:pt idx="1336">
                  <c:v>1.3360000000000001</c:v>
                </c:pt>
                <c:pt idx="1337">
                  <c:v>1.337</c:v>
                </c:pt>
                <c:pt idx="1338">
                  <c:v>1.3380000000000001</c:v>
                </c:pt>
                <c:pt idx="1339">
                  <c:v>1.339</c:v>
                </c:pt>
                <c:pt idx="1340">
                  <c:v>1.34</c:v>
                </c:pt>
                <c:pt idx="1341">
                  <c:v>1.341</c:v>
                </c:pt>
                <c:pt idx="1342">
                  <c:v>1.3420000000000001</c:v>
                </c:pt>
                <c:pt idx="1343">
                  <c:v>1.343</c:v>
                </c:pt>
                <c:pt idx="1344">
                  <c:v>1.3440000000000001</c:v>
                </c:pt>
                <c:pt idx="1345">
                  <c:v>1.345</c:v>
                </c:pt>
                <c:pt idx="1346">
                  <c:v>1.3460000000000001</c:v>
                </c:pt>
                <c:pt idx="1347">
                  <c:v>1.347</c:v>
                </c:pt>
                <c:pt idx="1348">
                  <c:v>1.3480000000000001</c:v>
                </c:pt>
                <c:pt idx="1349">
                  <c:v>1.349</c:v>
                </c:pt>
                <c:pt idx="1350">
                  <c:v>1.35</c:v>
                </c:pt>
                <c:pt idx="1351">
                  <c:v>1.351</c:v>
                </c:pt>
                <c:pt idx="1352">
                  <c:v>1.3520000000000001</c:v>
                </c:pt>
                <c:pt idx="1353">
                  <c:v>1.353</c:v>
                </c:pt>
                <c:pt idx="1354">
                  <c:v>1.3540000000000001</c:v>
                </c:pt>
                <c:pt idx="1355">
                  <c:v>1.355</c:v>
                </c:pt>
                <c:pt idx="1356">
                  <c:v>1.3560000000000001</c:v>
                </c:pt>
                <c:pt idx="1357">
                  <c:v>1.357</c:v>
                </c:pt>
                <c:pt idx="1358">
                  <c:v>1.3580000000000001</c:v>
                </c:pt>
                <c:pt idx="1359">
                  <c:v>1.359</c:v>
                </c:pt>
                <c:pt idx="1360">
                  <c:v>1.36</c:v>
                </c:pt>
                <c:pt idx="1361">
                  <c:v>1.361</c:v>
                </c:pt>
                <c:pt idx="1362">
                  <c:v>1.3620000000000001</c:v>
                </c:pt>
                <c:pt idx="1363">
                  <c:v>1.363</c:v>
                </c:pt>
                <c:pt idx="1364">
                  <c:v>1.3640000000000001</c:v>
                </c:pt>
                <c:pt idx="1365">
                  <c:v>1.365</c:v>
                </c:pt>
                <c:pt idx="1366">
                  <c:v>1.3660000000000001</c:v>
                </c:pt>
                <c:pt idx="1367">
                  <c:v>1.367</c:v>
                </c:pt>
                <c:pt idx="1368">
                  <c:v>1.3680000000000001</c:v>
                </c:pt>
                <c:pt idx="1369">
                  <c:v>1.369</c:v>
                </c:pt>
                <c:pt idx="1370">
                  <c:v>1.37</c:v>
                </c:pt>
                <c:pt idx="1371">
                  <c:v>1.371</c:v>
                </c:pt>
                <c:pt idx="1372">
                  <c:v>1.3720000000000001</c:v>
                </c:pt>
                <c:pt idx="1373">
                  <c:v>1.373</c:v>
                </c:pt>
                <c:pt idx="1374">
                  <c:v>1.3740000000000001</c:v>
                </c:pt>
                <c:pt idx="1375">
                  <c:v>1.375</c:v>
                </c:pt>
                <c:pt idx="1376">
                  <c:v>1.3759999999999999</c:v>
                </c:pt>
                <c:pt idx="1377">
                  <c:v>1.377</c:v>
                </c:pt>
                <c:pt idx="1378">
                  <c:v>1.3779999999999999</c:v>
                </c:pt>
                <c:pt idx="1379">
                  <c:v>1.379</c:v>
                </c:pt>
                <c:pt idx="1380">
                  <c:v>1.38</c:v>
                </c:pt>
                <c:pt idx="1381">
                  <c:v>1.381</c:v>
                </c:pt>
                <c:pt idx="1382">
                  <c:v>1.3819999999999999</c:v>
                </c:pt>
                <c:pt idx="1383">
                  <c:v>1.383</c:v>
                </c:pt>
                <c:pt idx="1384">
                  <c:v>1.3839999999999999</c:v>
                </c:pt>
                <c:pt idx="1385">
                  <c:v>1.385</c:v>
                </c:pt>
                <c:pt idx="1386">
                  <c:v>1.3859999999999999</c:v>
                </c:pt>
                <c:pt idx="1387">
                  <c:v>1.387</c:v>
                </c:pt>
                <c:pt idx="1388">
                  <c:v>1.3879999999999999</c:v>
                </c:pt>
                <c:pt idx="1389">
                  <c:v>1.389</c:v>
                </c:pt>
                <c:pt idx="1390">
                  <c:v>1.39</c:v>
                </c:pt>
                <c:pt idx="1391">
                  <c:v>1.391</c:v>
                </c:pt>
                <c:pt idx="1392">
                  <c:v>1.3919999999999999</c:v>
                </c:pt>
                <c:pt idx="1393">
                  <c:v>1.393</c:v>
                </c:pt>
                <c:pt idx="1394">
                  <c:v>1.3939999999999999</c:v>
                </c:pt>
                <c:pt idx="1395">
                  <c:v>1.395</c:v>
                </c:pt>
                <c:pt idx="1396">
                  <c:v>1.3959999999999999</c:v>
                </c:pt>
                <c:pt idx="1397">
                  <c:v>1.397</c:v>
                </c:pt>
                <c:pt idx="1398">
                  <c:v>1.3979999999999999</c:v>
                </c:pt>
                <c:pt idx="1399">
                  <c:v>1.399</c:v>
                </c:pt>
                <c:pt idx="1400">
                  <c:v>1.4</c:v>
                </c:pt>
                <c:pt idx="1401">
                  <c:v>1.401</c:v>
                </c:pt>
                <c:pt idx="1402">
                  <c:v>1.4019999999999999</c:v>
                </c:pt>
                <c:pt idx="1403">
                  <c:v>1.403</c:v>
                </c:pt>
                <c:pt idx="1404">
                  <c:v>1.4039999999999999</c:v>
                </c:pt>
                <c:pt idx="1405">
                  <c:v>1.405</c:v>
                </c:pt>
                <c:pt idx="1406">
                  <c:v>1.4059999999999999</c:v>
                </c:pt>
                <c:pt idx="1407">
                  <c:v>1.407</c:v>
                </c:pt>
                <c:pt idx="1408">
                  <c:v>1.4079999999999999</c:v>
                </c:pt>
                <c:pt idx="1409">
                  <c:v>1.409</c:v>
                </c:pt>
                <c:pt idx="1410">
                  <c:v>1.41</c:v>
                </c:pt>
                <c:pt idx="1411">
                  <c:v>1.411</c:v>
                </c:pt>
                <c:pt idx="1412">
                  <c:v>1.4119999999999999</c:v>
                </c:pt>
                <c:pt idx="1413">
                  <c:v>1.413</c:v>
                </c:pt>
                <c:pt idx="1414">
                  <c:v>1.4139999999999999</c:v>
                </c:pt>
                <c:pt idx="1415">
                  <c:v>1.415</c:v>
                </c:pt>
                <c:pt idx="1416">
                  <c:v>1.4159999999999999</c:v>
                </c:pt>
                <c:pt idx="1417">
                  <c:v>1.417</c:v>
                </c:pt>
                <c:pt idx="1418">
                  <c:v>1.4179999999999999</c:v>
                </c:pt>
                <c:pt idx="1419">
                  <c:v>1.419</c:v>
                </c:pt>
                <c:pt idx="1420">
                  <c:v>1.42</c:v>
                </c:pt>
                <c:pt idx="1421">
                  <c:v>1.421</c:v>
                </c:pt>
                <c:pt idx="1422">
                  <c:v>1.4219999999999999</c:v>
                </c:pt>
                <c:pt idx="1423">
                  <c:v>1.423</c:v>
                </c:pt>
                <c:pt idx="1424">
                  <c:v>1.4239999999999999</c:v>
                </c:pt>
                <c:pt idx="1425">
                  <c:v>1.425</c:v>
                </c:pt>
                <c:pt idx="1426">
                  <c:v>1.4259999999999999</c:v>
                </c:pt>
                <c:pt idx="1427">
                  <c:v>1.427</c:v>
                </c:pt>
                <c:pt idx="1428">
                  <c:v>1.4279999999999999</c:v>
                </c:pt>
                <c:pt idx="1429">
                  <c:v>1.429</c:v>
                </c:pt>
                <c:pt idx="1430">
                  <c:v>1.43</c:v>
                </c:pt>
                <c:pt idx="1431">
                  <c:v>1.431</c:v>
                </c:pt>
                <c:pt idx="1432">
                  <c:v>1.4319999999999999</c:v>
                </c:pt>
                <c:pt idx="1433">
                  <c:v>1.4330000000000001</c:v>
                </c:pt>
                <c:pt idx="1434">
                  <c:v>1.4339999999999999</c:v>
                </c:pt>
                <c:pt idx="1435">
                  <c:v>1.4350000000000001</c:v>
                </c:pt>
                <c:pt idx="1436">
                  <c:v>1.4359999999999999</c:v>
                </c:pt>
                <c:pt idx="1437">
                  <c:v>1.4370000000000001</c:v>
                </c:pt>
                <c:pt idx="1438">
                  <c:v>1.4379999999999999</c:v>
                </c:pt>
                <c:pt idx="1439">
                  <c:v>1.4390000000000001</c:v>
                </c:pt>
                <c:pt idx="1440">
                  <c:v>1.44</c:v>
                </c:pt>
                <c:pt idx="1441">
                  <c:v>1.4410000000000001</c:v>
                </c:pt>
                <c:pt idx="1442">
                  <c:v>1.4419999999999999</c:v>
                </c:pt>
                <c:pt idx="1443">
                  <c:v>1.4430000000000001</c:v>
                </c:pt>
                <c:pt idx="1444">
                  <c:v>1.444</c:v>
                </c:pt>
                <c:pt idx="1445">
                  <c:v>1.4450000000000001</c:v>
                </c:pt>
                <c:pt idx="1446">
                  <c:v>1.446</c:v>
                </c:pt>
                <c:pt idx="1447">
                  <c:v>1.4470000000000001</c:v>
                </c:pt>
                <c:pt idx="1448">
                  <c:v>1.448</c:v>
                </c:pt>
                <c:pt idx="1449">
                  <c:v>1.4490000000000001</c:v>
                </c:pt>
                <c:pt idx="1450">
                  <c:v>1.45</c:v>
                </c:pt>
                <c:pt idx="1451">
                  <c:v>1.4510000000000001</c:v>
                </c:pt>
                <c:pt idx="1452">
                  <c:v>1.452</c:v>
                </c:pt>
                <c:pt idx="1453">
                  <c:v>1.4530000000000001</c:v>
                </c:pt>
                <c:pt idx="1454">
                  <c:v>1.454</c:v>
                </c:pt>
                <c:pt idx="1455">
                  <c:v>1.4550000000000001</c:v>
                </c:pt>
                <c:pt idx="1456">
                  <c:v>1.456</c:v>
                </c:pt>
                <c:pt idx="1457">
                  <c:v>1.4570000000000001</c:v>
                </c:pt>
                <c:pt idx="1458">
                  <c:v>1.458</c:v>
                </c:pt>
                <c:pt idx="1459">
                  <c:v>1.4590000000000001</c:v>
                </c:pt>
                <c:pt idx="1460">
                  <c:v>1.46</c:v>
                </c:pt>
                <c:pt idx="1461">
                  <c:v>1.4610000000000001</c:v>
                </c:pt>
                <c:pt idx="1462">
                  <c:v>1.462</c:v>
                </c:pt>
                <c:pt idx="1463">
                  <c:v>1.4630000000000001</c:v>
                </c:pt>
                <c:pt idx="1464">
                  <c:v>1.464</c:v>
                </c:pt>
                <c:pt idx="1465">
                  <c:v>1.4650000000000001</c:v>
                </c:pt>
                <c:pt idx="1466">
                  <c:v>1.466</c:v>
                </c:pt>
                <c:pt idx="1467">
                  <c:v>1.4670000000000001</c:v>
                </c:pt>
                <c:pt idx="1468">
                  <c:v>1.468</c:v>
                </c:pt>
                <c:pt idx="1469">
                  <c:v>1.4690000000000001</c:v>
                </c:pt>
                <c:pt idx="1470">
                  <c:v>1.47</c:v>
                </c:pt>
                <c:pt idx="1471">
                  <c:v>1.4710000000000001</c:v>
                </c:pt>
                <c:pt idx="1472">
                  <c:v>1.472</c:v>
                </c:pt>
                <c:pt idx="1473">
                  <c:v>1.4730000000000001</c:v>
                </c:pt>
                <c:pt idx="1474">
                  <c:v>1.474</c:v>
                </c:pt>
                <c:pt idx="1475">
                  <c:v>1.4750000000000001</c:v>
                </c:pt>
                <c:pt idx="1476">
                  <c:v>1.476</c:v>
                </c:pt>
                <c:pt idx="1477">
                  <c:v>1.4770000000000001</c:v>
                </c:pt>
                <c:pt idx="1478">
                  <c:v>1.478</c:v>
                </c:pt>
                <c:pt idx="1479">
                  <c:v>1.4790000000000001</c:v>
                </c:pt>
                <c:pt idx="1480">
                  <c:v>1.48</c:v>
                </c:pt>
                <c:pt idx="1481">
                  <c:v>1.4810000000000001</c:v>
                </c:pt>
                <c:pt idx="1482">
                  <c:v>1.482</c:v>
                </c:pt>
                <c:pt idx="1483">
                  <c:v>1.4830000000000001</c:v>
                </c:pt>
                <c:pt idx="1484">
                  <c:v>1.484</c:v>
                </c:pt>
                <c:pt idx="1485">
                  <c:v>1.4850000000000001</c:v>
                </c:pt>
                <c:pt idx="1486">
                  <c:v>1.486</c:v>
                </c:pt>
                <c:pt idx="1487">
                  <c:v>1.4870000000000001</c:v>
                </c:pt>
                <c:pt idx="1488">
                  <c:v>1.488</c:v>
                </c:pt>
                <c:pt idx="1489">
                  <c:v>1.4890000000000001</c:v>
                </c:pt>
                <c:pt idx="1490">
                  <c:v>1.49</c:v>
                </c:pt>
                <c:pt idx="1491">
                  <c:v>1.4910000000000001</c:v>
                </c:pt>
                <c:pt idx="1492">
                  <c:v>1.492</c:v>
                </c:pt>
                <c:pt idx="1493">
                  <c:v>1.4930000000000001</c:v>
                </c:pt>
                <c:pt idx="1494">
                  <c:v>1.494</c:v>
                </c:pt>
                <c:pt idx="1495">
                  <c:v>1.4950000000000001</c:v>
                </c:pt>
                <c:pt idx="1496">
                  <c:v>1.496</c:v>
                </c:pt>
                <c:pt idx="1497">
                  <c:v>1.4970000000000001</c:v>
                </c:pt>
                <c:pt idx="1498">
                  <c:v>1.498</c:v>
                </c:pt>
                <c:pt idx="1499">
                  <c:v>1.4990000000000001</c:v>
                </c:pt>
                <c:pt idx="1500">
                  <c:v>1.5</c:v>
                </c:pt>
                <c:pt idx="1501">
                  <c:v>1.5009999999999999</c:v>
                </c:pt>
                <c:pt idx="1502">
                  <c:v>1.502</c:v>
                </c:pt>
                <c:pt idx="1503">
                  <c:v>1.5029999999999999</c:v>
                </c:pt>
                <c:pt idx="1504">
                  <c:v>1.504</c:v>
                </c:pt>
                <c:pt idx="1505">
                  <c:v>1.5049999999999999</c:v>
                </c:pt>
                <c:pt idx="1506">
                  <c:v>1.506</c:v>
                </c:pt>
                <c:pt idx="1507">
                  <c:v>1.5069999999999999</c:v>
                </c:pt>
                <c:pt idx="1508">
                  <c:v>1.508</c:v>
                </c:pt>
                <c:pt idx="1509">
                  <c:v>1.5089999999999999</c:v>
                </c:pt>
                <c:pt idx="1510">
                  <c:v>1.51</c:v>
                </c:pt>
                <c:pt idx="1511">
                  <c:v>1.5109999999999999</c:v>
                </c:pt>
                <c:pt idx="1512">
                  <c:v>1.512</c:v>
                </c:pt>
                <c:pt idx="1513">
                  <c:v>1.5129999999999999</c:v>
                </c:pt>
                <c:pt idx="1514">
                  <c:v>1.514</c:v>
                </c:pt>
                <c:pt idx="1515">
                  <c:v>1.5149999999999999</c:v>
                </c:pt>
                <c:pt idx="1516">
                  <c:v>1.516</c:v>
                </c:pt>
                <c:pt idx="1517">
                  <c:v>1.5169999999999999</c:v>
                </c:pt>
                <c:pt idx="1518">
                  <c:v>1.518</c:v>
                </c:pt>
                <c:pt idx="1519">
                  <c:v>1.5189999999999999</c:v>
                </c:pt>
                <c:pt idx="1520">
                  <c:v>1.52</c:v>
                </c:pt>
                <c:pt idx="1521">
                  <c:v>1.5209999999999999</c:v>
                </c:pt>
                <c:pt idx="1522">
                  <c:v>1.522</c:v>
                </c:pt>
                <c:pt idx="1523">
                  <c:v>1.5229999999999999</c:v>
                </c:pt>
                <c:pt idx="1524">
                  <c:v>1.524</c:v>
                </c:pt>
                <c:pt idx="1525">
                  <c:v>1.5249999999999999</c:v>
                </c:pt>
                <c:pt idx="1526">
                  <c:v>1.526</c:v>
                </c:pt>
                <c:pt idx="1527">
                  <c:v>1.5269999999999999</c:v>
                </c:pt>
                <c:pt idx="1528">
                  <c:v>1.528</c:v>
                </c:pt>
                <c:pt idx="1529">
                  <c:v>1.5289999999999999</c:v>
                </c:pt>
                <c:pt idx="1530">
                  <c:v>1.53</c:v>
                </c:pt>
                <c:pt idx="1531">
                  <c:v>1.5309999999999999</c:v>
                </c:pt>
                <c:pt idx="1532">
                  <c:v>1.532</c:v>
                </c:pt>
                <c:pt idx="1533">
                  <c:v>1.5329999999999999</c:v>
                </c:pt>
                <c:pt idx="1534">
                  <c:v>1.534</c:v>
                </c:pt>
                <c:pt idx="1535">
                  <c:v>1.5349999999999999</c:v>
                </c:pt>
                <c:pt idx="1536">
                  <c:v>1.536</c:v>
                </c:pt>
                <c:pt idx="1537">
                  <c:v>1.5369999999999999</c:v>
                </c:pt>
                <c:pt idx="1538">
                  <c:v>1.538</c:v>
                </c:pt>
                <c:pt idx="1539">
                  <c:v>1.5389999999999999</c:v>
                </c:pt>
                <c:pt idx="1540">
                  <c:v>1.54</c:v>
                </c:pt>
                <c:pt idx="1541">
                  <c:v>1.5409999999999999</c:v>
                </c:pt>
                <c:pt idx="1542">
                  <c:v>1.542</c:v>
                </c:pt>
                <c:pt idx="1543">
                  <c:v>1.5429999999999999</c:v>
                </c:pt>
                <c:pt idx="1544">
                  <c:v>1.544</c:v>
                </c:pt>
                <c:pt idx="1545">
                  <c:v>1.5449999999999999</c:v>
                </c:pt>
                <c:pt idx="1546">
                  <c:v>1.546</c:v>
                </c:pt>
                <c:pt idx="1547">
                  <c:v>1.5469999999999999</c:v>
                </c:pt>
                <c:pt idx="1548">
                  <c:v>1.548</c:v>
                </c:pt>
                <c:pt idx="1549">
                  <c:v>1.5489999999999999</c:v>
                </c:pt>
                <c:pt idx="1550">
                  <c:v>1.55</c:v>
                </c:pt>
                <c:pt idx="1551">
                  <c:v>1.5509999999999999</c:v>
                </c:pt>
                <c:pt idx="1552">
                  <c:v>1.552</c:v>
                </c:pt>
                <c:pt idx="1553">
                  <c:v>1.5529999999999999</c:v>
                </c:pt>
                <c:pt idx="1554">
                  <c:v>1.554</c:v>
                </c:pt>
                <c:pt idx="1555">
                  <c:v>1.5549999999999999</c:v>
                </c:pt>
                <c:pt idx="1556">
                  <c:v>1.556</c:v>
                </c:pt>
                <c:pt idx="1557">
                  <c:v>1.5569999999999999</c:v>
                </c:pt>
                <c:pt idx="1558">
                  <c:v>1.5580000000000001</c:v>
                </c:pt>
                <c:pt idx="1559">
                  <c:v>1.5589999999999999</c:v>
                </c:pt>
                <c:pt idx="1560">
                  <c:v>1.56</c:v>
                </c:pt>
                <c:pt idx="1561">
                  <c:v>1.5609999999999999</c:v>
                </c:pt>
                <c:pt idx="1562">
                  <c:v>1.5620000000000001</c:v>
                </c:pt>
                <c:pt idx="1563">
                  <c:v>1.5629999999999999</c:v>
                </c:pt>
                <c:pt idx="1564">
                  <c:v>1.5640000000000001</c:v>
                </c:pt>
                <c:pt idx="1565">
                  <c:v>1.5649999999999999</c:v>
                </c:pt>
                <c:pt idx="1566">
                  <c:v>1.5660000000000001</c:v>
                </c:pt>
                <c:pt idx="1567">
                  <c:v>1.5669999999999999</c:v>
                </c:pt>
                <c:pt idx="1568">
                  <c:v>1.5680000000000001</c:v>
                </c:pt>
                <c:pt idx="1569">
                  <c:v>1.569</c:v>
                </c:pt>
                <c:pt idx="1570">
                  <c:v>1.57</c:v>
                </c:pt>
                <c:pt idx="1571">
                  <c:v>1.571</c:v>
                </c:pt>
                <c:pt idx="1572">
                  <c:v>1.5720000000000001</c:v>
                </c:pt>
                <c:pt idx="1573">
                  <c:v>1.573</c:v>
                </c:pt>
                <c:pt idx="1574">
                  <c:v>1.5740000000000001</c:v>
                </c:pt>
                <c:pt idx="1575">
                  <c:v>1.575</c:v>
                </c:pt>
                <c:pt idx="1576">
                  <c:v>1.5760000000000001</c:v>
                </c:pt>
                <c:pt idx="1577">
                  <c:v>1.577</c:v>
                </c:pt>
                <c:pt idx="1578">
                  <c:v>1.5780000000000001</c:v>
                </c:pt>
                <c:pt idx="1579">
                  <c:v>1.579</c:v>
                </c:pt>
                <c:pt idx="1580">
                  <c:v>1.58</c:v>
                </c:pt>
                <c:pt idx="1581">
                  <c:v>1.581</c:v>
                </c:pt>
                <c:pt idx="1582">
                  <c:v>1.5820000000000001</c:v>
                </c:pt>
                <c:pt idx="1583">
                  <c:v>1.583</c:v>
                </c:pt>
                <c:pt idx="1584">
                  <c:v>1.5840000000000001</c:v>
                </c:pt>
                <c:pt idx="1585">
                  <c:v>1.585</c:v>
                </c:pt>
                <c:pt idx="1586">
                  <c:v>1.5860000000000001</c:v>
                </c:pt>
                <c:pt idx="1587">
                  <c:v>1.587</c:v>
                </c:pt>
                <c:pt idx="1588">
                  <c:v>1.5880000000000001</c:v>
                </c:pt>
                <c:pt idx="1589">
                  <c:v>1.589</c:v>
                </c:pt>
                <c:pt idx="1590">
                  <c:v>1.59</c:v>
                </c:pt>
                <c:pt idx="1591">
                  <c:v>1.591</c:v>
                </c:pt>
                <c:pt idx="1592">
                  <c:v>1.5920000000000001</c:v>
                </c:pt>
                <c:pt idx="1593">
                  <c:v>1.593</c:v>
                </c:pt>
                <c:pt idx="1594">
                  <c:v>1.5940000000000001</c:v>
                </c:pt>
                <c:pt idx="1595">
                  <c:v>1.595</c:v>
                </c:pt>
                <c:pt idx="1596">
                  <c:v>1.5960000000000001</c:v>
                </c:pt>
                <c:pt idx="1597">
                  <c:v>1.597</c:v>
                </c:pt>
                <c:pt idx="1598">
                  <c:v>1.5980000000000001</c:v>
                </c:pt>
                <c:pt idx="1599">
                  <c:v>1.599</c:v>
                </c:pt>
                <c:pt idx="1600">
                  <c:v>1.6</c:v>
                </c:pt>
                <c:pt idx="1601">
                  <c:v>1.601</c:v>
                </c:pt>
                <c:pt idx="1602">
                  <c:v>1.6020000000000001</c:v>
                </c:pt>
                <c:pt idx="1603">
                  <c:v>1.603</c:v>
                </c:pt>
                <c:pt idx="1604">
                  <c:v>1.6040000000000001</c:v>
                </c:pt>
                <c:pt idx="1605">
                  <c:v>1.605</c:v>
                </c:pt>
                <c:pt idx="1606">
                  <c:v>1.6060000000000001</c:v>
                </c:pt>
                <c:pt idx="1607">
                  <c:v>1.607</c:v>
                </c:pt>
                <c:pt idx="1608">
                  <c:v>1.6080000000000001</c:v>
                </c:pt>
                <c:pt idx="1609">
                  <c:v>1.609</c:v>
                </c:pt>
                <c:pt idx="1610">
                  <c:v>1.61</c:v>
                </c:pt>
                <c:pt idx="1611">
                  <c:v>1.611</c:v>
                </c:pt>
                <c:pt idx="1612">
                  <c:v>1.6120000000000001</c:v>
                </c:pt>
                <c:pt idx="1613">
                  <c:v>1.613</c:v>
                </c:pt>
                <c:pt idx="1614">
                  <c:v>1.6140000000000001</c:v>
                </c:pt>
                <c:pt idx="1615">
                  <c:v>1.615</c:v>
                </c:pt>
                <c:pt idx="1616">
                  <c:v>1.6160000000000001</c:v>
                </c:pt>
                <c:pt idx="1617">
                  <c:v>1.617</c:v>
                </c:pt>
                <c:pt idx="1618">
                  <c:v>1.6180000000000001</c:v>
                </c:pt>
                <c:pt idx="1619">
                  <c:v>1.619</c:v>
                </c:pt>
                <c:pt idx="1620">
                  <c:v>1.62</c:v>
                </c:pt>
                <c:pt idx="1621">
                  <c:v>1.621</c:v>
                </c:pt>
                <c:pt idx="1622">
                  <c:v>1.6220000000000001</c:v>
                </c:pt>
                <c:pt idx="1623">
                  <c:v>1.623</c:v>
                </c:pt>
                <c:pt idx="1624">
                  <c:v>1.6240000000000001</c:v>
                </c:pt>
                <c:pt idx="1625">
                  <c:v>1.625</c:v>
                </c:pt>
                <c:pt idx="1626">
                  <c:v>1.6259999999999999</c:v>
                </c:pt>
                <c:pt idx="1627">
                  <c:v>1.627</c:v>
                </c:pt>
                <c:pt idx="1628">
                  <c:v>1.6279999999999999</c:v>
                </c:pt>
                <c:pt idx="1629">
                  <c:v>1.629</c:v>
                </c:pt>
                <c:pt idx="1630">
                  <c:v>1.63</c:v>
                </c:pt>
                <c:pt idx="1631">
                  <c:v>1.631</c:v>
                </c:pt>
                <c:pt idx="1632">
                  <c:v>1.6319999999999999</c:v>
                </c:pt>
                <c:pt idx="1633">
                  <c:v>1.633</c:v>
                </c:pt>
                <c:pt idx="1634">
                  <c:v>1.6339999999999999</c:v>
                </c:pt>
                <c:pt idx="1635">
                  <c:v>1.635</c:v>
                </c:pt>
                <c:pt idx="1636">
                  <c:v>1.6359999999999999</c:v>
                </c:pt>
                <c:pt idx="1637">
                  <c:v>1.637</c:v>
                </c:pt>
                <c:pt idx="1638">
                  <c:v>1.6379999999999999</c:v>
                </c:pt>
                <c:pt idx="1639">
                  <c:v>1.639</c:v>
                </c:pt>
                <c:pt idx="1640">
                  <c:v>1.64</c:v>
                </c:pt>
                <c:pt idx="1641">
                  <c:v>1.641</c:v>
                </c:pt>
                <c:pt idx="1642">
                  <c:v>1.6419999999999999</c:v>
                </c:pt>
                <c:pt idx="1643">
                  <c:v>1.643</c:v>
                </c:pt>
                <c:pt idx="1644">
                  <c:v>1.6439999999999999</c:v>
                </c:pt>
                <c:pt idx="1645">
                  <c:v>1.645</c:v>
                </c:pt>
                <c:pt idx="1646">
                  <c:v>1.6459999999999999</c:v>
                </c:pt>
                <c:pt idx="1647">
                  <c:v>1.647</c:v>
                </c:pt>
                <c:pt idx="1648">
                  <c:v>1.6479999999999999</c:v>
                </c:pt>
                <c:pt idx="1649">
                  <c:v>1.649</c:v>
                </c:pt>
                <c:pt idx="1650">
                  <c:v>1.65</c:v>
                </c:pt>
                <c:pt idx="1651">
                  <c:v>1.651</c:v>
                </c:pt>
                <c:pt idx="1652">
                  <c:v>1.6519999999999999</c:v>
                </c:pt>
                <c:pt idx="1653">
                  <c:v>1.653</c:v>
                </c:pt>
                <c:pt idx="1654">
                  <c:v>1.6539999999999999</c:v>
                </c:pt>
                <c:pt idx="1655">
                  <c:v>1.655</c:v>
                </c:pt>
                <c:pt idx="1656">
                  <c:v>1.6559999999999999</c:v>
                </c:pt>
                <c:pt idx="1657">
                  <c:v>1.657</c:v>
                </c:pt>
                <c:pt idx="1658">
                  <c:v>1.6579999999999999</c:v>
                </c:pt>
                <c:pt idx="1659">
                  <c:v>1.659</c:v>
                </c:pt>
                <c:pt idx="1660">
                  <c:v>1.66</c:v>
                </c:pt>
                <c:pt idx="1661">
                  <c:v>1.661</c:v>
                </c:pt>
                <c:pt idx="1662">
                  <c:v>1.6619999999999999</c:v>
                </c:pt>
                <c:pt idx="1663">
                  <c:v>1.663</c:v>
                </c:pt>
                <c:pt idx="1664">
                  <c:v>1.6639999999999999</c:v>
                </c:pt>
                <c:pt idx="1665">
                  <c:v>1.665</c:v>
                </c:pt>
                <c:pt idx="1666">
                  <c:v>1.6659999999999999</c:v>
                </c:pt>
                <c:pt idx="1667">
                  <c:v>1.667</c:v>
                </c:pt>
                <c:pt idx="1668">
                  <c:v>1.6679999999999999</c:v>
                </c:pt>
                <c:pt idx="1669">
                  <c:v>1.669</c:v>
                </c:pt>
                <c:pt idx="1670">
                  <c:v>1.67</c:v>
                </c:pt>
                <c:pt idx="1671">
                  <c:v>1.671</c:v>
                </c:pt>
                <c:pt idx="1672">
                  <c:v>1.6719999999999999</c:v>
                </c:pt>
                <c:pt idx="1673">
                  <c:v>1.673</c:v>
                </c:pt>
                <c:pt idx="1674">
                  <c:v>1.6739999999999999</c:v>
                </c:pt>
                <c:pt idx="1675">
                  <c:v>1.675</c:v>
                </c:pt>
                <c:pt idx="1676">
                  <c:v>1.6759999999999999</c:v>
                </c:pt>
                <c:pt idx="1677">
                  <c:v>1.677</c:v>
                </c:pt>
                <c:pt idx="1678">
                  <c:v>1.6779999999999999</c:v>
                </c:pt>
                <c:pt idx="1679">
                  <c:v>1.679</c:v>
                </c:pt>
                <c:pt idx="1680">
                  <c:v>1.68</c:v>
                </c:pt>
                <c:pt idx="1681">
                  <c:v>1.681</c:v>
                </c:pt>
                <c:pt idx="1682">
                  <c:v>1.6819999999999999</c:v>
                </c:pt>
                <c:pt idx="1683">
                  <c:v>1.6830000000000001</c:v>
                </c:pt>
                <c:pt idx="1684">
                  <c:v>1.6839999999999999</c:v>
                </c:pt>
                <c:pt idx="1685">
                  <c:v>1.6850000000000001</c:v>
                </c:pt>
                <c:pt idx="1686">
                  <c:v>1.6859999999999999</c:v>
                </c:pt>
                <c:pt idx="1687">
                  <c:v>1.6870000000000001</c:v>
                </c:pt>
                <c:pt idx="1688">
                  <c:v>1.6879999999999999</c:v>
                </c:pt>
                <c:pt idx="1689">
                  <c:v>1.6890000000000001</c:v>
                </c:pt>
                <c:pt idx="1690">
                  <c:v>1.69</c:v>
                </c:pt>
                <c:pt idx="1691">
                  <c:v>1.6910000000000001</c:v>
                </c:pt>
                <c:pt idx="1692">
                  <c:v>1.6919999999999999</c:v>
                </c:pt>
                <c:pt idx="1693">
                  <c:v>1.6930000000000001</c:v>
                </c:pt>
                <c:pt idx="1694">
                  <c:v>1.694</c:v>
                </c:pt>
                <c:pt idx="1695">
                  <c:v>1.6950000000000001</c:v>
                </c:pt>
                <c:pt idx="1696">
                  <c:v>1.696</c:v>
                </c:pt>
                <c:pt idx="1697">
                  <c:v>1.6970000000000001</c:v>
                </c:pt>
                <c:pt idx="1698">
                  <c:v>1.698</c:v>
                </c:pt>
                <c:pt idx="1699">
                  <c:v>1.6990000000000001</c:v>
                </c:pt>
                <c:pt idx="1700">
                  <c:v>1.7</c:v>
                </c:pt>
                <c:pt idx="1701">
                  <c:v>1.7010000000000001</c:v>
                </c:pt>
                <c:pt idx="1702">
                  <c:v>1.702</c:v>
                </c:pt>
                <c:pt idx="1703">
                  <c:v>1.7030000000000001</c:v>
                </c:pt>
                <c:pt idx="1704">
                  <c:v>1.704</c:v>
                </c:pt>
                <c:pt idx="1705">
                  <c:v>1.7050000000000001</c:v>
                </c:pt>
                <c:pt idx="1706">
                  <c:v>1.706</c:v>
                </c:pt>
                <c:pt idx="1707">
                  <c:v>1.7070000000000001</c:v>
                </c:pt>
                <c:pt idx="1708">
                  <c:v>1.708</c:v>
                </c:pt>
                <c:pt idx="1709">
                  <c:v>1.7090000000000001</c:v>
                </c:pt>
                <c:pt idx="1710">
                  <c:v>1.71</c:v>
                </c:pt>
                <c:pt idx="1711">
                  <c:v>1.7110000000000001</c:v>
                </c:pt>
                <c:pt idx="1712">
                  <c:v>1.712</c:v>
                </c:pt>
                <c:pt idx="1713">
                  <c:v>1.7130000000000001</c:v>
                </c:pt>
                <c:pt idx="1714">
                  <c:v>1.714</c:v>
                </c:pt>
                <c:pt idx="1715">
                  <c:v>1.7150000000000001</c:v>
                </c:pt>
                <c:pt idx="1716">
                  <c:v>1.716</c:v>
                </c:pt>
                <c:pt idx="1717">
                  <c:v>1.7170000000000001</c:v>
                </c:pt>
                <c:pt idx="1718">
                  <c:v>1.718</c:v>
                </c:pt>
                <c:pt idx="1719">
                  <c:v>1.7190000000000001</c:v>
                </c:pt>
                <c:pt idx="1720">
                  <c:v>1.72</c:v>
                </c:pt>
                <c:pt idx="1721">
                  <c:v>1.7210000000000001</c:v>
                </c:pt>
                <c:pt idx="1722">
                  <c:v>1.722</c:v>
                </c:pt>
                <c:pt idx="1723">
                  <c:v>1.7230000000000001</c:v>
                </c:pt>
                <c:pt idx="1724">
                  <c:v>1.724</c:v>
                </c:pt>
                <c:pt idx="1725">
                  <c:v>1.7250000000000001</c:v>
                </c:pt>
                <c:pt idx="1726">
                  <c:v>1.726</c:v>
                </c:pt>
                <c:pt idx="1727">
                  <c:v>1.7270000000000001</c:v>
                </c:pt>
                <c:pt idx="1728">
                  <c:v>1.728</c:v>
                </c:pt>
                <c:pt idx="1729">
                  <c:v>1.7290000000000001</c:v>
                </c:pt>
                <c:pt idx="1730">
                  <c:v>1.73</c:v>
                </c:pt>
                <c:pt idx="1731">
                  <c:v>1.7310000000000001</c:v>
                </c:pt>
                <c:pt idx="1732">
                  <c:v>1.732</c:v>
                </c:pt>
                <c:pt idx="1733">
                  <c:v>1.7330000000000001</c:v>
                </c:pt>
                <c:pt idx="1734">
                  <c:v>1.734</c:v>
                </c:pt>
                <c:pt idx="1735">
                  <c:v>1.7350000000000001</c:v>
                </c:pt>
                <c:pt idx="1736">
                  <c:v>1.736</c:v>
                </c:pt>
                <c:pt idx="1737">
                  <c:v>1.7370000000000001</c:v>
                </c:pt>
                <c:pt idx="1738">
                  <c:v>1.738</c:v>
                </c:pt>
                <c:pt idx="1739">
                  <c:v>1.7390000000000001</c:v>
                </c:pt>
                <c:pt idx="1740">
                  <c:v>1.74</c:v>
                </c:pt>
                <c:pt idx="1741">
                  <c:v>1.7410000000000001</c:v>
                </c:pt>
                <c:pt idx="1742">
                  <c:v>1.742</c:v>
                </c:pt>
                <c:pt idx="1743">
                  <c:v>1.7430000000000001</c:v>
                </c:pt>
                <c:pt idx="1744">
                  <c:v>1.744</c:v>
                </c:pt>
                <c:pt idx="1745">
                  <c:v>1.7450000000000001</c:v>
                </c:pt>
                <c:pt idx="1746">
                  <c:v>1.746</c:v>
                </c:pt>
                <c:pt idx="1747">
                  <c:v>1.7470000000000001</c:v>
                </c:pt>
                <c:pt idx="1748">
                  <c:v>1.748</c:v>
                </c:pt>
                <c:pt idx="1749">
                  <c:v>1.7490000000000001</c:v>
                </c:pt>
                <c:pt idx="1750">
                  <c:v>1.75</c:v>
                </c:pt>
                <c:pt idx="1751">
                  <c:v>1.7509999999999999</c:v>
                </c:pt>
                <c:pt idx="1752">
                  <c:v>1.752</c:v>
                </c:pt>
                <c:pt idx="1753">
                  <c:v>1.7529999999999999</c:v>
                </c:pt>
                <c:pt idx="1754">
                  <c:v>1.754</c:v>
                </c:pt>
                <c:pt idx="1755">
                  <c:v>1.7549999999999999</c:v>
                </c:pt>
                <c:pt idx="1756">
                  <c:v>1.756</c:v>
                </c:pt>
                <c:pt idx="1757">
                  <c:v>1.7569999999999999</c:v>
                </c:pt>
                <c:pt idx="1758">
                  <c:v>1.758</c:v>
                </c:pt>
                <c:pt idx="1759">
                  <c:v>1.7589999999999999</c:v>
                </c:pt>
                <c:pt idx="1760">
                  <c:v>1.76</c:v>
                </c:pt>
                <c:pt idx="1761">
                  <c:v>1.7609999999999999</c:v>
                </c:pt>
                <c:pt idx="1762">
                  <c:v>1.762</c:v>
                </c:pt>
                <c:pt idx="1763">
                  <c:v>1.7629999999999999</c:v>
                </c:pt>
                <c:pt idx="1764">
                  <c:v>1.764</c:v>
                </c:pt>
                <c:pt idx="1765">
                  <c:v>1.7649999999999999</c:v>
                </c:pt>
                <c:pt idx="1766">
                  <c:v>1.766</c:v>
                </c:pt>
                <c:pt idx="1767">
                  <c:v>1.7669999999999999</c:v>
                </c:pt>
                <c:pt idx="1768">
                  <c:v>1.768</c:v>
                </c:pt>
                <c:pt idx="1769">
                  <c:v>1.7689999999999999</c:v>
                </c:pt>
                <c:pt idx="1770">
                  <c:v>1.77</c:v>
                </c:pt>
                <c:pt idx="1771">
                  <c:v>1.7709999999999999</c:v>
                </c:pt>
                <c:pt idx="1772">
                  <c:v>1.772</c:v>
                </c:pt>
                <c:pt idx="1773">
                  <c:v>1.7729999999999999</c:v>
                </c:pt>
                <c:pt idx="1774">
                  <c:v>1.774</c:v>
                </c:pt>
                <c:pt idx="1775">
                  <c:v>1.7749999999999999</c:v>
                </c:pt>
                <c:pt idx="1776">
                  <c:v>1.776</c:v>
                </c:pt>
                <c:pt idx="1777">
                  <c:v>1.7769999999999999</c:v>
                </c:pt>
                <c:pt idx="1778">
                  <c:v>1.778</c:v>
                </c:pt>
                <c:pt idx="1779">
                  <c:v>1.7789999999999999</c:v>
                </c:pt>
                <c:pt idx="1780">
                  <c:v>1.78</c:v>
                </c:pt>
                <c:pt idx="1781">
                  <c:v>1.7809999999999999</c:v>
                </c:pt>
                <c:pt idx="1782">
                  <c:v>1.782</c:v>
                </c:pt>
                <c:pt idx="1783">
                  <c:v>1.7829999999999999</c:v>
                </c:pt>
                <c:pt idx="1784">
                  <c:v>1.784</c:v>
                </c:pt>
                <c:pt idx="1785">
                  <c:v>1.7849999999999999</c:v>
                </c:pt>
                <c:pt idx="1786">
                  <c:v>1.786</c:v>
                </c:pt>
                <c:pt idx="1787">
                  <c:v>1.7869999999999999</c:v>
                </c:pt>
                <c:pt idx="1788">
                  <c:v>1.788</c:v>
                </c:pt>
                <c:pt idx="1789">
                  <c:v>1.7889999999999999</c:v>
                </c:pt>
                <c:pt idx="1790">
                  <c:v>1.79</c:v>
                </c:pt>
                <c:pt idx="1791">
                  <c:v>1.7909999999999999</c:v>
                </c:pt>
                <c:pt idx="1792">
                  <c:v>1.792</c:v>
                </c:pt>
                <c:pt idx="1793">
                  <c:v>1.7929999999999999</c:v>
                </c:pt>
                <c:pt idx="1794">
                  <c:v>1.794</c:v>
                </c:pt>
                <c:pt idx="1795">
                  <c:v>1.7949999999999999</c:v>
                </c:pt>
                <c:pt idx="1796">
                  <c:v>1.796</c:v>
                </c:pt>
                <c:pt idx="1797">
                  <c:v>1.7969999999999999</c:v>
                </c:pt>
                <c:pt idx="1798">
                  <c:v>1.798</c:v>
                </c:pt>
                <c:pt idx="1799">
                  <c:v>1.7989999999999999</c:v>
                </c:pt>
                <c:pt idx="1800">
                  <c:v>1.8</c:v>
                </c:pt>
                <c:pt idx="1801">
                  <c:v>1.8009999999999999</c:v>
                </c:pt>
                <c:pt idx="1802">
                  <c:v>1.802</c:v>
                </c:pt>
                <c:pt idx="1803">
                  <c:v>1.8029999999999999</c:v>
                </c:pt>
                <c:pt idx="1804">
                  <c:v>1.804</c:v>
                </c:pt>
                <c:pt idx="1805">
                  <c:v>1.8049999999999999</c:v>
                </c:pt>
                <c:pt idx="1806">
                  <c:v>1.806</c:v>
                </c:pt>
                <c:pt idx="1807">
                  <c:v>1.8069999999999999</c:v>
                </c:pt>
                <c:pt idx="1808">
                  <c:v>1.8080000000000001</c:v>
                </c:pt>
                <c:pt idx="1809">
                  <c:v>1.8089999999999999</c:v>
                </c:pt>
                <c:pt idx="1810">
                  <c:v>1.81</c:v>
                </c:pt>
                <c:pt idx="1811">
                  <c:v>1.8109999999999999</c:v>
                </c:pt>
                <c:pt idx="1812">
                  <c:v>1.8120000000000001</c:v>
                </c:pt>
                <c:pt idx="1813">
                  <c:v>1.8129999999999999</c:v>
                </c:pt>
                <c:pt idx="1814">
                  <c:v>1.8140000000000001</c:v>
                </c:pt>
                <c:pt idx="1815">
                  <c:v>1.8149999999999999</c:v>
                </c:pt>
                <c:pt idx="1816">
                  <c:v>1.8160000000000001</c:v>
                </c:pt>
                <c:pt idx="1817">
                  <c:v>1.8169999999999999</c:v>
                </c:pt>
                <c:pt idx="1818">
                  <c:v>1.8180000000000001</c:v>
                </c:pt>
                <c:pt idx="1819">
                  <c:v>1.819</c:v>
                </c:pt>
                <c:pt idx="1820">
                  <c:v>1.82</c:v>
                </c:pt>
                <c:pt idx="1821">
                  <c:v>1.821</c:v>
                </c:pt>
                <c:pt idx="1822">
                  <c:v>1.8220000000000001</c:v>
                </c:pt>
                <c:pt idx="1823">
                  <c:v>1.823</c:v>
                </c:pt>
                <c:pt idx="1824">
                  <c:v>1.8240000000000001</c:v>
                </c:pt>
                <c:pt idx="1825">
                  <c:v>1.825</c:v>
                </c:pt>
                <c:pt idx="1826">
                  <c:v>1.8260000000000001</c:v>
                </c:pt>
                <c:pt idx="1827">
                  <c:v>1.827</c:v>
                </c:pt>
                <c:pt idx="1828">
                  <c:v>1.8280000000000001</c:v>
                </c:pt>
                <c:pt idx="1829">
                  <c:v>1.829</c:v>
                </c:pt>
                <c:pt idx="1830">
                  <c:v>1.83</c:v>
                </c:pt>
                <c:pt idx="1831">
                  <c:v>1.831</c:v>
                </c:pt>
                <c:pt idx="1832">
                  <c:v>1.8320000000000001</c:v>
                </c:pt>
                <c:pt idx="1833">
                  <c:v>1.833</c:v>
                </c:pt>
                <c:pt idx="1834">
                  <c:v>1.8340000000000001</c:v>
                </c:pt>
                <c:pt idx="1835">
                  <c:v>1.835</c:v>
                </c:pt>
                <c:pt idx="1836">
                  <c:v>1.8360000000000001</c:v>
                </c:pt>
                <c:pt idx="1837">
                  <c:v>1.837</c:v>
                </c:pt>
                <c:pt idx="1838">
                  <c:v>1.8380000000000001</c:v>
                </c:pt>
                <c:pt idx="1839">
                  <c:v>1.839</c:v>
                </c:pt>
                <c:pt idx="1840">
                  <c:v>1.84</c:v>
                </c:pt>
                <c:pt idx="1841">
                  <c:v>1.841</c:v>
                </c:pt>
                <c:pt idx="1842">
                  <c:v>1.8420000000000001</c:v>
                </c:pt>
                <c:pt idx="1843">
                  <c:v>1.843</c:v>
                </c:pt>
                <c:pt idx="1844">
                  <c:v>1.8440000000000001</c:v>
                </c:pt>
                <c:pt idx="1845">
                  <c:v>1.845</c:v>
                </c:pt>
                <c:pt idx="1846">
                  <c:v>1.8460000000000001</c:v>
                </c:pt>
                <c:pt idx="1847">
                  <c:v>1.847</c:v>
                </c:pt>
                <c:pt idx="1848">
                  <c:v>1.8480000000000001</c:v>
                </c:pt>
                <c:pt idx="1849">
                  <c:v>1.849</c:v>
                </c:pt>
                <c:pt idx="1850">
                  <c:v>1.85</c:v>
                </c:pt>
                <c:pt idx="1851">
                  <c:v>1.851</c:v>
                </c:pt>
                <c:pt idx="1852">
                  <c:v>1.8520000000000001</c:v>
                </c:pt>
                <c:pt idx="1853">
                  <c:v>1.853</c:v>
                </c:pt>
                <c:pt idx="1854">
                  <c:v>1.8540000000000001</c:v>
                </c:pt>
                <c:pt idx="1855">
                  <c:v>1.855</c:v>
                </c:pt>
                <c:pt idx="1856">
                  <c:v>1.8560000000000001</c:v>
                </c:pt>
                <c:pt idx="1857">
                  <c:v>1.857</c:v>
                </c:pt>
                <c:pt idx="1858">
                  <c:v>1.8580000000000001</c:v>
                </c:pt>
                <c:pt idx="1859">
                  <c:v>1.859</c:v>
                </c:pt>
                <c:pt idx="1860">
                  <c:v>1.86</c:v>
                </c:pt>
                <c:pt idx="1861">
                  <c:v>1.861</c:v>
                </c:pt>
                <c:pt idx="1862">
                  <c:v>1.8620000000000001</c:v>
                </c:pt>
                <c:pt idx="1863">
                  <c:v>1.863</c:v>
                </c:pt>
                <c:pt idx="1864">
                  <c:v>1.8640000000000001</c:v>
                </c:pt>
                <c:pt idx="1865">
                  <c:v>1.865</c:v>
                </c:pt>
                <c:pt idx="1866">
                  <c:v>1.8660000000000001</c:v>
                </c:pt>
                <c:pt idx="1867">
                  <c:v>1.867</c:v>
                </c:pt>
                <c:pt idx="1868">
                  <c:v>1.8680000000000001</c:v>
                </c:pt>
                <c:pt idx="1869">
                  <c:v>1.869</c:v>
                </c:pt>
                <c:pt idx="1870">
                  <c:v>1.87</c:v>
                </c:pt>
                <c:pt idx="1871">
                  <c:v>1.871</c:v>
                </c:pt>
                <c:pt idx="1872">
                  <c:v>1.8720000000000001</c:v>
                </c:pt>
                <c:pt idx="1873">
                  <c:v>1.873</c:v>
                </c:pt>
                <c:pt idx="1874">
                  <c:v>1.8740000000000001</c:v>
                </c:pt>
                <c:pt idx="1875">
                  <c:v>1.875</c:v>
                </c:pt>
                <c:pt idx="1876">
                  <c:v>1.8759999999999999</c:v>
                </c:pt>
                <c:pt idx="1877">
                  <c:v>1.877</c:v>
                </c:pt>
                <c:pt idx="1878">
                  <c:v>1.8779999999999999</c:v>
                </c:pt>
                <c:pt idx="1879">
                  <c:v>1.879</c:v>
                </c:pt>
                <c:pt idx="1880">
                  <c:v>1.88</c:v>
                </c:pt>
                <c:pt idx="1881">
                  <c:v>1.881</c:v>
                </c:pt>
                <c:pt idx="1882">
                  <c:v>1.8819999999999999</c:v>
                </c:pt>
                <c:pt idx="1883">
                  <c:v>1.883</c:v>
                </c:pt>
                <c:pt idx="1884">
                  <c:v>1.8839999999999999</c:v>
                </c:pt>
                <c:pt idx="1885">
                  <c:v>1.885</c:v>
                </c:pt>
                <c:pt idx="1886">
                  <c:v>1.8859999999999999</c:v>
                </c:pt>
                <c:pt idx="1887">
                  <c:v>1.887</c:v>
                </c:pt>
                <c:pt idx="1888">
                  <c:v>1.8879999999999999</c:v>
                </c:pt>
                <c:pt idx="1889">
                  <c:v>1.889</c:v>
                </c:pt>
                <c:pt idx="1890">
                  <c:v>1.89</c:v>
                </c:pt>
                <c:pt idx="1891">
                  <c:v>1.891</c:v>
                </c:pt>
                <c:pt idx="1892">
                  <c:v>1.8919999999999999</c:v>
                </c:pt>
                <c:pt idx="1893">
                  <c:v>1.893</c:v>
                </c:pt>
                <c:pt idx="1894">
                  <c:v>1.8939999999999999</c:v>
                </c:pt>
                <c:pt idx="1895">
                  <c:v>1.895</c:v>
                </c:pt>
                <c:pt idx="1896">
                  <c:v>1.8959999999999999</c:v>
                </c:pt>
                <c:pt idx="1897">
                  <c:v>1.897</c:v>
                </c:pt>
                <c:pt idx="1898">
                  <c:v>1.8979999999999999</c:v>
                </c:pt>
                <c:pt idx="1899">
                  <c:v>1.899</c:v>
                </c:pt>
                <c:pt idx="1900">
                  <c:v>1.9</c:v>
                </c:pt>
                <c:pt idx="1901">
                  <c:v>1.901</c:v>
                </c:pt>
                <c:pt idx="1902">
                  <c:v>1.9019999999999999</c:v>
                </c:pt>
                <c:pt idx="1903">
                  <c:v>1.903</c:v>
                </c:pt>
                <c:pt idx="1904">
                  <c:v>1.9039999999999999</c:v>
                </c:pt>
                <c:pt idx="1905">
                  <c:v>1.905</c:v>
                </c:pt>
                <c:pt idx="1906">
                  <c:v>1.9059999999999999</c:v>
                </c:pt>
                <c:pt idx="1907">
                  <c:v>1.907</c:v>
                </c:pt>
                <c:pt idx="1908">
                  <c:v>1.9079999999999999</c:v>
                </c:pt>
                <c:pt idx="1909">
                  <c:v>1.909</c:v>
                </c:pt>
                <c:pt idx="1910">
                  <c:v>1.91</c:v>
                </c:pt>
                <c:pt idx="1911">
                  <c:v>1.911</c:v>
                </c:pt>
                <c:pt idx="1912">
                  <c:v>1.9119999999999999</c:v>
                </c:pt>
                <c:pt idx="1913">
                  <c:v>1.913</c:v>
                </c:pt>
                <c:pt idx="1914">
                  <c:v>1.9139999999999999</c:v>
                </c:pt>
                <c:pt idx="1915">
                  <c:v>1.915</c:v>
                </c:pt>
                <c:pt idx="1916">
                  <c:v>1.9159999999999999</c:v>
                </c:pt>
                <c:pt idx="1917">
                  <c:v>1.917</c:v>
                </c:pt>
                <c:pt idx="1918">
                  <c:v>1.9179999999999999</c:v>
                </c:pt>
                <c:pt idx="1919">
                  <c:v>1.919</c:v>
                </c:pt>
                <c:pt idx="1920">
                  <c:v>1.92</c:v>
                </c:pt>
                <c:pt idx="1921">
                  <c:v>1.921</c:v>
                </c:pt>
                <c:pt idx="1922">
                  <c:v>1.9219999999999999</c:v>
                </c:pt>
                <c:pt idx="1923">
                  <c:v>1.923</c:v>
                </c:pt>
                <c:pt idx="1924">
                  <c:v>1.9239999999999999</c:v>
                </c:pt>
                <c:pt idx="1925">
                  <c:v>1.925</c:v>
                </c:pt>
                <c:pt idx="1926">
                  <c:v>1.9259999999999999</c:v>
                </c:pt>
                <c:pt idx="1927">
                  <c:v>1.927</c:v>
                </c:pt>
                <c:pt idx="1928">
                  <c:v>1.9279999999999999</c:v>
                </c:pt>
                <c:pt idx="1929">
                  <c:v>1.929</c:v>
                </c:pt>
                <c:pt idx="1930">
                  <c:v>1.93</c:v>
                </c:pt>
                <c:pt idx="1931">
                  <c:v>1.931</c:v>
                </c:pt>
                <c:pt idx="1932">
                  <c:v>1.9319999999999999</c:v>
                </c:pt>
                <c:pt idx="1933">
                  <c:v>1.9330000000000001</c:v>
                </c:pt>
                <c:pt idx="1934">
                  <c:v>1.9339999999999999</c:v>
                </c:pt>
                <c:pt idx="1935">
                  <c:v>1.9350000000000001</c:v>
                </c:pt>
                <c:pt idx="1936">
                  <c:v>1.9359999999999999</c:v>
                </c:pt>
                <c:pt idx="1937">
                  <c:v>1.9370000000000001</c:v>
                </c:pt>
                <c:pt idx="1938">
                  <c:v>1.9379999999999999</c:v>
                </c:pt>
                <c:pt idx="1939">
                  <c:v>1.9390000000000001</c:v>
                </c:pt>
                <c:pt idx="1940">
                  <c:v>1.94</c:v>
                </c:pt>
                <c:pt idx="1941">
                  <c:v>1.9410000000000001</c:v>
                </c:pt>
                <c:pt idx="1942">
                  <c:v>1.9419999999999999</c:v>
                </c:pt>
                <c:pt idx="1943">
                  <c:v>1.9430000000000001</c:v>
                </c:pt>
                <c:pt idx="1944">
                  <c:v>1.944</c:v>
                </c:pt>
                <c:pt idx="1945">
                  <c:v>1.9450000000000001</c:v>
                </c:pt>
                <c:pt idx="1946">
                  <c:v>1.946</c:v>
                </c:pt>
                <c:pt idx="1947">
                  <c:v>1.9470000000000001</c:v>
                </c:pt>
                <c:pt idx="1948">
                  <c:v>1.948</c:v>
                </c:pt>
                <c:pt idx="1949">
                  <c:v>1.9490000000000001</c:v>
                </c:pt>
                <c:pt idx="1950">
                  <c:v>1.95</c:v>
                </c:pt>
                <c:pt idx="1951">
                  <c:v>1.9510000000000001</c:v>
                </c:pt>
                <c:pt idx="1952">
                  <c:v>1.952</c:v>
                </c:pt>
                <c:pt idx="1953">
                  <c:v>1.9530000000000001</c:v>
                </c:pt>
                <c:pt idx="1954">
                  <c:v>1.954</c:v>
                </c:pt>
                <c:pt idx="1955">
                  <c:v>1.9550000000000001</c:v>
                </c:pt>
                <c:pt idx="1956">
                  <c:v>1.956</c:v>
                </c:pt>
                <c:pt idx="1957">
                  <c:v>1.9570000000000001</c:v>
                </c:pt>
                <c:pt idx="1958">
                  <c:v>1.958</c:v>
                </c:pt>
                <c:pt idx="1959">
                  <c:v>1.9590000000000001</c:v>
                </c:pt>
                <c:pt idx="1960">
                  <c:v>1.96</c:v>
                </c:pt>
                <c:pt idx="1961">
                  <c:v>1.9610000000000001</c:v>
                </c:pt>
                <c:pt idx="1962">
                  <c:v>1.962</c:v>
                </c:pt>
                <c:pt idx="1963">
                  <c:v>1.9630000000000001</c:v>
                </c:pt>
                <c:pt idx="1964">
                  <c:v>1.964</c:v>
                </c:pt>
                <c:pt idx="1965">
                  <c:v>1.9650000000000001</c:v>
                </c:pt>
                <c:pt idx="1966">
                  <c:v>1.966</c:v>
                </c:pt>
                <c:pt idx="1967">
                  <c:v>1.9670000000000001</c:v>
                </c:pt>
                <c:pt idx="1968">
                  <c:v>1.968</c:v>
                </c:pt>
                <c:pt idx="1969">
                  <c:v>1.9690000000000001</c:v>
                </c:pt>
                <c:pt idx="1970">
                  <c:v>1.97</c:v>
                </c:pt>
                <c:pt idx="1971">
                  <c:v>1.9710000000000001</c:v>
                </c:pt>
                <c:pt idx="1972">
                  <c:v>1.972</c:v>
                </c:pt>
                <c:pt idx="1973">
                  <c:v>1.9730000000000001</c:v>
                </c:pt>
                <c:pt idx="1974">
                  <c:v>1.974</c:v>
                </c:pt>
                <c:pt idx="1975">
                  <c:v>1.9750000000000001</c:v>
                </c:pt>
                <c:pt idx="1976">
                  <c:v>1.976</c:v>
                </c:pt>
                <c:pt idx="1977">
                  <c:v>1.9770000000000001</c:v>
                </c:pt>
                <c:pt idx="1978">
                  <c:v>1.978</c:v>
                </c:pt>
                <c:pt idx="1979">
                  <c:v>1.9790000000000001</c:v>
                </c:pt>
                <c:pt idx="1980">
                  <c:v>1.98</c:v>
                </c:pt>
                <c:pt idx="1981">
                  <c:v>1.9810000000000001</c:v>
                </c:pt>
                <c:pt idx="1982">
                  <c:v>1.982</c:v>
                </c:pt>
                <c:pt idx="1983">
                  <c:v>1.9830000000000001</c:v>
                </c:pt>
                <c:pt idx="1984">
                  <c:v>1.984</c:v>
                </c:pt>
                <c:pt idx="1985">
                  <c:v>1.9850000000000001</c:v>
                </c:pt>
                <c:pt idx="1986">
                  <c:v>1.986</c:v>
                </c:pt>
                <c:pt idx="1987">
                  <c:v>1.9870000000000001</c:v>
                </c:pt>
                <c:pt idx="1988">
                  <c:v>1.988</c:v>
                </c:pt>
                <c:pt idx="1989">
                  <c:v>1.9890000000000001</c:v>
                </c:pt>
                <c:pt idx="1990">
                  <c:v>1.99</c:v>
                </c:pt>
                <c:pt idx="1991">
                  <c:v>1.9910000000000001</c:v>
                </c:pt>
                <c:pt idx="1992">
                  <c:v>1.992</c:v>
                </c:pt>
                <c:pt idx="1993">
                  <c:v>1.9930000000000001</c:v>
                </c:pt>
                <c:pt idx="1994">
                  <c:v>1.994</c:v>
                </c:pt>
                <c:pt idx="1995">
                  <c:v>1.9950000000000001</c:v>
                </c:pt>
                <c:pt idx="1996">
                  <c:v>1.996</c:v>
                </c:pt>
                <c:pt idx="1997">
                  <c:v>1.9970000000000001</c:v>
                </c:pt>
                <c:pt idx="1998">
                  <c:v>1.998</c:v>
                </c:pt>
                <c:pt idx="1999">
                  <c:v>1.9990000000000001</c:v>
                </c:pt>
                <c:pt idx="2000">
                  <c:v>2</c:v>
                </c:pt>
                <c:pt idx="2001">
                  <c:v>2.0009999999999999</c:v>
                </c:pt>
                <c:pt idx="2002">
                  <c:v>2.0019999999999998</c:v>
                </c:pt>
                <c:pt idx="2003">
                  <c:v>2.0030000000000001</c:v>
                </c:pt>
                <c:pt idx="2004">
                  <c:v>2.004</c:v>
                </c:pt>
                <c:pt idx="2005">
                  <c:v>2.0049999999999999</c:v>
                </c:pt>
                <c:pt idx="2006">
                  <c:v>2.0059999999999998</c:v>
                </c:pt>
                <c:pt idx="2007">
                  <c:v>2.0070000000000001</c:v>
                </c:pt>
                <c:pt idx="2008">
                  <c:v>2.008</c:v>
                </c:pt>
                <c:pt idx="2009">
                  <c:v>2.0089999999999999</c:v>
                </c:pt>
                <c:pt idx="2010">
                  <c:v>2.0099999999999998</c:v>
                </c:pt>
                <c:pt idx="2011">
                  <c:v>2.0110000000000001</c:v>
                </c:pt>
                <c:pt idx="2012">
                  <c:v>2.012</c:v>
                </c:pt>
                <c:pt idx="2013">
                  <c:v>2.0129999999999999</c:v>
                </c:pt>
                <c:pt idx="2014">
                  <c:v>2.0139999999999998</c:v>
                </c:pt>
                <c:pt idx="2015">
                  <c:v>2.0150000000000001</c:v>
                </c:pt>
                <c:pt idx="2016">
                  <c:v>2.016</c:v>
                </c:pt>
                <c:pt idx="2017">
                  <c:v>2.0169999999999999</c:v>
                </c:pt>
                <c:pt idx="2018">
                  <c:v>2.0179999999999998</c:v>
                </c:pt>
                <c:pt idx="2019">
                  <c:v>2.0190000000000001</c:v>
                </c:pt>
                <c:pt idx="2020">
                  <c:v>2.02</c:v>
                </c:pt>
                <c:pt idx="2021">
                  <c:v>2.0209999999999999</c:v>
                </c:pt>
                <c:pt idx="2022">
                  <c:v>2.0219999999999998</c:v>
                </c:pt>
                <c:pt idx="2023">
                  <c:v>2.0230000000000001</c:v>
                </c:pt>
                <c:pt idx="2024">
                  <c:v>2.024</c:v>
                </c:pt>
                <c:pt idx="2025">
                  <c:v>2.0249999999999999</c:v>
                </c:pt>
                <c:pt idx="2026">
                  <c:v>2.0259999999999998</c:v>
                </c:pt>
                <c:pt idx="2027">
                  <c:v>2.0270000000000001</c:v>
                </c:pt>
                <c:pt idx="2028">
                  <c:v>2.028</c:v>
                </c:pt>
                <c:pt idx="2029">
                  <c:v>2.0289999999999999</c:v>
                </c:pt>
                <c:pt idx="2030">
                  <c:v>2.0299999999999998</c:v>
                </c:pt>
                <c:pt idx="2031">
                  <c:v>2.0310000000000001</c:v>
                </c:pt>
                <c:pt idx="2032">
                  <c:v>2.032</c:v>
                </c:pt>
                <c:pt idx="2033">
                  <c:v>2.0329999999999999</c:v>
                </c:pt>
                <c:pt idx="2034">
                  <c:v>2.0339999999999998</c:v>
                </c:pt>
                <c:pt idx="2035">
                  <c:v>2.0350000000000001</c:v>
                </c:pt>
                <c:pt idx="2036">
                  <c:v>2.036</c:v>
                </c:pt>
                <c:pt idx="2037">
                  <c:v>2.0369999999999999</c:v>
                </c:pt>
                <c:pt idx="2038">
                  <c:v>2.0379999999999998</c:v>
                </c:pt>
                <c:pt idx="2039">
                  <c:v>2.0390000000000001</c:v>
                </c:pt>
                <c:pt idx="2040">
                  <c:v>2.04</c:v>
                </c:pt>
                <c:pt idx="2041">
                  <c:v>2.0409999999999999</c:v>
                </c:pt>
                <c:pt idx="2042">
                  <c:v>2.0419999999999998</c:v>
                </c:pt>
                <c:pt idx="2043">
                  <c:v>2.0430000000000001</c:v>
                </c:pt>
                <c:pt idx="2044">
                  <c:v>2.044</c:v>
                </c:pt>
                <c:pt idx="2045">
                  <c:v>2.0449999999999999</c:v>
                </c:pt>
                <c:pt idx="2046">
                  <c:v>2.0459999999999998</c:v>
                </c:pt>
                <c:pt idx="2047">
                  <c:v>2.0470000000000002</c:v>
                </c:pt>
                <c:pt idx="2048">
                  <c:v>2.048</c:v>
                </c:pt>
                <c:pt idx="2049">
                  <c:v>2.0489999999999999</c:v>
                </c:pt>
                <c:pt idx="2050">
                  <c:v>2.0499999999999998</c:v>
                </c:pt>
                <c:pt idx="2051">
                  <c:v>2.0510000000000002</c:v>
                </c:pt>
                <c:pt idx="2052">
                  <c:v>2.052</c:v>
                </c:pt>
                <c:pt idx="2053">
                  <c:v>2.0529999999999999</c:v>
                </c:pt>
                <c:pt idx="2054">
                  <c:v>2.0539999999999998</c:v>
                </c:pt>
                <c:pt idx="2055">
                  <c:v>2.0550000000000002</c:v>
                </c:pt>
                <c:pt idx="2056">
                  <c:v>2.056</c:v>
                </c:pt>
                <c:pt idx="2057">
                  <c:v>2.0569999999999999</c:v>
                </c:pt>
                <c:pt idx="2058">
                  <c:v>2.0579999999999998</c:v>
                </c:pt>
                <c:pt idx="2059">
                  <c:v>2.0590000000000002</c:v>
                </c:pt>
                <c:pt idx="2060">
                  <c:v>2.06</c:v>
                </c:pt>
                <c:pt idx="2061">
                  <c:v>2.0609999999999999</c:v>
                </c:pt>
                <c:pt idx="2062">
                  <c:v>2.0619999999999998</c:v>
                </c:pt>
                <c:pt idx="2063">
                  <c:v>2.0630000000000002</c:v>
                </c:pt>
                <c:pt idx="2064">
                  <c:v>2.0640000000000001</c:v>
                </c:pt>
                <c:pt idx="2065">
                  <c:v>2.0649999999999999</c:v>
                </c:pt>
                <c:pt idx="2066">
                  <c:v>2.0659999999999998</c:v>
                </c:pt>
                <c:pt idx="2067">
                  <c:v>2.0670000000000002</c:v>
                </c:pt>
                <c:pt idx="2068">
                  <c:v>2.0680000000000001</c:v>
                </c:pt>
                <c:pt idx="2069">
                  <c:v>2.069</c:v>
                </c:pt>
                <c:pt idx="2070">
                  <c:v>2.0699999999999998</c:v>
                </c:pt>
                <c:pt idx="2071">
                  <c:v>2.0710000000000002</c:v>
                </c:pt>
                <c:pt idx="2072">
                  <c:v>2.0720000000000001</c:v>
                </c:pt>
                <c:pt idx="2073">
                  <c:v>2.073</c:v>
                </c:pt>
                <c:pt idx="2074">
                  <c:v>2.0739999999999998</c:v>
                </c:pt>
                <c:pt idx="2075">
                  <c:v>2.0750000000000002</c:v>
                </c:pt>
                <c:pt idx="2076">
                  <c:v>2.0760000000000001</c:v>
                </c:pt>
                <c:pt idx="2077">
                  <c:v>2.077</c:v>
                </c:pt>
                <c:pt idx="2078">
                  <c:v>2.0779999999999998</c:v>
                </c:pt>
                <c:pt idx="2079">
                  <c:v>2.0790000000000002</c:v>
                </c:pt>
                <c:pt idx="2080">
                  <c:v>2.08</c:v>
                </c:pt>
                <c:pt idx="2081">
                  <c:v>2.081</c:v>
                </c:pt>
                <c:pt idx="2082">
                  <c:v>2.0819999999999999</c:v>
                </c:pt>
                <c:pt idx="2083">
                  <c:v>2.0830000000000002</c:v>
                </c:pt>
                <c:pt idx="2084">
                  <c:v>2.0840000000000001</c:v>
                </c:pt>
                <c:pt idx="2085">
                  <c:v>2.085</c:v>
                </c:pt>
                <c:pt idx="2086">
                  <c:v>2.0859999999999999</c:v>
                </c:pt>
                <c:pt idx="2087">
                  <c:v>2.0870000000000002</c:v>
                </c:pt>
                <c:pt idx="2088">
                  <c:v>2.0880000000000001</c:v>
                </c:pt>
                <c:pt idx="2089">
                  <c:v>2.089</c:v>
                </c:pt>
                <c:pt idx="2090">
                  <c:v>2.09</c:v>
                </c:pt>
                <c:pt idx="2091">
                  <c:v>2.0910000000000002</c:v>
                </c:pt>
                <c:pt idx="2092">
                  <c:v>2.0920000000000001</c:v>
                </c:pt>
                <c:pt idx="2093">
                  <c:v>2.093</c:v>
                </c:pt>
                <c:pt idx="2094">
                  <c:v>2.0939999999999999</c:v>
                </c:pt>
                <c:pt idx="2095">
                  <c:v>2.0950000000000002</c:v>
                </c:pt>
                <c:pt idx="2096">
                  <c:v>2.0960000000000001</c:v>
                </c:pt>
                <c:pt idx="2097">
                  <c:v>2.097</c:v>
                </c:pt>
                <c:pt idx="2098">
                  <c:v>2.0979999999999999</c:v>
                </c:pt>
                <c:pt idx="2099">
                  <c:v>2.0990000000000002</c:v>
                </c:pt>
                <c:pt idx="2100">
                  <c:v>2.1</c:v>
                </c:pt>
                <c:pt idx="2101">
                  <c:v>2.101</c:v>
                </c:pt>
                <c:pt idx="2102">
                  <c:v>2.1019999999999999</c:v>
                </c:pt>
                <c:pt idx="2103">
                  <c:v>2.1030000000000002</c:v>
                </c:pt>
                <c:pt idx="2104">
                  <c:v>2.1040000000000001</c:v>
                </c:pt>
                <c:pt idx="2105">
                  <c:v>2.105</c:v>
                </c:pt>
                <c:pt idx="2106">
                  <c:v>2.1059999999999999</c:v>
                </c:pt>
                <c:pt idx="2107">
                  <c:v>2.1070000000000002</c:v>
                </c:pt>
                <c:pt idx="2108">
                  <c:v>2.1080000000000001</c:v>
                </c:pt>
                <c:pt idx="2109">
                  <c:v>2.109</c:v>
                </c:pt>
                <c:pt idx="2110">
                  <c:v>2.11</c:v>
                </c:pt>
                <c:pt idx="2111">
                  <c:v>2.1110000000000002</c:v>
                </c:pt>
                <c:pt idx="2112">
                  <c:v>2.1120000000000001</c:v>
                </c:pt>
                <c:pt idx="2113">
                  <c:v>2.113</c:v>
                </c:pt>
                <c:pt idx="2114">
                  <c:v>2.1139999999999999</c:v>
                </c:pt>
                <c:pt idx="2115">
                  <c:v>2.1150000000000002</c:v>
                </c:pt>
                <c:pt idx="2116">
                  <c:v>2.1160000000000001</c:v>
                </c:pt>
                <c:pt idx="2117">
                  <c:v>2.117</c:v>
                </c:pt>
                <c:pt idx="2118">
                  <c:v>2.1179999999999999</c:v>
                </c:pt>
                <c:pt idx="2119">
                  <c:v>2.1190000000000002</c:v>
                </c:pt>
                <c:pt idx="2120">
                  <c:v>2.12</c:v>
                </c:pt>
                <c:pt idx="2121">
                  <c:v>2.121</c:v>
                </c:pt>
                <c:pt idx="2122">
                  <c:v>2.1219999999999999</c:v>
                </c:pt>
                <c:pt idx="2123">
                  <c:v>2.1230000000000002</c:v>
                </c:pt>
                <c:pt idx="2124">
                  <c:v>2.1240000000000001</c:v>
                </c:pt>
                <c:pt idx="2125">
                  <c:v>2.125</c:v>
                </c:pt>
                <c:pt idx="2126">
                  <c:v>2.1259999999999999</c:v>
                </c:pt>
                <c:pt idx="2127">
                  <c:v>2.1269999999999998</c:v>
                </c:pt>
                <c:pt idx="2128">
                  <c:v>2.1280000000000001</c:v>
                </c:pt>
                <c:pt idx="2129">
                  <c:v>2.129</c:v>
                </c:pt>
                <c:pt idx="2130">
                  <c:v>2.13</c:v>
                </c:pt>
                <c:pt idx="2131">
                  <c:v>2.1309999999999998</c:v>
                </c:pt>
                <c:pt idx="2132">
                  <c:v>2.1320000000000001</c:v>
                </c:pt>
                <c:pt idx="2133">
                  <c:v>2.133</c:v>
                </c:pt>
                <c:pt idx="2134">
                  <c:v>2.1339999999999999</c:v>
                </c:pt>
                <c:pt idx="2135">
                  <c:v>2.1349999999999998</c:v>
                </c:pt>
                <c:pt idx="2136">
                  <c:v>2.1360000000000001</c:v>
                </c:pt>
                <c:pt idx="2137">
                  <c:v>2.137</c:v>
                </c:pt>
                <c:pt idx="2138">
                  <c:v>2.1379999999999999</c:v>
                </c:pt>
                <c:pt idx="2139">
                  <c:v>2.1389999999999998</c:v>
                </c:pt>
                <c:pt idx="2140">
                  <c:v>2.14</c:v>
                </c:pt>
                <c:pt idx="2141">
                  <c:v>2.141</c:v>
                </c:pt>
                <c:pt idx="2142">
                  <c:v>2.1419999999999999</c:v>
                </c:pt>
                <c:pt idx="2143">
                  <c:v>2.1429999999999998</c:v>
                </c:pt>
                <c:pt idx="2144">
                  <c:v>2.1440000000000001</c:v>
                </c:pt>
                <c:pt idx="2145">
                  <c:v>2.145</c:v>
                </c:pt>
                <c:pt idx="2146">
                  <c:v>2.1459999999999999</c:v>
                </c:pt>
                <c:pt idx="2147">
                  <c:v>2.1469999999999998</c:v>
                </c:pt>
                <c:pt idx="2148">
                  <c:v>2.1480000000000001</c:v>
                </c:pt>
                <c:pt idx="2149">
                  <c:v>2.149</c:v>
                </c:pt>
                <c:pt idx="2150">
                  <c:v>2.15</c:v>
                </c:pt>
                <c:pt idx="2151">
                  <c:v>2.1509999999999998</c:v>
                </c:pt>
                <c:pt idx="2152">
                  <c:v>2.1520000000000001</c:v>
                </c:pt>
                <c:pt idx="2153">
                  <c:v>2.153</c:v>
                </c:pt>
                <c:pt idx="2154">
                  <c:v>2.1539999999999999</c:v>
                </c:pt>
                <c:pt idx="2155">
                  <c:v>2.1549999999999998</c:v>
                </c:pt>
                <c:pt idx="2156">
                  <c:v>2.1560000000000001</c:v>
                </c:pt>
                <c:pt idx="2157">
                  <c:v>2.157</c:v>
                </c:pt>
                <c:pt idx="2158">
                  <c:v>2.1579999999999999</c:v>
                </c:pt>
                <c:pt idx="2159">
                  <c:v>2.1589999999999998</c:v>
                </c:pt>
                <c:pt idx="2160">
                  <c:v>2.16</c:v>
                </c:pt>
                <c:pt idx="2161">
                  <c:v>2.161</c:v>
                </c:pt>
                <c:pt idx="2162">
                  <c:v>2.1619999999999999</c:v>
                </c:pt>
                <c:pt idx="2163">
                  <c:v>2.1629999999999998</c:v>
                </c:pt>
                <c:pt idx="2164">
                  <c:v>2.1640000000000001</c:v>
                </c:pt>
                <c:pt idx="2165">
                  <c:v>2.165</c:v>
                </c:pt>
                <c:pt idx="2166">
                  <c:v>2.1659999999999999</c:v>
                </c:pt>
                <c:pt idx="2167">
                  <c:v>2.1669999999999998</c:v>
                </c:pt>
                <c:pt idx="2168">
                  <c:v>2.1680000000000001</c:v>
                </c:pt>
                <c:pt idx="2169">
                  <c:v>2.169</c:v>
                </c:pt>
                <c:pt idx="2170">
                  <c:v>2.17</c:v>
                </c:pt>
                <c:pt idx="2171">
                  <c:v>2.1709999999999998</c:v>
                </c:pt>
                <c:pt idx="2172">
                  <c:v>2.1720000000000002</c:v>
                </c:pt>
                <c:pt idx="2173">
                  <c:v>2.173</c:v>
                </c:pt>
                <c:pt idx="2174">
                  <c:v>2.1739999999999999</c:v>
                </c:pt>
                <c:pt idx="2175">
                  <c:v>2.1749999999999998</c:v>
                </c:pt>
                <c:pt idx="2176">
                  <c:v>2.1760000000000002</c:v>
                </c:pt>
                <c:pt idx="2177">
                  <c:v>2.177</c:v>
                </c:pt>
                <c:pt idx="2178">
                  <c:v>2.1779999999999999</c:v>
                </c:pt>
                <c:pt idx="2179">
                  <c:v>2.1789999999999998</c:v>
                </c:pt>
                <c:pt idx="2180">
                  <c:v>2.1800000000000002</c:v>
                </c:pt>
                <c:pt idx="2181">
                  <c:v>2.181</c:v>
                </c:pt>
                <c:pt idx="2182">
                  <c:v>2.1819999999999999</c:v>
                </c:pt>
                <c:pt idx="2183">
                  <c:v>2.1829999999999998</c:v>
                </c:pt>
                <c:pt idx="2184">
                  <c:v>2.1840000000000002</c:v>
                </c:pt>
                <c:pt idx="2185">
                  <c:v>2.1850000000000001</c:v>
                </c:pt>
                <c:pt idx="2186">
                  <c:v>2.1859999999999999</c:v>
                </c:pt>
                <c:pt idx="2187">
                  <c:v>2.1869999999999998</c:v>
                </c:pt>
                <c:pt idx="2188">
                  <c:v>2.1880000000000002</c:v>
                </c:pt>
                <c:pt idx="2189">
                  <c:v>2.1890000000000001</c:v>
                </c:pt>
                <c:pt idx="2190">
                  <c:v>2.19</c:v>
                </c:pt>
                <c:pt idx="2191">
                  <c:v>2.1909999999999998</c:v>
                </c:pt>
                <c:pt idx="2192">
                  <c:v>2.1920000000000002</c:v>
                </c:pt>
                <c:pt idx="2193">
                  <c:v>2.1930000000000001</c:v>
                </c:pt>
                <c:pt idx="2194">
                  <c:v>2.194</c:v>
                </c:pt>
                <c:pt idx="2195">
                  <c:v>2.1949999999999998</c:v>
                </c:pt>
                <c:pt idx="2196">
                  <c:v>2.1960000000000002</c:v>
                </c:pt>
                <c:pt idx="2197">
                  <c:v>2.1970000000000001</c:v>
                </c:pt>
                <c:pt idx="2198">
                  <c:v>2.198</c:v>
                </c:pt>
                <c:pt idx="2199">
                  <c:v>2.1989999999999998</c:v>
                </c:pt>
                <c:pt idx="2200">
                  <c:v>2.2000000000000002</c:v>
                </c:pt>
                <c:pt idx="2201">
                  <c:v>2.2010000000000001</c:v>
                </c:pt>
                <c:pt idx="2202">
                  <c:v>2.202</c:v>
                </c:pt>
                <c:pt idx="2203">
                  <c:v>2.2029999999999998</c:v>
                </c:pt>
                <c:pt idx="2204">
                  <c:v>2.2040000000000002</c:v>
                </c:pt>
                <c:pt idx="2205">
                  <c:v>2.2050000000000001</c:v>
                </c:pt>
                <c:pt idx="2206">
                  <c:v>2.206</c:v>
                </c:pt>
                <c:pt idx="2207">
                  <c:v>2.2069999999999999</c:v>
                </c:pt>
                <c:pt idx="2208">
                  <c:v>2.2080000000000002</c:v>
                </c:pt>
                <c:pt idx="2209">
                  <c:v>2.2090000000000001</c:v>
                </c:pt>
                <c:pt idx="2210">
                  <c:v>2.21</c:v>
                </c:pt>
                <c:pt idx="2211">
                  <c:v>2.2109999999999999</c:v>
                </c:pt>
                <c:pt idx="2212">
                  <c:v>2.2120000000000002</c:v>
                </c:pt>
                <c:pt idx="2213">
                  <c:v>2.2130000000000001</c:v>
                </c:pt>
                <c:pt idx="2214">
                  <c:v>2.214</c:v>
                </c:pt>
                <c:pt idx="2215">
                  <c:v>2.2149999999999999</c:v>
                </c:pt>
                <c:pt idx="2216">
                  <c:v>2.2160000000000002</c:v>
                </c:pt>
                <c:pt idx="2217">
                  <c:v>2.2170000000000001</c:v>
                </c:pt>
                <c:pt idx="2218">
                  <c:v>2.218</c:v>
                </c:pt>
                <c:pt idx="2219">
                  <c:v>2.2189999999999999</c:v>
                </c:pt>
                <c:pt idx="2220">
                  <c:v>2.2200000000000002</c:v>
                </c:pt>
                <c:pt idx="2221">
                  <c:v>2.2210000000000001</c:v>
                </c:pt>
                <c:pt idx="2222">
                  <c:v>2.222</c:v>
                </c:pt>
                <c:pt idx="2223">
                  <c:v>2.2229999999999999</c:v>
                </c:pt>
                <c:pt idx="2224">
                  <c:v>2.2240000000000002</c:v>
                </c:pt>
                <c:pt idx="2225">
                  <c:v>2.2250000000000001</c:v>
                </c:pt>
                <c:pt idx="2226">
                  <c:v>2.226</c:v>
                </c:pt>
                <c:pt idx="2227">
                  <c:v>2.2269999999999999</c:v>
                </c:pt>
                <c:pt idx="2228">
                  <c:v>2.2280000000000002</c:v>
                </c:pt>
                <c:pt idx="2229">
                  <c:v>2.2290000000000001</c:v>
                </c:pt>
                <c:pt idx="2230">
                  <c:v>2.23</c:v>
                </c:pt>
                <c:pt idx="2231">
                  <c:v>2.2309999999999999</c:v>
                </c:pt>
                <c:pt idx="2232">
                  <c:v>2.2320000000000002</c:v>
                </c:pt>
                <c:pt idx="2233">
                  <c:v>2.2330000000000001</c:v>
                </c:pt>
                <c:pt idx="2234">
                  <c:v>2.234</c:v>
                </c:pt>
                <c:pt idx="2235">
                  <c:v>2.2349999999999999</c:v>
                </c:pt>
                <c:pt idx="2236">
                  <c:v>2.2360000000000002</c:v>
                </c:pt>
                <c:pt idx="2237">
                  <c:v>2.2370000000000001</c:v>
                </c:pt>
                <c:pt idx="2238">
                  <c:v>2.238</c:v>
                </c:pt>
                <c:pt idx="2239">
                  <c:v>2.2389999999999999</c:v>
                </c:pt>
                <c:pt idx="2240">
                  <c:v>2.2400000000000002</c:v>
                </c:pt>
                <c:pt idx="2241">
                  <c:v>2.2410000000000001</c:v>
                </c:pt>
                <c:pt idx="2242">
                  <c:v>2.242</c:v>
                </c:pt>
                <c:pt idx="2243">
                  <c:v>2.2429999999999999</c:v>
                </c:pt>
                <c:pt idx="2244">
                  <c:v>2.2440000000000002</c:v>
                </c:pt>
                <c:pt idx="2245">
                  <c:v>2.2450000000000001</c:v>
                </c:pt>
                <c:pt idx="2246">
                  <c:v>2.246</c:v>
                </c:pt>
                <c:pt idx="2247">
                  <c:v>2.2469999999999999</c:v>
                </c:pt>
                <c:pt idx="2248">
                  <c:v>2.2480000000000002</c:v>
                </c:pt>
                <c:pt idx="2249">
                  <c:v>2.2490000000000001</c:v>
                </c:pt>
                <c:pt idx="2250">
                  <c:v>2.25</c:v>
                </c:pt>
                <c:pt idx="2251">
                  <c:v>2.2509999999999999</c:v>
                </c:pt>
                <c:pt idx="2252">
                  <c:v>2.2519999999999998</c:v>
                </c:pt>
                <c:pt idx="2253">
                  <c:v>2.2530000000000001</c:v>
                </c:pt>
                <c:pt idx="2254">
                  <c:v>2.254</c:v>
                </c:pt>
                <c:pt idx="2255">
                  <c:v>2.2549999999999999</c:v>
                </c:pt>
                <c:pt idx="2256">
                  <c:v>2.2559999999999998</c:v>
                </c:pt>
                <c:pt idx="2257">
                  <c:v>2.2570000000000001</c:v>
                </c:pt>
                <c:pt idx="2258">
                  <c:v>2.258</c:v>
                </c:pt>
                <c:pt idx="2259">
                  <c:v>2.2589999999999999</c:v>
                </c:pt>
                <c:pt idx="2260">
                  <c:v>2.2599999999999998</c:v>
                </c:pt>
                <c:pt idx="2261">
                  <c:v>2.2610000000000001</c:v>
                </c:pt>
                <c:pt idx="2262">
                  <c:v>2.262</c:v>
                </c:pt>
                <c:pt idx="2263">
                  <c:v>2.2629999999999999</c:v>
                </c:pt>
                <c:pt idx="2264">
                  <c:v>2.2639999999999998</c:v>
                </c:pt>
                <c:pt idx="2265">
                  <c:v>2.2650000000000001</c:v>
                </c:pt>
                <c:pt idx="2266">
                  <c:v>2.266</c:v>
                </c:pt>
                <c:pt idx="2267">
                  <c:v>2.2669999999999999</c:v>
                </c:pt>
                <c:pt idx="2268">
                  <c:v>2.2679999999999998</c:v>
                </c:pt>
                <c:pt idx="2269">
                  <c:v>2.2690000000000001</c:v>
                </c:pt>
                <c:pt idx="2270">
                  <c:v>2.27</c:v>
                </c:pt>
                <c:pt idx="2271">
                  <c:v>2.2709999999999999</c:v>
                </c:pt>
                <c:pt idx="2272">
                  <c:v>2.2719999999999998</c:v>
                </c:pt>
                <c:pt idx="2273">
                  <c:v>2.2730000000000001</c:v>
                </c:pt>
                <c:pt idx="2274">
                  <c:v>2.274</c:v>
                </c:pt>
                <c:pt idx="2275">
                  <c:v>2.2749999999999999</c:v>
                </c:pt>
                <c:pt idx="2276">
                  <c:v>2.2759999999999998</c:v>
                </c:pt>
                <c:pt idx="2277">
                  <c:v>2.2770000000000001</c:v>
                </c:pt>
                <c:pt idx="2278">
                  <c:v>2.278</c:v>
                </c:pt>
                <c:pt idx="2279">
                  <c:v>2.2789999999999999</c:v>
                </c:pt>
                <c:pt idx="2280">
                  <c:v>2.2799999999999998</c:v>
                </c:pt>
                <c:pt idx="2281">
                  <c:v>2.2810000000000001</c:v>
                </c:pt>
                <c:pt idx="2282">
                  <c:v>2.282</c:v>
                </c:pt>
                <c:pt idx="2283">
                  <c:v>2.2829999999999999</c:v>
                </c:pt>
                <c:pt idx="2284">
                  <c:v>2.2839999999999998</c:v>
                </c:pt>
                <c:pt idx="2285">
                  <c:v>2.2850000000000001</c:v>
                </c:pt>
                <c:pt idx="2286">
                  <c:v>2.286</c:v>
                </c:pt>
                <c:pt idx="2287">
                  <c:v>2.2869999999999999</c:v>
                </c:pt>
                <c:pt idx="2288">
                  <c:v>2.2879999999999998</c:v>
                </c:pt>
                <c:pt idx="2289">
                  <c:v>2.2890000000000001</c:v>
                </c:pt>
                <c:pt idx="2290">
                  <c:v>2.29</c:v>
                </c:pt>
                <c:pt idx="2291">
                  <c:v>2.2909999999999999</c:v>
                </c:pt>
                <c:pt idx="2292">
                  <c:v>2.2919999999999998</c:v>
                </c:pt>
                <c:pt idx="2293">
                  <c:v>2.2930000000000001</c:v>
                </c:pt>
                <c:pt idx="2294">
                  <c:v>2.294</c:v>
                </c:pt>
                <c:pt idx="2295">
                  <c:v>2.2949999999999999</c:v>
                </c:pt>
                <c:pt idx="2296">
                  <c:v>2.2959999999999998</c:v>
                </c:pt>
                <c:pt idx="2297">
                  <c:v>2.2970000000000002</c:v>
                </c:pt>
                <c:pt idx="2298">
                  <c:v>2.298</c:v>
                </c:pt>
                <c:pt idx="2299">
                  <c:v>2.2989999999999999</c:v>
                </c:pt>
                <c:pt idx="2300">
                  <c:v>2.2999999999999998</c:v>
                </c:pt>
                <c:pt idx="2301">
                  <c:v>2.3010000000000002</c:v>
                </c:pt>
                <c:pt idx="2302">
                  <c:v>2.302</c:v>
                </c:pt>
                <c:pt idx="2303">
                  <c:v>2.3029999999999999</c:v>
                </c:pt>
                <c:pt idx="2304">
                  <c:v>2.3039999999999998</c:v>
                </c:pt>
                <c:pt idx="2305">
                  <c:v>2.3050000000000002</c:v>
                </c:pt>
                <c:pt idx="2306">
                  <c:v>2.306</c:v>
                </c:pt>
                <c:pt idx="2307">
                  <c:v>2.3069999999999999</c:v>
                </c:pt>
                <c:pt idx="2308">
                  <c:v>2.3079999999999998</c:v>
                </c:pt>
                <c:pt idx="2309">
                  <c:v>2.3090000000000002</c:v>
                </c:pt>
                <c:pt idx="2310">
                  <c:v>2.31</c:v>
                </c:pt>
                <c:pt idx="2311">
                  <c:v>2.3109999999999999</c:v>
                </c:pt>
                <c:pt idx="2312">
                  <c:v>2.3119999999999998</c:v>
                </c:pt>
                <c:pt idx="2313">
                  <c:v>2.3130000000000002</c:v>
                </c:pt>
                <c:pt idx="2314">
                  <c:v>2.3140000000000001</c:v>
                </c:pt>
                <c:pt idx="2315">
                  <c:v>2.3149999999999999</c:v>
                </c:pt>
                <c:pt idx="2316">
                  <c:v>2.3159999999999998</c:v>
                </c:pt>
                <c:pt idx="2317">
                  <c:v>2.3170000000000002</c:v>
                </c:pt>
                <c:pt idx="2318">
                  <c:v>2.3180000000000001</c:v>
                </c:pt>
                <c:pt idx="2319">
                  <c:v>2.319</c:v>
                </c:pt>
                <c:pt idx="2320">
                  <c:v>2.3199999999999998</c:v>
                </c:pt>
                <c:pt idx="2321">
                  <c:v>2.3210000000000002</c:v>
                </c:pt>
                <c:pt idx="2322">
                  <c:v>2.3220000000000001</c:v>
                </c:pt>
                <c:pt idx="2323">
                  <c:v>2.323</c:v>
                </c:pt>
                <c:pt idx="2324">
                  <c:v>2.3239999999999998</c:v>
                </c:pt>
                <c:pt idx="2325">
                  <c:v>2.3250000000000002</c:v>
                </c:pt>
                <c:pt idx="2326">
                  <c:v>2.3260000000000001</c:v>
                </c:pt>
                <c:pt idx="2327">
                  <c:v>2.327</c:v>
                </c:pt>
                <c:pt idx="2328">
                  <c:v>2.3279999999999998</c:v>
                </c:pt>
                <c:pt idx="2329">
                  <c:v>2.3290000000000002</c:v>
                </c:pt>
                <c:pt idx="2330">
                  <c:v>2.33</c:v>
                </c:pt>
                <c:pt idx="2331">
                  <c:v>2.331</c:v>
                </c:pt>
                <c:pt idx="2332">
                  <c:v>2.3319999999999999</c:v>
                </c:pt>
                <c:pt idx="2333">
                  <c:v>2.3330000000000002</c:v>
                </c:pt>
                <c:pt idx="2334">
                  <c:v>2.3340000000000001</c:v>
                </c:pt>
                <c:pt idx="2335">
                  <c:v>2.335</c:v>
                </c:pt>
                <c:pt idx="2336">
                  <c:v>2.3359999999999999</c:v>
                </c:pt>
                <c:pt idx="2337">
                  <c:v>2.3370000000000002</c:v>
                </c:pt>
                <c:pt idx="2338">
                  <c:v>2.3380000000000001</c:v>
                </c:pt>
                <c:pt idx="2339">
                  <c:v>2.339</c:v>
                </c:pt>
                <c:pt idx="2340">
                  <c:v>2.34</c:v>
                </c:pt>
                <c:pt idx="2341">
                  <c:v>2.3410000000000002</c:v>
                </c:pt>
                <c:pt idx="2342">
                  <c:v>2.3420000000000001</c:v>
                </c:pt>
                <c:pt idx="2343">
                  <c:v>2.343</c:v>
                </c:pt>
                <c:pt idx="2344">
                  <c:v>2.3439999999999999</c:v>
                </c:pt>
                <c:pt idx="2345">
                  <c:v>2.3450000000000002</c:v>
                </c:pt>
                <c:pt idx="2346">
                  <c:v>2.3460000000000001</c:v>
                </c:pt>
                <c:pt idx="2347">
                  <c:v>2.347</c:v>
                </c:pt>
                <c:pt idx="2348">
                  <c:v>2.3479999999999999</c:v>
                </c:pt>
                <c:pt idx="2349">
                  <c:v>2.3490000000000002</c:v>
                </c:pt>
                <c:pt idx="2350">
                  <c:v>2.35</c:v>
                </c:pt>
                <c:pt idx="2351">
                  <c:v>2.351</c:v>
                </c:pt>
                <c:pt idx="2352">
                  <c:v>2.3519999999999999</c:v>
                </c:pt>
                <c:pt idx="2353">
                  <c:v>2.3530000000000002</c:v>
                </c:pt>
                <c:pt idx="2354">
                  <c:v>2.3540000000000001</c:v>
                </c:pt>
                <c:pt idx="2355">
                  <c:v>2.355</c:v>
                </c:pt>
                <c:pt idx="2356">
                  <c:v>2.3559999999999999</c:v>
                </c:pt>
                <c:pt idx="2357">
                  <c:v>2.3570000000000002</c:v>
                </c:pt>
                <c:pt idx="2358">
                  <c:v>2.3580000000000001</c:v>
                </c:pt>
                <c:pt idx="2359">
                  <c:v>2.359</c:v>
                </c:pt>
                <c:pt idx="2360">
                  <c:v>2.36</c:v>
                </c:pt>
                <c:pt idx="2361">
                  <c:v>2.3610000000000002</c:v>
                </c:pt>
                <c:pt idx="2362">
                  <c:v>2.3620000000000001</c:v>
                </c:pt>
                <c:pt idx="2363">
                  <c:v>2.363</c:v>
                </c:pt>
                <c:pt idx="2364">
                  <c:v>2.3639999999999999</c:v>
                </c:pt>
                <c:pt idx="2365">
                  <c:v>2.3650000000000002</c:v>
                </c:pt>
                <c:pt idx="2366">
                  <c:v>2.3660000000000001</c:v>
                </c:pt>
                <c:pt idx="2367">
                  <c:v>2.367</c:v>
                </c:pt>
                <c:pt idx="2368">
                  <c:v>2.3679999999999999</c:v>
                </c:pt>
                <c:pt idx="2369">
                  <c:v>2.3690000000000002</c:v>
                </c:pt>
                <c:pt idx="2370">
                  <c:v>2.37</c:v>
                </c:pt>
                <c:pt idx="2371">
                  <c:v>2.371</c:v>
                </c:pt>
                <c:pt idx="2372">
                  <c:v>2.3719999999999999</c:v>
                </c:pt>
                <c:pt idx="2373">
                  <c:v>2.3730000000000002</c:v>
                </c:pt>
                <c:pt idx="2374">
                  <c:v>2.3740000000000001</c:v>
                </c:pt>
                <c:pt idx="2375">
                  <c:v>2.375</c:v>
                </c:pt>
                <c:pt idx="2376">
                  <c:v>2.3759999999999999</c:v>
                </c:pt>
                <c:pt idx="2377">
                  <c:v>2.3769999999999998</c:v>
                </c:pt>
                <c:pt idx="2378">
                  <c:v>2.3780000000000001</c:v>
                </c:pt>
                <c:pt idx="2379">
                  <c:v>2.379</c:v>
                </c:pt>
                <c:pt idx="2380">
                  <c:v>2.38</c:v>
                </c:pt>
                <c:pt idx="2381">
                  <c:v>2.3809999999999998</c:v>
                </c:pt>
                <c:pt idx="2382">
                  <c:v>2.3820000000000001</c:v>
                </c:pt>
                <c:pt idx="2383">
                  <c:v>2.383</c:v>
                </c:pt>
                <c:pt idx="2384">
                  <c:v>2.3839999999999999</c:v>
                </c:pt>
                <c:pt idx="2385">
                  <c:v>2.3849999999999998</c:v>
                </c:pt>
                <c:pt idx="2386">
                  <c:v>2.3860000000000001</c:v>
                </c:pt>
                <c:pt idx="2387">
                  <c:v>2.387</c:v>
                </c:pt>
                <c:pt idx="2388">
                  <c:v>2.3879999999999999</c:v>
                </c:pt>
                <c:pt idx="2389">
                  <c:v>2.3889999999999998</c:v>
                </c:pt>
                <c:pt idx="2390">
                  <c:v>2.39</c:v>
                </c:pt>
                <c:pt idx="2391">
                  <c:v>2.391</c:v>
                </c:pt>
                <c:pt idx="2392">
                  <c:v>2.3919999999999999</c:v>
                </c:pt>
                <c:pt idx="2393">
                  <c:v>2.3929999999999998</c:v>
                </c:pt>
                <c:pt idx="2394">
                  <c:v>2.3940000000000001</c:v>
                </c:pt>
                <c:pt idx="2395">
                  <c:v>2.395</c:v>
                </c:pt>
                <c:pt idx="2396">
                  <c:v>2.3959999999999999</c:v>
                </c:pt>
                <c:pt idx="2397">
                  <c:v>2.3969999999999998</c:v>
                </c:pt>
                <c:pt idx="2398">
                  <c:v>2.3980000000000001</c:v>
                </c:pt>
                <c:pt idx="2399">
                  <c:v>2.399</c:v>
                </c:pt>
                <c:pt idx="2400">
                  <c:v>2.4</c:v>
                </c:pt>
                <c:pt idx="2401">
                  <c:v>2.4009999999999998</c:v>
                </c:pt>
                <c:pt idx="2402">
                  <c:v>2.4020000000000001</c:v>
                </c:pt>
                <c:pt idx="2403">
                  <c:v>2.403</c:v>
                </c:pt>
                <c:pt idx="2404">
                  <c:v>2.4039999999999999</c:v>
                </c:pt>
                <c:pt idx="2405">
                  <c:v>2.4049999999999998</c:v>
                </c:pt>
                <c:pt idx="2406">
                  <c:v>2.4060000000000001</c:v>
                </c:pt>
                <c:pt idx="2407">
                  <c:v>2.407</c:v>
                </c:pt>
                <c:pt idx="2408">
                  <c:v>2.4079999999999999</c:v>
                </c:pt>
                <c:pt idx="2409">
                  <c:v>2.4089999999999998</c:v>
                </c:pt>
                <c:pt idx="2410">
                  <c:v>2.41</c:v>
                </c:pt>
                <c:pt idx="2411">
                  <c:v>2.411</c:v>
                </c:pt>
                <c:pt idx="2412">
                  <c:v>2.4119999999999999</c:v>
                </c:pt>
                <c:pt idx="2413">
                  <c:v>2.4129999999999998</c:v>
                </c:pt>
                <c:pt idx="2414">
                  <c:v>2.4140000000000001</c:v>
                </c:pt>
                <c:pt idx="2415">
                  <c:v>2.415</c:v>
                </c:pt>
                <c:pt idx="2416">
                  <c:v>2.4159999999999999</c:v>
                </c:pt>
                <c:pt idx="2417">
                  <c:v>2.4169999999999998</c:v>
                </c:pt>
                <c:pt idx="2418">
                  <c:v>2.4180000000000001</c:v>
                </c:pt>
                <c:pt idx="2419">
                  <c:v>2.419</c:v>
                </c:pt>
                <c:pt idx="2420">
                  <c:v>2.42</c:v>
                </c:pt>
                <c:pt idx="2421">
                  <c:v>2.4209999999999998</c:v>
                </c:pt>
                <c:pt idx="2422">
                  <c:v>2.4220000000000002</c:v>
                </c:pt>
                <c:pt idx="2423">
                  <c:v>2.423</c:v>
                </c:pt>
                <c:pt idx="2424">
                  <c:v>2.4239999999999999</c:v>
                </c:pt>
                <c:pt idx="2425">
                  <c:v>2.4249999999999998</c:v>
                </c:pt>
                <c:pt idx="2426">
                  <c:v>2.4260000000000002</c:v>
                </c:pt>
                <c:pt idx="2427">
                  <c:v>2.427</c:v>
                </c:pt>
                <c:pt idx="2428">
                  <c:v>2.4279999999999999</c:v>
                </c:pt>
                <c:pt idx="2429">
                  <c:v>2.4289999999999998</c:v>
                </c:pt>
                <c:pt idx="2430">
                  <c:v>2.4300000000000002</c:v>
                </c:pt>
                <c:pt idx="2431">
                  <c:v>2.431</c:v>
                </c:pt>
                <c:pt idx="2432">
                  <c:v>2.4319999999999999</c:v>
                </c:pt>
                <c:pt idx="2433">
                  <c:v>2.4329999999999998</c:v>
                </c:pt>
                <c:pt idx="2434">
                  <c:v>2.4340000000000002</c:v>
                </c:pt>
                <c:pt idx="2435">
                  <c:v>2.4350000000000001</c:v>
                </c:pt>
                <c:pt idx="2436">
                  <c:v>2.4359999999999999</c:v>
                </c:pt>
                <c:pt idx="2437">
                  <c:v>2.4369999999999998</c:v>
                </c:pt>
                <c:pt idx="2438">
                  <c:v>2.4380000000000002</c:v>
                </c:pt>
                <c:pt idx="2439">
                  <c:v>2.4390000000000001</c:v>
                </c:pt>
                <c:pt idx="2440">
                  <c:v>2.44</c:v>
                </c:pt>
                <c:pt idx="2441">
                  <c:v>2.4409999999999998</c:v>
                </c:pt>
                <c:pt idx="2442">
                  <c:v>2.4420000000000002</c:v>
                </c:pt>
                <c:pt idx="2443">
                  <c:v>2.4430000000000001</c:v>
                </c:pt>
                <c:pt idx="2444">
                  <c:v>2.444</c:v>
                </c:pt>
                <c:pt idx="2445">
                  <c:v>2.4449999999999998</c:v>
                </c:pt>
                <c:pt idx="2446">
                  <c:v>2.4460000000000002</c:v>
                </c:pt>
                <c:pt idx="2447">
                  <c:v>2.4470000000000001</c:v>
                </c:pt>
                <c:pt idx="2448">
                  <c:v>2.448</c:v>
                </c:pt>
                <c:pt idx="2449">
                  <c:v>2.4489999999999998</c:v>
                </c:pt>
                <c:pt idx="2450">
                  <c:v>2.4500000000000002</c:v>
                </c:pt>
                <c:pt idx="2451">
                  <c:v>2.4510000000000001</c:v>
                </c:pt>
                <c:pt idx="2452">
                  <c:v>2.452</c:v>
                </c:pt>
                <c:pt idx="2453">
                  <c:v>2.4529999999999998</c:v>
                </c:pt>
                <c:pt idx="2454">
                  <c:v>2.4540000000000002</c:v>
                </c:pt>
                <c:pt idx="2455">
                  <c:v>2.4550000000000001</c:v>
                </c:pt>
                <c:pt idx="2456">
                  <c:v>2.456</c:v>
                </c:pt>
                <c:pt idx="2457">
                  <c:v>2.4569999999999999</c:v>
                </c:pt>
                <c:pt idx="2458">
                  <c:v>2.4580000000000002</c:v>
                </c:pt>
                <c:pt idx="2459">
                  <c:v>2.4590000000000001</c:v>
                </c:pt>
                <c:pt idx="2460">
                  <c:v>2.46</c:v>
                </c:pt>
                <c:pt idx="2461">
                  <c:v>2.4609999999999999</c:v>
                </c:pt>
                <c:pt idx="2462">
                  <c:v>2.4620000000000002</c:v>
                </c:pt>
                <c:pt idx="2463">
                  <c:v>2.4630000000000001</c:v>
                </c:pt>
                <c:pt idx="2464">
                  <c:v>2.464</c:v>
                </c:pt>
                <c:pt idx="2465">
                  <c:v>2.4649999999999999</c:v>
                </c:pt>
                <c:pt idx="2466">
                  <c:v>2.4660000000000002</c:v>
                </c:pt>
                <c:pt idx="2467">
                  <c:v>2.4670000000000001</c:v>
                </c:pt>
                <c:pt idx="2468">
                  <c:v>2.468</c:v>
                </c:pt>
                <c:pt idx="2469">
                  <c:v>2.4689999999999999</c:v>
                </c:pt>
                <c:pt idx="2470">
                  <c:v>2.4700000000000002</c:v>
                </c:pt>
                <c:pt idx="2471">
                  <c:v>2.4710000000000001</c:v>
                </c:pt>
                <c:pt idx="2472">
                  <c:v>2.472</c:v>
                </c:pt>
                <c:pt idx="2473">
                  <c:v>2.4729999999999999</c:v>
                </c:pt>
                <c:pt idx="2474">
                  <c:v>2.4740000000000002</c:v>
                </c:pt>
                <c:pt idx="2475">
                  <c:v>2.4750000000000001</c:v>
                </c:pt>
                <c:pt idx="2476">
                  <c:v>2.476</c:v>
                </c:pt>
                <c:pt idx="2477">
                  <c:v>2.4769999999999999</c:v>
                </c:pt>
                <c:pt idx="2478">
                  <c:v>2.4780000000000002</c:v>
                </c:pt>
                <c:pt idx="2479">
                  <c:v>2.4790000000000001</c:v>
                </c:pt>
                <c:pt idx="2480">
                  <c:v>2.48</c:v>
                </c:pt>
                <c:pt idx="2481">
                  <c:v>2.4809999999999999</c:v>
                </c:pt>
                <c:pt idx="2482">
                  <c:v>2.4820000000000002</c:v>
                </c:pt>
                <c:pt idx="2483">
                  <c:v>2.4830000000000001</c:v>
                </c:pt>
                <c:pt idx="2484">
                  <c:v>2.484</c:v>
                </c:pt>
                <c:pt idx="2485">
                  <c:v>2.4849999999999999</c:v>
                </c:pt>
                <c:pt idx="2486">
                  <c:v>2.4860000000000002</c:v>
                </c:pt>
                <c:pt idx="2487">
                  <c:v>2.4870000000000001</c:v>
                </c:pt>
                <c:pt idx="2488">
                  <c:v>2.488</c:v>
                </c:pt>
                <c:pt idx="2489">
                  <c:v>2.4889999999999999</c:v>
                </c:pt>
                <c:pt idx="2490">
                  <c:v>2.4900000000000002</c:v>
                </c:pt>
                <c:pt idx="2491">
                  <c:v>2.4910000000000001</c:v>
                </c:pt>
                <c:pt idx="2492">
                  <c:v>2.492</c:v>
                </c:pt>
                <c:pt idx="2493">
                  <c:v>2.4929999999999999</c:v>
                </c:pt>
                <c:pt idx="2494">
                  <c:v>2.4940000000000002</c:v>
                </c:pt>
                <c:pt idx="2495">
                  <c:v>2.4950000000000001</c:v>
                </c:pt>
                <c:pt idx="2496">
                  <c:v>2.496</c:v>
                </c:pt>
                <c:pt idx="2497">
                  <c:v>2.4969999999999999</c:v>
                </c:pt>
                <c:pt idx="2498">
                  <c:v>2.4980000000000002</c:v>
                </c:pt>
                <c:pt idx="2499">
                  <c:v>2.4990000000000001</c:v>
                </c:pt>
                <c:pt idx="2500">
                  <c:v>2.5</c:v>
                </c:pt>
                <c:pt idx="2501">
                  <c:v>2.5009999999999999</c:v>
                </c:pt>
                <c:pt idx="2502">
                  <c:v>2.5019999999999998</c:v>
                </c:pt>
                <c:pt idx="2503">
                  <c:v>2.5030000000000001</c:v>
                </c:pt>
                <c:pt idx="2504">
                  <c:v>2.504</c:v>
                </c:pt>
                <c:pt idx="2505">
                  <c:v>2.5049999999999999</c:v>
                </c:pt>
                <c:pt idx="2506">
                  <c:v>2.5059999999999998</c:v>
                </c:pt>
                <c:pt idx="2507">
                  <c:v>2.5070000000000001</c:v>
                </c:pt>
                <c:pt idx="2508">
                  <c:v>2.508</c:v>
                </c:pt>
                <c:pt idx="2509">
                  <c:v>2.5089999999999999</c:v>
                </c:pt>
                <c:pt idx="2510">
                  <c:v>2.5099999999999998</c:v>
                </c:pt>
                <c:pt idx="2511">
                  <c:v>2.5110000000000001</c:v>
                </c:pt>
                <c:pt idx="2512">
                  <c:v>2.512</c:v>
                </c:pt>
                <c:pt idx="2513">
                  <c:v>2.5129999999999999</c:v>
                </c:pt>
                <c:pt idx="2514">
                  <c:v>2.5139999999999998</c:v>
                </c:pt>
                <c:pt idx="2515">
                  <c:v>2.5150000000000001</c:v>
                </c:pt>
                <c:pt idx="2516">
                  <c:v>2.516</c:v>
                </c:pt>
                <c:pt idx="2517">
                  <c:v>2.5169999999999999</c:v>
                </c:pt>
                <c:pt idx="2518">
                  <c:v>2.5179999999999998</c:v>
                </c:pt>
                <c:pt idx="2519">
                  <c:v>2.5190000000000001</c:v>
                </c:pt>
                <c:pt idx="2520">
                  <c:v>2.52</c:v>
                </c:pt>
                <c:pt idx="2521">
                  <c:v>2.5209999999999999</c:v>
                </c:pt>
                <c:pt idx="2522">
                  <c:v>2.5219999999999998</c:v>
                </c:pt>
                <c:pt idx="2523">
                  <c:v>2.5230000000000001</c:v>
                </c:pt>
                <c:pt idx="2524">
                  <c:v>2.524</c:v>
                </c:pt>
                <c:pt idx="2525">
                  <c:v>2.5249999999999999</c:v>
                </c:pt>
                <c:pt idx="2526">
                  <c:v>2.5259999999999998</c:v>
                </c:pt>
                <c:pt idx="2527">
                  <c:v>2.5270000000000001</c:v>
                </c:pt>
                <c:pt idx="2528">
                  <c:v>2.528</c:v>
                </c:pt>
                <c:pt idx="2529">
                  <c:v>2.5289999999999999</c:v>
                </c:pt>
                <c:pt idx="2530">
                  <c:v>2.5299999999999998</c:v>
                </c:pt>
                <c:pt idx="2531">
                  <c:v>2.5310000000000001</c:v>
                </c:pt>
                <c:pt idx="2532">
                  <c:v>2.532</c:v>
                </c:pt>
                <c:pt idx="2533">
                  <c:v>2.5329999999999999</c:v>
                </c:pt>
                <c:pt idx="2534">
                  <c:v>2.5339999999999998</c:v>
                </c:pt>
                <c:pt idx="2535">
                  <c:v>2.5350000000000001</c:v>
                </c:pt>
                <c:pt idx="2536">
                  <c:v>2.536</c:v>
                </c:pt>
                <c:pt idx="2537">
                  <c:v>2.5369999999999999</c:v>
                </c:pt>
                <c:pt idx="2538">
                  <c:v>2.5379999999999998</c:v>
                </c:pt>
                <c:pt idx="2539">
                  <c:v>2.5390000000000001</c:v>
                </c:pt>
                <c:pt idx="2540">
                  <c:v>2.54</c:v>
                </c:pt>
                <c:pt idx="2541">
                  <c:v>2.5409999999999999</c:v>
                </c:pt>
                <c:pt idx="2542">
                  <c:v>2.5419999999999998</c:v>
                </c:pt>
                <c:pt idx="2543">
                  <c:v>2.5430000000000001</c:v>
                </c:pt>
                <c:pt idx="2544">
                  <c:v>2.544</c:v>
                </c:pt>
                <c:pt idx="2545">
                  <c:v>2.5449999999999999</c:v>
                </c:pt>
                <c:pt idx="2546">
                  <c:v>2.5459999999999998</c:v>
                </c:pt>
                <c:pt idx="2547">
                  <c:v>2.5470000000000002</c:v>
                </c:pt>
                <c:pt idx="2548">
                  <c:v>2.548</c:v>
                </c:pt>
                <c:pt idx="2549">
                  <c:v>2.5489999999999999</c:v>
                </c:pt>
                <c:pt idx="2550">
                  <c:v>2.5499999999999998</c:v>
                </c:pt>
                <c:pt idx="2551">
                  <c:v>2.5510000000000002</c:v>
                </c:pt>
                <c:pt idx="2552">
                  <c:v>2.552</c:v>
                </c:pt>
                <c:pt idx="2553">
                  <c:v>2.5529999999999999</c:v>
                </c:pt>
                <c:pt idx="2554">
                  <c:v>2.5539999999999998</c:v>
                </c:pt>
                <c:pt idx="2555">
                  <c:v>2.5550000000000002</c:v>
                </c:pt>
                <c:pt idx="2556">
                  <c:v>2.556</c:v>
                </c:pt>
                <c:pt idx="2557">
                  <c:v>2.5569999999999999</c:v>
                </c:pt>
                <c:pt idx="2558">
                  <c:v>2.5579999999999998</c:v>
                </c:pt>
                <c:pt idx="2559">
                  <c:v>2.5590000000000002</c:v>
                </c:pt>
                <c:pt idx="2560">
                  <c:v>2.56</c:v>
                </c:pt>
                <c:pt idx="2561">
                  <c:v>2.5609999999999999</c:v>
                </c:pt>
                <c:pt idx="2562">
                  <c:v>2.5619999999999998</c:v>
                </c:pt>
                <c:pt idx="2563">
                  <c:v>2.5630000000000002</c:v>
                </c:pt>
                <c:pt idx="2564">
                  <c:v>2.5640000000000001</c:v>
                </c:pt>
                <c:pt idx="2565">
                  <c:v>2.5649999999999999</c:v>
                </c:pt>
                <c:pt idx="2566">
                  <c:v>2.5659999999999998</c:v>
                </c:pt>
                <c:pt idx="2567">
                  <c:v>2.5670000000000002</c:v>
                </c:pt>
                <c:pt idx="2568">
                  <c:v>2.5680000000000001</c:v>
                </c:pt>
                <c:pt idx="2569">
                  <c:v>2.569</c:v>
                </c:pt>
                <c:pt idx="2570">
                  <c:v>2.57</c:v>
                </c:pt>
                <c:pt idx="2571">
                  <c:v>2.5710000000000002</c:v>
                </c:pt>
                <c:pt idx="2572">
                  <c:v>2.5720000000000001</c:v>
                </c:pt>
                <c:pt idx="2573">
                  <c:v>2.573</c:v>
                </c:pt>
                <c:pt idx="2574">
                  <c:v>2.5739999999999998</c:v>
                </c:pt>
                <c:pt idx="2575">
                  <c:v>2.5750000000000002</c:v>
                </c:pt>
                <c:pt idx="2576">
                  <c:v>2.5760000000000001</c:v>
                </c:pt>
                <c:pt idx="2577">
                  <c:v>2.577</c:v>
                </c:pt>
                <c:pt idx="2578">
                  <c:v>2.5779999999999998</c:v>
                </c:pt>
                <c:pt idx="2579">
                  <c:v>2.5790000000000002</c:v>
                </c:pt>
                <c:pt idx="2580">
                  <c:v>2.58</c:v>
                </c:pt>
                <c:pt idx="2581">
                  <c:v>2.581</c:v>
                </c:pt>
                <c:pt idx="2582">
                  <c:v>2.5819999999999999</c:v>
                </c:pt>
                <c:pt idx="2583">
                  <c:v>2.5830000000000002</c:v>
                </c:pt>
                <c:pt idx="2584">
                  <c:v>2.5840000000000001</c:v>
                </c:pt>
                <c:pt idx="2585">
                  <c:v>2.585</c:v>
                </c:pt>
                <c:pt idx="2586">
                  <c:v>2.5859999999999999</c:v>
                </c:pt>
                <c:pt idx="2587">
                  <c:v>2.5870000000000002</c:v>
                </c:pt>
                <c:pt idx="2588">
                  <c:v>2.5880000000000001</c:v>
                </c:pt>
                <c:pt idx="2589">
                  <c:v>2.589</c:v>
                </c:pt>
                <c:pt idx="2590">
                  <c:v>2.59</c:v>
                </c:pt>
                <c:pt idx="2591">
                  <c:v>2.5910000000000002</c:v>
                </c:pt>
                <c:pt idx="2592">
                  <c:v>2.5920000000000001</c:v>
                </c:pt>
                <c:pt idx="2593">
                  <c:v>2.593</c:v>
                </c:pt>
                <c:pt idx="2594">
                  <c:v>2.5939999999999999</c:v>
                </c:pt>
                <c:pt idx="2595">
                  <c:v>2.5950000000000002</c:v>
                </c:pt>
                <c:pt idx="2596">
                  <c:v>2.5960000000000001</c:v>
                </c:pt>
                <c:pt idx="2597">
                  <c:v>2.597</c:v>
                </c:pt>
                <c:pt idx="2598">
                  <c:v>2.5979999999999999</c:v>
                </c:pt>
                <c:pt idx="2599">
                  <c:v>2.5990000000000002</c:v>
                </c:pt>
                <c:pt idx="2600">
                  <c:v>2.6</c:v>
                </c:pt>
                <c:pt idx="2601">
                  <c:v>2.601</c:v>
                </c:pt>
                <c:pt idx="2602">
                  <c:v>2.6019999999999999</c:v>
                </c:pt>
                <c:pt idx="2603">
                  <c:v>2.6030000000000002</c:v>
                </c:pt>
                <c:pt idx="2604">
                  <c:v>2.6040000000000001</c:v>
                </c:pt>
                <c:pt idx="2605">
                  <c:v>2.605</c:v>
                </c:pt>
                <c:pt idx="2606">
                  <c:v>2.6059999999999999</c:v>
                </c:pt>
                <c:pt idx="2607">
                  <c:v>2.6070000000000002</c:v>
                </c:pt>
                <c:pt idx="2608">
                  <c:v>2.6080000000000001</c:v>
                </c:pt>
                <c:pt idx="2609">
                  <c:v>2.609</c:v>
                </c:pt>
                <c:pt idx="2610">
                  <c:v>2.61</c:v>
                </c:pt>
                <c:pt idx="2611">
                  <c:v>2.6110000000000002</c:v>
                </c:pt>
                <c:pt idx="2612">
                  <c:v>2.6120000000000001</c:v>
                </c:pt>
                <c:pt idx="2613">
                  <c:v>2.613</c:v>
                </c:pt>
                <c:pt idx="2614">
                  <c:v>2.6139999999999999</c:v>
                </c:pt>
                <c:pt idx="2615">
                  <c:v>2.6150000000000002</c:v>
                </c:pt>
                <c:pt idx="2616">
                  <c:v>2.6160000000000001</c:v>
                </c:pt>
                <c:pt idx="2617">
                  <c:v>2.617</c:v>
                </c:pt>
                <c:pt idx="2618">
                  <c:v>2.6179999999999999</c:v>
                </c:pt>
                <c:pt idx="2619">
                  <c:v>2.6190000000000002</c:v>
                </c:pt>
                <c:pt idx="2620">
                  <c:v>2.62</c:v>
                </c:pt>
                <c:pt idx="2621">
                  <c:v>2.621</c:v>
                </c:pt>
                <c:pt idx="2622">
                  <c:v>2.6219999999999999</c:v>
                </c:pt>
                <c:pt idx="2623">
                  <c:v>2.6230000000000002</c:v>
                </c:pt>
                <c:pt idx="2624">
                  <c:v>2.6240000000000001</c:v>
                </c:pt>
                <c:pt idx="2625">
                  <c:v>2.625</c:v>
                </c:pt>
                <c:pt idx="2626">
                  <c:v>2.6259999999999999</c:v>
                </c:pt>
                <c:pt idx="2627">
                  <c:v>2.6269999999999998</c:v>
                </c:pt>
                <c:pt idx="2628">
                  <c:v>2.6280000000000001</c:v>
                </c:pt>
                <c:pt idx="2629">
                  <c:v>2.629</c:v>
                </c:pt>
                <c:pt idx="2630">
                  <c:v>2.63</c:v>
                </c:pt>
                <c:pt idx="2631">
                  <c:v>2.6309999999999998</c:v>
                </c:pt>
                <c:pt idx="2632">
                  <c:v>2.6320000000000001</c:v>
                </c:pt>
                <c:pt idx="2633">
                  <c:v>2.633</c:v>
                </c:pt>
                <c:pt idx="2634">
                  <c:v>2.6339999999999999</c:v>
                </c:pt>
                <c:pt idx="2635">
                  <c:v>2.6349999999999998</c:v>
                </c:pt>
                <c:pt idx="2636">
                  <c:v>2.6360000000000001</c:v>
                </c:pt>
                <c:pt idx="2637">
                  <c:v>2.637</c:v>
                </c:pt>
                <c:pt idx="2638">
                  <c:v>2.6379999999999999</c:v>
                </c:pt>
                <c:pt idx="2639">
                  <c:v>2.6389999999999998</c:v>
                </c:pt>
                <c:pt idx="2640">
                  <c:v>2.64</c:v>
                </c:pt>
                <c:pt idx="2641">
                  <c:v>2.641</c:v>
                </c:pt>
                <c:pt idx="2642">
                  <c:v>2.6419999999999999</c:v>
                </c:pt>
                <c:pt idx="2643">
                  <c:v>2.6429999999999998</c:v>
                </c:pt>
                <c:pt idx="2644">
                  <c:v>2.6440000000000001</c:v>
                </c:pt>
                <c:pt idx="2645">
                  <c:v>2.645</c:v>
                </c:pt>
                <c:pt idx="2646">
                  <c:v>2.6459999999999999</c:v>
                </c:pt>
                <c:pt idx="2647">
                  <c:v>2.6469999999999998</c:v>
                </c:pt>
                <c:pt idx="2648">
                  <c:v>2.6480000000000001</c:v>
                </c:pt>
                <c:pt idx="2649">
                  <c:v>2.649</c:v>
                </c:pt>
                <c:pt idx="2650">
                  <c:v>2.65</c:v>
                </c:pt>
                <c:pt idx="2651">
                  <c:v>2.6509999999999998</c:v>
                </c:pt>
                <c:pt idx="2652">
                  <c:v>2.6520000000000001</c:v>
                </c:pt>
                <c:pt idx="2653">
                  <c:v>2.653</c:v>
                </c:pt>
                <c:pt idx="2654">
                  <c:v>2.6539999999999999</c:v>
                </c:pt>
                <c:pt idx="2655">
                  <c:v>2.6549999999999998</c:v>
                </c:pt>
                <c:pt idx="2656">
                  <c:v>2.6560000000000001</c:v>
                </c:pt>
                <c:pt idx="2657">
                  <c:v>2.657</c:v>
                </c:pt>
                <c:pt idx="2658">
                  <c:v>2.6579999999999999</c:v>
                </c:pt>
                <c:pt idx="2659">
                  <c:v>2.6589999999999998</c:v>
                </c:pt>
                <c:pt idx="2660">
                  <c:v>2.66</c:v>
                </c:pt>
                <c:pt idx="2661">
                  <c:v>2.661</c:v>
                </c:pt>
                <c:pt idx="2662">
                  <c:v>2.6619999999999999</c:v>
                </c:pt>
                <c:pt idx="2663">
                  <c:v>2.6629999999999998</c:v>
                </c:pt>
                <c:pt idx="2664">
                  <c:v>2.6640000000000001</c:v>
                </c:pt>
                <c:pt idx="2665">
                  <c:v>2.665</c:v>
                </c:pt>
                <c:pt idx="2666">
                  <c:v>2.6659999999999999</c:v>
                </c:pt>
                <c:pt idx="2667">
                  <c:v>2.6669999999999998</c:v>
                </c:pt>
                <c:pt idx="2668">
                  <c:v>2.6680000000000001</c:v>
                </c:pt>
                <c:pt idx="2669">
                  <c:v>2.669</c:v>
                </c:pt>
                <c:pt idx="2670">
                  <c:v>2.67</c:v>
                </c:pt>
                <c:pt idx="2671">
                  <c:v>2.6709999999999998</c:v>
                </c:pt>
                <c:pt idx="2672">
                  <c:v>2.6720000000000002</c:v>
                </c:pt>
                <c:pt idx="2673">
                  <c:v>2.673</c:v>
                </c:pt>
                <c:pt idx="2674">
                  <c:v>2.6739999999999999</c:v>
                </c:pt>
                <c:pt idx="2675">
                  <c:v>2.6749999999999998</c:v>
                </c:pt>
                <c:pt idx="2676">
                  <c:v>2.6760000000000002</c:v>
                </c:pt>
                <c:pt idx="2677">
                  <c:v>2.677</c:v>
                </c:pt>
                <c:pt idx="2678">
                  <c:v>2.6779999999999999</c:v>
                </c:pt>
                <c:pt idx="2679">
                  <c:v>2.6789999999999998</c:v>
                </c:pt>
                <c:pt idx="2680">
                  <c:v>2.68</c:v>
                </c:pt>
                <c:pt idx="2681">
                  <c:v>2.681</c:v>
                </c:pt>
                <c:pt idx="2682">
                  <c:v>2.6819999999999999</c:v>
                </c:pt>
                <c:pt idx="2683">
                  <c:v>2.6829999999999998</c:v>
                </c:pt>
                <c:pt idx="2684">
                  <c:v>2.6840000000000002</c:v>
                </c:pt>
                <c:pt idx="2685">
                  <c:v>2.6850000000000001</c:v>
                </c:pt>
                <c:pt idx="2686">
                  <c:v>2.6859999999999999</c:v>
                </c:pt>
                <c:pt idx="2687">
                  <c:v>2.6869999999999998</c:v>
                </c:pt>
                <c:pt idx="2688">
                  <c:v>2.6880000000000002</c:v>
                </c:pt>
                <c:pt idx="2689">
                  <c:v>2.6890000000000001</c:v>
                </c:pt>
                <c:pt idx="2690">
                  <c:v>2.69</c:v>
                </c:pt>
                <c:pt idx="2691">
                  <c:v>2.6909999999999998</c:v>
                </c:pt>
                <c:pt idx="2692">
                  <c:v>2.6920000000000002</c:v>
                </c:pt>
                <c:pt idx="2693">
                  <c:v>2.6930000000000001</c:v>
                </c:pt>
                <c:pt idx="2694">
                  <c:v>2.694</c:v>
                </c:pt>
                <c:pt idx="2695">
                  <c:v>2.6949999999999998</c:v>
                </c:pt>
                <c:pt idx="2696">
                  <c:v>2.6960000000000002</c:v>
                </c:pt>
                <c:pt idx="2697">
                  <c:v>2.6970000000000001</c:v>
                </c:pt>
                <c:pt idx="2698">
                  <c:v>2.698</c:v>
                </c:pt>
                <c:pt idx="2699">
                  <c:v>2.6989999999999998</c:v>
                </c:pt>
                <c:pt idx="2700">
                  <c:v>2.7</c:v>
                </c:pt>
                <c:pt idx="2701">
                  <c:v>2.7010000000000001</c:v>
                </c:pt>
                <c:pt idx="2702">
                  <c:v>2.702</c:v>
                </c:pt>
                <c:pt idx="2703">
                  <c:v>2.7029999999999998</c:v>
                </c:pt>
                <c:pt idx="2704">
                  <c:v>2.7040000000000002</c:v>
                </c:pt>
                <c:pt idx="2705">
                  <c:v>2.7050000000000001</c:v>
                </c:pt>
                <c:pt idx="2706">
                  <c:v>2.706</c:v>
                </c:pt>
                <c:pt idx="2707">
                  <c:v>2.7069999999999999</c:v>
                </c:pt>
                <c:pt idx="2708">
                  <c:v>2.7080000000000002</c:v>
                </c:pt>
                <c:pt idx="2709">
                  <c:v>2.7090000000000001</c:v>
                </c:pt>
                <c:pt idx="2710">
                  <c:v>2.71</c:v>
                </c:pt>
                <c:pt idx="2711">
                  <c:v>2.7109999999999999</c:v>
                </c:pt>
                <c:pt idx="2712">
                  <c:v>2.7120000000000002</c:v>
                </c:pt>
                <c:pt idx="2713">
                  <c:v>2.7130000000000001</c:v>
                </c:pt>
                <c:pt idx="2714">
                  <c:v>2.714</c:v>
                </c:pt>
                <c:pt idx="2715">
                  <c:v>2.7149999999999999</c:v>
                </c:pt>
                <c:pt idx="2716">
                  <c:v>2.7160000000000002</c:v>
                </c:pt>
                <c:pt idx="2717">
                  <c:v>2.7170000000000001</c:v>
                </c:pt>
                <c:pt idx="2718">
                  <c:v>2.718</c:v>
                </c:pt>
                <c:pt idx="2719">
                  <c:v>2.7189999999999999</c:v>
                </c:pt>
                <c:pt idx="2720">
                  <c:v>2.72</c:v>
                </c:pt>
                <c:pt idx="2721">
                  <c:v>2.7210000000000001</c:v>
                </c:pt>
                <c:pt idx="2722">
                  <c:v>2.722</c:v>
                </c:pt>
                <c:pt idx="2723">
                  <c:v>2.7229999999999999</c:v>
                </c:pt>
                <c:pt idx="2724">
                  <c:v>2.7240000000000002</c:v>
                </c:pt>
                <c:pt idx="2725">
                  <c:v>2.7250000000000001</c:v>
                </c:pt>
                <c:pt idx="2726">
                  <c:v>2.726</c:v>
                </c:pt>
                <c:pt idx="2727">
                  <c:v>2.7269999999999999</c:v>
                </c:pt>
                <c:pt idx="2728">
                  <c:v>2.7280000000000002</c:v>
                </c:pt>
                <c:pt idx="2729">
                  <c:v>2.7290000000000001</c:v>
                </c:pt>
                <c:pt idx="2730">
                  <c:v>2.73</c:v>
                </c:pt>
                <c:pt idx="2731">
                  <c:v>2.7309999999999999</c:v>
                </c:pt>
                <c:pt idx="2732">
                  <c:v>2.7320000000000002</c:v>
                </c:pt>
                <c:pt idx="2733">
                  <c:v>2.7330000000000001</c:v>
                </c:pt>
                <c:pt idx="2734">
                  <c:v>2.734</c:v>
                </c:pt>
                <c:pt idx="2735">
                  <c:v>2.7349999999999999</c:v>
                </c:pt>
                <c:pt idx="2736">
                  <c:v>2.7360000000000002</c:v>
                </c:pt>
                <c:pt idx="2737">
                  <c:v>2.7370000000000001</c:v>
                </c:pt>
                <c:pt idx="2738">
                  <c:v>2.738</c:v>
                </c:pt>
                <c:pt idx="2739">
                  <c:v>2.7389999999999999</c:v>
                </c:pt>
                <c:pt idx="2740">
                  <c:v>2.74</c:v>
                </c:pt>
                <c:pt idx="2741">
                  <c:v>2.7410000000000001</c:v>
                </c:pt>
                <c:pt idx="2742">
                  <c:v>2.742</c:v>
                </c:pt>
                <c:pt idx="2743">
                  <c:v>2.7429999999999999</c:v>
                </c:pt>
                <c:pt idx="2744">
                  <c:v>2.7440000000000002</c:v>
                </c:pt>
                <c:pt idx="2745">
                  <c:v>2.7450000000000001</c:v>
                </c:pt>
                <c:pt idx="2746">
                  <c:v>2.746</c:v>
                </c:pt>
                <c:pt idx="2747">
                  <c:v>2.7469999999999999</c:v>
                </c:pt>
                <c:pt idx="2748">
                  <c:v>2.7480000000000002</c:v>
                </c:pt>
                <c:pt idx="2749">
                  <c:v>2.7490000000000001</c:v>
                </c:pt>
                <c:pt idx="2750">
                  <c:v>2.75</c:v>
                </c:pt>
                <c:pt idx="2751">
                  <c:v>2.7509999999999999</c:v>
                </c:pt>
                <c:pt idx="2752">
                  <c:v>2.7519999999999998</c:v>
                </c:pt>
                <c:pt idx="2753">
                  <c:v>2.7530000000000001</c:v>
                </c:pt>
                <c:pt idx="2754">
                  <c:v>2.754</c:v>
                </c:pt>
                <c:pt idx="2755">
                  <c:v>2.7549999999999999</c:v>
                </c:pt>
                <c:pt idx="2756">
                  <c:v>2.7559999999999998</c:v>
                </c:pt>
                <c:pt idx="2757">
                  <c:v>2.7570000000000001</c:v>
                </c:pt>
                <c:pt idx="2758">
                  <c:v>2.758</c:v>
                </c:pt>
                <c:pt idx="2759">
                  <c:v>2.7589999999999999</c:v>
                </c:pt>
                <c:pt idx="2760">
                  <c:v>2.76</c:v>
                </c:pt>
                <c:pt idx="2761">
                  <c:v>2.7610000000000001</c:v>
                </c:pt>
                <c:pt idx="2762">
                  <c:v>2.762</c:v>
                </c:pt>
                <c:pt idx="2763">
                  <c:v>2.7629999999999999</c:v>
                </c:pt>
                <c:pt idx="2764">
                  <c:v>2.7639999999999998</c:v>
                </c:pt>
                <c:pt idx="2765">
                  <c:v>2.7650000000000001</c:v>
                </c:pt>
                <c:pt idx="2766">
                  <c:v>2.766</c:v>
                </c:pt>
                <c:pt idx="2767">
                  <c:v>2.7669999999999999</c:v>
                </c:pt>
                <c:pt idx="2768">
                  <c:v>2.7679999999999998</c:v>
                </c:pt>
                <c:pt idx="2769">
                  <c:v>2.7690000000000001</c:v>
                </c:pt>
                <c:pt idx="2770">
                  <c:v>2.77</c:v>
                </c:pt>
                <c:pt idx="2771">
                  <c:v>2.7709999999999999</c:v>
                </c:pt>
                <c:pt idx="2772">
                  <c:v>2.7719999999999998</c:v>
                </c:pt>
                <c:pt idx="2773">
                  <c:v>2.7730000000000001</c:v>
                </c:pt>
                <c:pt idx="2774">
                  <c:v>2.774</c:v>
                </c:pt>
                <c:pt idx="2775">
                  <c:v>2.7749999999999999</c:v>
                </c:pt>
                <c:pt idx="2776">
                  <c:v>2.7759999999999998</c:v>
                </c:pt>
                <c:pt idx="2777">
                  <c:v>2.7770000000000001</c:v>
                </c:pt>
                <c:pt idx="2778">
                  <c:v>2.778</c:v>
                </c:pt>
                <c:pt idx="2779">
                  <c:v>2.7789999999999999</c:v>
                </c:pt>
                <c:pt idx="2780">
                  <c:v>2.78</c:v>
                </c:pt>
                <c:pt idx="2781">
                  <c:v>2.7810000000000001</c:v>
                </c:pt>
                <c:pt idx="2782">
                  <c:v>2.782</c:v>
                </c:pt>
                <c:pt idx="2783">
                  <c:v>2.7829999999999999</c:v>
                </c:pt>
                <c:pt idx="2784">
                  <c:v>2.7839999999999998</c:v>
                </c:pt>
                <c:pt idx="2785">
                  <c:v>2.7850000000000001</c:v>
                </c:pt>
                <c:pt idx="2786">
                  <c:v>2.786</c:v>
                </c:pt>
                <c:pt idx="2787">
                  <c:v>2.7869999999999999</c:v>
                </c:pt>
                <c:pt idx="2788">
                  <c:v>2.7879999999999998</c:v>
                </c:pt>
                <c:pt idx="2789">
                  <c:v>2.7890000000000001</c:v>
                </c:pt>
                <c:pt idx="2790">
                  <c:v>2.79</c:v>
                </c:pt>
                <c:pt idx="2791">
                  <c:v>2.7909999999999999</c:v>
                </c:pt>
                <c:pt idx="2792">
                  <c:v>2.7919999999999998</c:v>
                </c:pt>
                <c:pt idx="2793">
                  <c:v>2.7930000000000001</c:v>
                </c:pt>
                <c:pt idx="2794">
                  <c:v>2.794</c:v>
                </c:pt>
                <c:pt idx="2795">
                  <c:v>2.7949999999999999</c:v>
                </c:pt>
                <c:pt idx="2796">
                  <c:v>2.7959999999999998</c:v>
                </c:pt>
                <c:pt idx="2797">
                  <c:v>2.7970000000000002</c:v>
                </c:pt>
                <c:pt idx="2798">
                  <c:v>2.798</c:v>
                </c:pt>
                <c:pt idx="2799">
                  <c:v>2.7989999999999999</c:v>
                </c:pt>
                <c:pt idx="2800">
                  <c:v>2.8</c:v>
                </c:pt>
                <c:pt idx="2801">
                  <c:v>2.8010000000000002</c:v>
                </c:pt>
                <c:pt idx="2802">
                  <c:v>2.802</c:v>
                </c:pt>
                <c:pt idx="2803">
                  <c:v>2.8029999999999999</c:v>
                </c:pt>
                <c:pt idx="2804">
                  <c:v>2.8039999999999998</c:v>
                </c:pt>
                <c:pt idx="2805">
                  <c:v>2.8050000000000002</c:v>
                </c:pt>
                <c:pt idx="2806">
                  <c:v>2.806</c:v>
                </c:pt>
                <c:pt idx="2807">
                  <c:v>2.8069999999999999</c:v>
                </c:pt>
                <c:pt idx="2808">
                  <c:v>2.8079999999999998</c:v>
                </c:pt>
                <c:pt idx="2809">
                  <c:v>2.8090000000000002</c:v>
                </c:pt>
                <c:pt idx="2810">
                  <c:v>2.81</c:v>
                </c:pt>
                <c:pt idx="2811">
                  <c:v>2.8109999999999999</c:v>
                </c:pt>
                <c:pt idx="2812">
                  <c:v>2.8119999999999998</c:v>
                </c:pt>
                <c:pt idx="2813">
                  <c:v>2.8130000000000002</c:v>
                </c:pt>
                <c:pt idx="2814">
                  <c:v>2.8140000000000001</c:v>
                </c:pt>
                <c:pt idx="2815">
                  <c:v>2.8149999999999999</c:v>
                </c:pt>
                <c:pt idx="2816">
                  <c:v>2.8159999999999998</c:v>
                </c:pt>
                <c:pt idx="2817">
                  <c:v>2.8170000000000002</c:v>
                </c:pt>
                <c:pt idx="2818">
                  <c:v>2.8180000000000001</c:v>
                </c:pt>
                <c:pt idx="2819">
                  <c:v>2.819</c:v>
                </c:pt>
                <c:pt idx="2820">
                  <c:v>2.82</c:v>
                </c:pt>
                <c:pt idx="2821">
                  <c:v>2.8210000000000002</c:v>
                </c:pt>
                <c:pt idx="2822">
                  <c:v>2.8220000000000001</c:v>
                </c:pt>
                <c:pt idx="2823">
                  <c:v>2.823</c:v>
                </c:pt>
                <c:pt idx="2824">
                  <c:v>2.8239999999999998</c:v>
                </c:pt>
                <c:pt idx="2825">
                  <c:v>2.8250000000000002</c:v>
                </c:pt>
                <c:pt idx="2826">
                  <c:v>2.8260000000000001</c:v>
                </c:pt>
                <c:pt idx="2827">
                  <c:v>2.827</c:v>
                </c:pt>
                <c:pt idx="2828">
                  <c:v>2.8279999999999998</c:v>
                </c:pt>
                <c:pt idx="2829">
                  <c:v>2.8290000000000002</c:v>
                </c:pt>
                <c:pt idx="2830">
                  <c:v>2.83</c:v>
                </c:pt>
                <c:pt idx="2831">
                  <c:v>2.831</c:v>
                </c:pt>
                <c:pt idx="2832">
                  <c:v>2.8319999999999999</c:v>
                </c:pt>
                <c:pt idx="2833">
                  <c:v>2.8330000000000002</c:v>
                </c:pt>
                <c:pt idx="2834">
                  <c:v>2.8340000000000001</c:v>
                </c:pt>
                <c:pt idx="2835">
                  <c:v>2.835</c:v>
                </c:pt>
                <c:pt idx="2836">
                  <c:v>2.8359999999999999</c:v>
                </c:pt>
                <c:pt idx="2837">
                  <c:v>2.8370000000000002</c:v>
                </c:pt>
                <c:pt idx="2838">
                  <c:v>2.8380000000000001</c:v>
                </c:pt>
                <c:pt idx="2839">
                  <c:v>2.839</c:v>
                </c:pt>
                <c:pt idx="2840">
                  <c:v>2.84</c:v>
                </c:pt>
                <c:pt idx="2841">
                  <c:v>2.8410000000000002</c:v>
                </c:pt>
                <c:pt idx="2842">
                  <c:v>2.8420000000000001</c:v>
                </c:pt>
                <c:pt idx="2843">
                  <c:v>2.843</c:v>
                </c:pt>
                <c:pt idx="2844">
                  <c:v>2.8439999999999999</c:v>
                </c:pt>
                <c:pt idx="2845">
                  <c:v>2.8450000000000002</c:v>
                </c:pt>
                <c:pt idx="2846">
                  <c:v>2.8460000000000001</c:v>
                </c:pt>
                <c:pt idx="2847">
                  <c:v>2.847</c:v>
                </c:pt>
                <c:pt idx="2848">
                  <c:v>2.8479999999999999</c:v>
                </c:pt>
                <c:pt idx="2849">
                  <c:v>2.8490000000000002</c:v>
                </c:pt>
                <c:pt idx="2850">
                  <c:v>2.85</c:v>
                </c:pt>
                <c:pt idx="2851">
                  <c:v>2.851</c:v>
                </c:pt>
                <c:pt idx="2852">
                  <c:v>2.8519999999999999</c:v>
                </c:pt>
                <c:pt idx="2853">
                  <c:v>2.8530000000000002</c:v>
                </c:pt>
                <c:pt idx="2854">
                  <c:v>2.8540000000000001</c:v>
                </c:pt>
                <c:pt idx="2855">
                  <c:v>2.855</c:v>
                </c:pt>
                <c:pt idx="2856">
                  <c:v>2.8559999999999999</c:v>
                </c:pt>
                <c:pt idx="2857">
                  <c:v>2.8570000000000002</c:v>
                </c:pt>
                <c:pt idx="2858">
                  <c:v>2.8580000000000001</c:v>
                </c:pt>
                <c:pt idx="2859">
                  <c:v>2.859</c:v>
                </c:pt>
                <c:pt idx="2860">
                  <c:v>2.86</c:v>
                </c:pt>
                <c:pt idx="2861">
                  <c:v>2.8610000000000002</c:v>
                </c:pt>
                <c:pt idx="2862">
                  <c:v>2.8620000000000001</c:v>
                </c:pt>
                <c:pt idx="2863">
                  <c:v>2.863</c:v>
                </c:pt>
                <c:pt idx="2864">
                  <c:v>2.8639999999999999</c:v>
                </c:pt>
                <c:pt idx="2865">
                  <c:v>2.8650000000000002</c:v>
                </c:pt>
                <c:pt idx="2866">
                  <c:v>2.8660000000000001</c:v>
                </c:pt>
                <c:pt idx="2867">
                  <c:v>2.867</c:v>
                </c:pt>
                <c:pt idx="2868">
                  <c:v>2.8679999999999999</c:v>
                </c:pt>
                <c:pt idx="2869">
                  <c:v>2.8690000000000002</c:v>
                </c:pt>
                <c:pt idx="2870">
                  <c:v>2.87</c:v>
                </c:pt>
                <c:pt idx="2871">
                  <c:v>2.871</c:v>
                </c:pt>
                <c:pt idx="2872">
                  <c:v>2.8719999999999999</c:v>
                </c:pt>
                <c:pt idx="2873">
                  <c:v>2.8730000000000002</c:v>
                </c:pt>
                <c:pt idx="2874">
                  <c:v>2.8740000000000001</c:v>
                </c:pt>
                <c:pt idx="2875">
                  <c:v>2.875</c:v>
                </c:pt>
                <c:pt idx="2876">
                  <c:v>2.8759999999999999</c:v>
                </c:pt>
                <c:pt idx="2877">
                  <c:v>2.8769999999999998</c:v>
                </c:pt>
                <c:pt idx="2878">
                  <c:v>2.8780000000000001</c:v>
                </c:pt>
                <c:pt idx="2879">
                  <c:v>2.879</c:v>
                </c:pt>
                <c:pt idx="2880">
                  <c:v>2.88</c:v>
                </c:pt>
                <c:pt idx="2881">
                  <c:v>2.8809999999999998</c:v>
                </c:pt>
                <c:pt idx="2882">
                  <c:v>2.8820000000000001</c:v>
                </c:pt>
                <c:pt idx="2883">
                  <c:v>2.883</c:v>
                </c:pt>
                <c:pt idx="2884">
                  <c:v>2.8839999999999999</c:v>
                </c:pt>
                <c:pt idx="2885">
                  <c:v>2.8849999999999998</c:v>
                </c:pt>
                <c:pt idx="2886">
                  <c:v>2.8860000000000001</c:v>
                </c:pt>
                <c:pt idx="2887">
                  <c:v>2.887</c:v>
                </c:pt>
                <c:pt idx="2888">
                  <c:v>2.8879999999999999</c:v>
                </c:pt>
                <c:pt idx="2889">
                  <c:v>2.8889999999999998</c:v>
                </c:pt>
                <c:pt idx="2890">
                  <c:v>2.89</c:v>
                </c:pt>
                <c:pt idx="2891">
                  <c:v>2.891</c:v>
                </c:pt>
                <c:pt idx="2892">
                  <c:v>2.8919999999999999</c:v>
                </c:pt>
                <c:pt idx="2893">
                  <c:v>2.8929999999999998</c:v>
                </c:pt>
                <c:pt idx="2894">
                  <c:v>2.8940000000000001</c:v>
                </c:pt>
                <c:pt idx="2895">
                  <c:v>2.895</c:v>
                </c:pt>
                <c:pt idx="2896">
                  <c:v>2.8959999999999999</c:v>
                </c:pt>
                <c:pt idx="2897">
                  <c:v>2.8969999999999998</c:v>
                </c:pt>
                <c:pt idx="2898">
                  <c:v>2.8980000000000001</c:v>
                </c:pt>
                <c:pt idx="2899">
                  <c:v>2.899</c:v>
                </c:pt>
                <c:pt idx="2900">
                  <c:v>2.9</c:v>
                </c:pt>
                <c:pt idx="2901">
                  <c:v>2.9009999999999998</c:v>
                </c:pt>
                <c:pt idx="2902">
                  <c:v>2.9020000000000001</c:v>
                </c:pt>
                <c:pt idx="2903">
                  <c:v>2.903</c:v>
                </c:pt>
                <c:pt idx="2904">
                  <c:v>2.9039999999999999</c:v>
                </c:pt>
                <c:pt idx="2905">
                  <c:v>2.9049999999999998</c:v>
                </c:pt>
                <c:pt idx="2906">
                  <c:v>2.9060000000000001</c:v>
                </c:pt>
                <c:pt idx="2907">
                  <c:v>2.907</c:v>
                </c:pt>
                <c:pt idx="2908">
                  <c:v>2.9079999999999999</c:v>
                </c:pt>
                <c:pt idx="2909">
                  <c:v>2.9089999999999998</c:v>
                </c:pt>
                <c:pt idx="2910">
                  <c:v>2.91</c:v>
                </c:pt>
                <c:pt idx="2911">
                  <c:v>2.911</c:v>
                </c:pt>
                <c:pt idx="2912">
                  <c:v>2.9119999999999999</c:v>
                </c:pt>
                <c:pt idx="2913">
                  <c:v>2.9129999999999998</c:v>
                </c:pt>
                <c:pt idx="2914">
                  <c:v>2.9140000000000001</c:v>
                </c:pt>
                <c:pt idx="2915">
                  <c:v>2.915</c:v>
                </c:pt>
                <c:pt idx="2916">
                  <c:v>2.9159999999999999</c:v>
                </c:pt>
                <c:pt idx="2917">
                  <c:v>2.9169999999999998</c:v>
                </c:pt>
                <c:pt idx="2918">
                  <c:v>2.9180000000000001</c:v>
                </c:pt>
                <c:pt idx="2919">
                  <c:v>2.919</c:v>
                </c:pt>
                <c:pt idx="2920">
                  <c:v>2.92</c:v>
                </c:pt>
                <c:pt idx="2921">
                  <c:v>2.9209999999999998</c:v>
                </c:pt>
                <c:pt idx="2922">
                  <c:v>2.9220000000000002</c:v>
                </c:pt>
                <c:pt idx="2923">
                  <c:v>2.923</c:v>
                </c:pt>
                <c:pt idx="2924">
                  <c:v>2.9239999999999999</c:v>
                </c:pt>
                <c:pt idx="2925">
                  <c:v>2.9249999999999998</c:v>
                </c:pt>
                <c:pt idx="2926">
                  <c:v>2.9260000000000002</c:v>
                </c:pt>
                <c:pt idx="2927">
                  <c:v>2.927</c:v>
                </c:pt>
                <c:pt idx="2928">
                  <c:v>2.9279999999999999</c:v>
                </c:pt>
                <c:pt idx="2929">
                  <c:v>2.9289999999999998</c:v>
                </c:pt>
                <c:pt idx="2930">
                  <c:v>2.93</c:v>
                </c:pt>
                <c:pt idx="2931">
                  <c:v>2.931</c:v>
                </c:pt>
                <c:pt idx="2932">
                  <c:v>2.9319999999999999</c:v>
                </c:pt>
                <c:pt idx="2933">
                  <c:v>2.9329999999999998</c:v>
                </c:pt>
                <c:pt idx="2934">
                  <c:v>2.9340000000000002</c:v>
                </c:pt>
                <c:pt idx="2935">
                  <c:v>2.9350000000000001</c:v>
                </c:pt>
                <c:pt idx="2936">
                  <c:v>2.9359999999999999</c:v>
                </c:pt>
                <c:pt idx="2937">
                  <c:v>2.9369999999999998</c:v>
                </c:pt>
                <c:pt idx="2938">
                  <c:v>2.9380000000000002</c:v>
                </c:pt>
                <c:pt idx="2939">
                  <c:v>2.9390000000000001</c:v>
                </c:pt>
                <c:pt idx="2940">
                  <c:v>2.94</c:v>
                </c:pt>
                <c:pt idx="2941">
                  <c:v>2.9409999999999998</c:v>
                </c:pt>
                <c:pt idx="2942">
                  <c:v>2.9420000000000002</c:v>
                </c:pt>
                <c:pt idx="2943">
                  <c:v>2.9430000000000001</c:v>
                </c:pt>
                <c:pt idx="2944">
                  <c:v>2.944</c:v>
                </c:pt>
                <c:pt idx="2945">
                  <c:v>2.9449999999999998</c:v>
                </c:pt>
                <c:pt idx="2946">
                  <c:v>2.9460000000000002</c:v>
                </c:pt>
                <c:pt idx="2947">
                  <c:v>2.9470000000000001</c:v>
                </c:pt>
                <c:pt idx="2948">
                  <c:v>2.948</c:v>
                </c:pt>
                <c:pt idx="2949">
                  <c:v>2.9489999999999998</c:v>
                </c:pt>
                <c:pt idx="2950">
                  <c:v>2.95</c:v>
                </c:pt>
                <c:pt idx="2951">
                  <c:v>2.9510000000000001</c:v>
                </c:pt>
                <c:pt idx="2952">
                  <c:v>2.952</c:v>
                </c:pt>
                <c:pt idx="2953">
                  <c:v>2.9529999999999998</c:v>
                </c:pt>
                <c:pt idx="2954">
                  <c:v>2.9540000000000002</c:v>
                </c:pt>
                <c:pt idx="2955">
                  <c:v>2.9550000000000001</c:v>
                </c:pt>
                <c:pt idx="2956">
                  <c:v>2.956</c:v>
                </c:pt>
                <c:pt idx="2957">
                  <c:v>2.9569999999999999</c:v>
                </c:pt>
                <c:pt idx="2958">
                  <c:v>2.9580000000000002</c:v>
                </c:pt>
                <c:pt idx="2959">
                  <c:v>2.9590000000000001</c:v>
                </c:pt>
                <c:pt idx="2960">
                  <c:v>2.96</c:v>
                </c:pt>
                <c:pt idx="2961">
                  <c:v>2.9609999999999999</c:v>
                </c:pt>
                <c:pt idx="2962">
                  <c:v>2.9620000000000002</c:v>
                </c:pt>
                <c:pt idx="2963">
                  <c:v>2.9630000000000001</c:v>
                </c:pt>
                <c:pt idx="2964">
                  <c:v>2.964</c:v>
                </c:pt>
                <c:pt idx="2965">
                  <c:v>2.9649999999999999</c:v>
                </c:pt>
                <c:pt idx="2966">
                  <c:v>2.9660000000000002</c:v>
                </c:pt>
                <c:pt idx="2967">
                  <c:v>2.9670000000000001</c:v>
                </c:pt>
                <c:pt idx="2968">
                  <c:v>2.968</c:v>
                </c:pt>
                <c:pt idx="2969">
                  <c:v>2.9689999999999999</c:v>
                </c:pt>
                <c:pt idx="2970">
                  <c:v>2.97</c:v>
                </c:pt>
                <c:pt idx="2971">
                  <c:v>2.9710000000000001</c:v>
                </c:pt>
                <c:pt idx="2972">
                  <c:v>2.972</c:v>
                </c:pt>
                <c:pt idx="2973">
                  <c:v>2.9729999999999999</c:v>
                </c:pt>
                <c:pt idx="2974">
                  <c:v>2.9740000000000002</c:v>
                </c:pt>
                <c:pt idx="2975">
                  <c:v>2.9750000000000001</c:v>
                </c:pt>
                <c:pt idx="2976">
                  <c:v>2.976</c:v>
                </c:pt>
                <c:pt idx="2977">
                  <c:v>2.9769999999999999</c:v>
                </c:pt>
                <c:pt idx="2978">
                  <c:v>2.9780000000000002</c:v>
                </c:pt>
                <c:pt idx="2979">
                  <c:v>2.9790000000000001</c:v>
                </c:pt>
                <c:pt idx="2980">
                  <c:v>2.98</c:v>
                </c:pt>
                <c:pt idx="2981">
                  <c:v>2.9809999999999999</c:v>
                </c:pt>
                <c:pt idx="2982">
                  <c:v>2.9820000000000002</c:v>
                </c:pt>
                <c:pt idx="2983">
                  <c:v>2.9830000000000001</c:v>
                </c:pt>
                <c:pt idx="2984">
                  <c:v>2.984</c:v>
                </c:pt>
                <c:pt idx="2985">
                  <c:v>2.9849999999999999</c:v>
                </c:pt>
                <c:pt idx="2986">
                  <c:v>2.9860000000000002</c:v>
                </c:pt>
                <c:pt idx="2987">
                  <c:v>2.9870000000000001</c:v>
                </c:pt>
                <c:pt idx="2988">
                  <c:v>2.988</c:v>
                </c:pt>
                <c:pt idx="2989">
                  <c:v>2.9889999999999999</c:v>
                </c:pt>
                <c:pt idx="2990">
                  <c:v>2.99</c:v>
                </c:pt>
                <c:pt idx="2991">
                  <c:v>2.9910000000000001</c:v>
                </c:pt>
                <c:pt idx="2992">
                  <c:v>2.992</c:v>
                </c:pt>
                <c:pt idx="2993">
                  <c:v>2.9929999999999999</c:v>
                </c:pt>
                <c:pt idx="2994">
                  <c:v>2.9940000000000002</c:v>
                </c:pt>
                <c:pt idx="2995">
                  <c:v>2.9950000000000001</c:v>
                </c:pt>
                <c:pt idx="2996">
                  <c:v>2.996</c:v>
                </c:pt>
                <c:pt idx="2997">
                  <c:v>2.9969999999999999</c:v>
                </c:pt>
                <c:pt idx="2998">
                  <c:v>2.9980000000000002</c:v>
                </c:pt>
                <c:pt idx="2999">
                  <c:v>2.9990000000000001</c:v>
                </c:pt>
                <c:pt idx="3000">
                  <c:v>3</c:v>
                </c:pt>
                <c:pt idx="3001">
                  <c:v>3.0009999999999999</c:v>
                </c:pt>
                <c:pt idx="3002">
                  <c:v>3.0019999999999998</c:v>
                </c:pt>
                <c:pt idx="3003">
                  <c:v>3.0030000000000001</c:v>
                </c:pt>
                <c:pt idx="3004">
                  <c:v>3.004</c:v>
                </c:pt>
                <c:pt idx="3005">
                  <c:v>3.0049999999999999</c:v>
                </c:pt>
                <c:pt idx="3006">
                  <c:v>3.0059999999999998</c:v>
                </c:pt>
                <c:pt idx="3007">
                  <c:v>3.0070000000000001</c:v>
                </c:pt>
                <c:pt idx="3008">
                  <c:v>3.008</c:v>
                </c:pt>
                <c:pt idx="3009">
                  <c:v>3.0089999999999999</c:v>
                </c:pt>
                <c:pt idx="3010">
                  <c:v>3.01</c:v>
                </c:pt>
                <c:pt idx="3011">
                  <c:v>3.0110000000000001</c:v>
                </c:pt>
                <c:pt idx="3012">
                  <c:v>3.012</c:v>
                </c:pt>
                <c:pt idx="3013">
                  <c:v>3.0129999999999999</c:v>
                </c:pt>
                <c:pt idx="3014">
                  <c:v>3.0139999999999998</c:v>
                </c:pt>
                <c:pt idx="3015">
                  <c:v>3.0150000000000001</c:v>
                </c:pt>
                <c:pt idx="3016">
                  <c:v>3.016</c:v>
                </c:pt>
                <c:pt idx="3017">
                  <c:v>3.0169999999999999</c:v>
                </c:pt>
                <c:pt idx="3018">
                  <c:v>3.0179999999999998</c:v>
                </c:pt>
                <c:pt idx="3019">
                  <c:v>3.0190000000000001</c:v>
                </c:pt>
                <c:pt idx="3020">
                  <c:v>3.02</c:v>
                </c:pt>
                <c:pt idx="3021">
                  <c:v>3.0209999999999999</c:v>
                </c:pt>
                <c:pt idx="3022">
                  <c:v>3.0219999999999998</c:v>
                </c:pt>
                <c:pt idx="3023">
                  <c:v>3.0230000000000001</c:v>
                </c:pt>
                <c:pt idx="3024">
                  <c:v>3.024</c:v>
                </c:pt>
                <c:pt idx="3025">
                  <c:v>3.0249999999999999</c:v>
                </c:pt>
                <c:pt idx="3026">
                  <c:v>3.0259999999999998</c:v>
                </c:pt>
                <c:pt idx="3027">
                  <c:v>3.0270000000000001</c:v>
                </c:pt>
                <c:pt idx="3028">
                  <c:v>3.028</c:v>
                </c:pt>
                <c:pt idx="3029">
                  <c:v>3.0289999999999999</c:v>
                </c:pt>
                <c:pt idx="3030">
                  <c:v>3.03</c:v>
                </c:pt>
                <c:pt idx="3031">
                  <c:v>3.0310000000000001</c:v>
                </c:pt>
                <c:pt idx="3032">
                  <c:v>3.032</c:v>
                </c:pt>
                <c:pt idx="3033">
                  <c:v>3.0329999999999999</c:v>
                </c:pt>
                <c:pt idx="3034">
                  <c:v>3.0339999999999998</c:v>
                </c:pt>
                <c:pt idx="3035">
                  <c:v>3.0350000000000001</c:v>
                </c:pt>
                <c:pt idx="3036">
                  <c:v>3.036</c:v>
                </c:pt>
                <c:pt idx="3037">
                  <c:v>3.0369999999999999</c:v>
                </c:pt>
                <c:pt idx="3038">
                  <c:v>3.0379999999999998</c:v>
                </c:pt>
                <c:pt idx="3039">
                  <c:v>3.0390000000000001</c:v>
                </c:pt>
                <c:pt idx="3040">
                  <c:v>3.04</c:v>
                </c:pt>
                <c:pt idx="3041">
                  <c:v>3.0409999999999999</c:v>
                </c:pt>
                <c:pt idx="3042">
                  <c:v>3.0419999999999998</c:v>
                </c:pt>
                <c:pt idx="3043">
                  <c:v>3.0430000000000001</c:v>
                </c:pt>
                <c:pt idx="3044">
                  <c:v>3.044</c:v>
                </c:pt>
                <c:pt idx="3045">
                  <c:v>3.0449999999999999</c:v>
                </c:pt>
                <c:pt idx="3046">
                  <c:v>3.0459999999999998</c:v>
                </c:pt>
                <c:pt idx="3047">
                  <c:v>3.0470000000000002</c:v>
                </c:pt>
                <c:pt idx="3048">
                  <c:v>3.048</c:v>
                </c:pt>
                <c:pt idx="3049">
                  <c:v>3.0489999999999999</c:v>
                </c:pt>
                <c:pt idx="3050">
                  <c:v>3.05</c:v>
                </c:pt>
                <c:pt idx="3051">
                  <c:v>3.0510000000000002</c:v>
                </c:pt>
                <c:pt idx="3052">
                  <c:v>3.052</c:v>
                </c:pt>
                <c:pt idx="3053">
                  <c:v>3.0529999999999999</c:v>
                </c:pt>
                <c:pt idx="3054">
                  <c:v>3.0539999999999998</c:v>
                </c:pt>
                <c:pt idx="3055">
                  <c:v>3.0550000000000002</c:v>
                </c:pt>
                <c:pt idx="3056">
                  <c:v>3.056</c:v>
                </c:pt>
                <c:pt idx="3057">
                  <c:v>3.0569999999999999</c:v>
                </c:pt>
                <c:pt idx="3058">
                  <c:v>3.0579999999999998</c:v>
                </c:pt>
                <c:pt idx="3059">
                  <c:v>3.0590000000000002</c:v>
                </c:pt>
                <c:pt idx="3060">
                  <c:v>3.06</c:v>
                </c:pt>
                <c:pt idx="3061">
                  <c:v>3.0609999999999999</c:v>
                </c:pt>
                <c:pt idx="3062">
                  <c:v>3.0619999999999998</c:v>
                </c:pt>
                <c:pt idx="3063">
                  <c:v>3.0630000000000002</c:v>
                </c:pt>
                <c:pt idx="3064">
                  <c:v>3.0640000000000001</c:v>
                </c:pt>
                <c:pt idx="3065">
                  <c:v>3.0649999999999999</c:v>
                </c:pt>
                <c:pt idx="3066">
                  <c:v>3.0659999999999998</c:v>
                </c:pt>
                <c:pt idx="3067">
                  <c:v>3.0670000000000002</c:v>
                </c:pt>
                <c:pt idx="3068">
                  <c:v>3.0680000000000001</c:v>
                </c:pt>
                <c:pt idx="3069">
                  <c:v>3.069</c:v>
                </c:pt>
                <c:pt idx="3070">
                  <c:v>3.07</c:v>
                </c:pt>
                <c:pt idx="3071">
                  <c:v>3.0710000000000002</c:v>
                </c:pt>
                <c:pt idx="3072">
                  <c:v>3.0720000000000001</c:v>
                </c:pt>
                <c:pt idx="3073">
                  <c:v>3.073</c:v>
                </c:pt>
                <c:pt idx="3074">
                  <c:v>3.0739999999999998</c:v>
                </c:pt>
                <c:pt idx="3075">
                  <c:v>3.0750000000000002</c:v>
                </c:pt>
                <c:pt idx="3076">
                  <c:v>3.0760000000000001</c:v>
                </c:pt>
                <c:pt idx="3077">
                  <c:v>3.077</c:v>
                </c:pt>
                <c:pt idx="3078">
                  <c:v>3.0779999999999998</c:v>
                </c:pt>
                <c:pt idx="3079">
                  <c:v>3.0790000000000002</c:v>
                </c:pt>
                <c:pt idx="3080">
                  <c:v>3.08</c:v>
                </c:pt>
                <c:pt idx="3081">
                  <c:v>3.081</c:v>
                </c:pt>
                <c:pt idx="3082">
                  <c:v>3.0819999999999999</c:v>
                </c:pt>
                <c:pt idx="3083">
                  <c:v>3.0830000000000002</c:v>
                </c:pt>
                <c:pt idx="3084">
                  <c:v>3.0840000000000001</c:v>
                </c:pt>
                <c:pt idx="3085">
                  <c:v>3.085</c:v>
                </c:pt>
                <c:pt idx="3086">
                  <c:v>3.0859999999999999</c:v>
                </c:pt>
                <c:pt idx="3087">
                  <c:v>3.0870000000000002</c:v>
                </c:pt>
                <c:pt idx="3088">
                  <c:v>3.0880000000000001</c:v>
                </c:pt>
                <c:pt idx="3089">
                  <c:v>3.089</c:v>
                </c:pt>
                <c:pt idx="3090">
                  <c:v>3.09</c:v>
                </c:pt>
                <c:pt idx="3091">
                  <c:v>3.0910000000000002</c:v>
                </c:pt>
                <c:pt idx="3092">
                  <c:v>3.0920000000000001</c:v>
                </c:pt>
                <c:pt idx="3093">
                  <c:v>3.093</c:v>
                </c:pt>
                <c:pt idx="3094">
                  <c:v>3.0939999999999999</c:v>
                </c:pt>
                <c:pt idx="3095">
                  <c:v>3.0950000000000002</c:v>
                </c:pt>
                <c:pt idx="3096">
                  <c:v>3.0960000000000001</c:v>
                </c:pt>
                <c:pt idx="3097">
                  <c:v>3.097</c:v>
                </c:pt>
                <c:pt idx="3098">
                  <c:v>3.0979999999999999</c:v>
                </c:pt>
                <c:pt idx="3099">
                  <c:v>3.0990000000000002</c:v>
                </c:pt>
                <c:pt idx="3100">
                  <c:v>3.1</c:v>
                </c:pt>
                <c:pt idx="3101">
                  <c:v>3.101</c:v>
                </c:pt>
                <c:pt idx="3102">
                  <c:v>3.1019999999999999</c:v>
                </c:pt>
                <c:pt idx="3103">
                  <c:v>3.1030000000000002</c:v>
                </c:pt>
                <c:pt idx="3104">
                  <c:v>3.1040000000000001</c:v>
                </c:pt>
                <c:pt idx="3105">
                  <c:v>3.105</c:v>
                </c:pt>
                <c:pt idx="3106">
                  <c:v>3.1059999999999999</c:v>
                </c:pt>
                <c:pt idx="3107">
                  <c:v>3.1070000000000002</c:v>
                </c:pt>
                <c:pt idx="3108">
                  <c:v>3.1080000000000001</c:v>
                </c:pt>
                <c:pt idx="3109">
                  <c:v>3.109</c:v>
                </c:pt>
                <c:pt idx="3110">
                  <c:v>3.11</c:v>
                </c:pt>
                <c:pt idx="3111">
                  <c:v>3.1110000000000002</c:v>
                </c:pt>
                <c:pt idx="3112">
                  <c:v>3.1120000000000001</c:v>
                </c:pt>
                <c:pt idx="3113">
                  <c:v>3.113</c:v>
                </c:pt>
                <c:pt idx="3114">
                  <c:v>3.1139999999999999</c:v>
                </c:pt>
                <c:pt idx="3115">
                  <c:v>3.1150000000000002</c:v>
                </c:pt>
                <c:pt idx="3116">
                  <c:v>3.1160000000000001</c:v>
                </c:pt>
                <c:pt idx="3117">
                  <c:v>3.117</c:v>
                </c:pt>
                <c:pt idx="3118">
                  <c:v>3.1179999999999999</c:v>
                </c:pt>
                <c:pt idx="3119">
                  <c:v>3.1190000000000002</c:v>
                </c:pt>
                <c:pt idx="3120">
                  <c:v>3.12</c:v>
                </c:pt>
                <c:pt idx="3121">
                  <c:v>3.121</c:v>
                </c:pt>
                <c:pt idx="3122">
                  <c:v>3.1219999999999999</c:v>
                </c:pt>
                <c:pt idx="3123">
                  <c:v>3.1230000000000002</c:v>
                </c:pt>
                <c:pt idx="3124">
                  <c:v>3.1240000000000001</c:v>
                </c:pt>
                <c:pt idx="3125">
                  <c:v>3.125</c:v>
                </c:pt>
                <c:pt idx="3126">
                  <c:v>3.1259999999999999</c:v>
                </c:pt>
                <c:pt idx="3127">
                  <c:v>3.1269999999999998</c:v>
                </c:pt>
                <c:pt idx="3128">
                  <c:v>3.1280000000000001</c:v>
                </c:pt>
                <c:pt idx="3129">
                  <c:v>3.129</c:v>
                </c:pt>
                <c:pt idx="3130">
                  <c:v>3.13</c:v>
                </c:pt>
                <c:pt idx="3131">
                  <c:v>3.1309999999999998</c:v>
                </c:pt>
                <c:pt idx="3132">
                  <c:v>3.1320000000000001</c:v>
                </c:pt>
                <c:pt idx="3133">
                  <c:v>3.133</c:v>
                </c:pt>
                <c:pt idx="3134">
                  <c:v>3.1339999999999999</c:v>
                </c:pt>
                <c:pt idx="3135">
                  <c:v>3.1349999999999998</c:v>
                </c:pt>
                <c:pt idx="3136">
                  <c:v>3.1360000000000001</c:v>
                </c:pt>
                <c:pt idx="3137">
                  <c:v>3.137</c:v>
                </c:pt>
                <c:pt idx="3138">
                  <c:v>3.1379999999999999</c:v>
                </c:pt>
                <c:pt idx="3139">
                  <c:v>3.1389999999999998</c:v>
                </c:pt>
                <c:pt idx="3140">
                  <c:v>3.14</c:v>
                </c:pt>
                <c:pt idx="3141">
                  <c:v>3.141</c:v>
                </c:pt>
                <c:pt idx="3142">
                  <c:v>3.1419999999999999</c:v>
                </c:pt>
                <c:pt idx="3143">
                  <c:v>3.1429999999999998</c:v>
                </c:pt>
                <c:pt idx="3144">
                  <c:v>3.1440000000000001</c:v>
                </c:pt>
                <c:pt idx="3145">
                  <c:v>3.145</c:v>
                </c:pt>
                <c:pt idx="3146">
                  <c:v>3.1459999999999999</c:v>
                </c:pt>
                <c:pt idx="3147">
                  <c:v>3.1469999999999998</c:v>
                </c:pt>
                <c:pt idx="3148">
                  <c:v>3.1480000000000001</c:v>
                </c:pt>
                <c:pt idx="3149">
                  <c:v>3.149</c:v>
                </c:pt>
                <c:pt idx="3150">
                  <c:v>3.15</c:v>
                </c:pt>
                <c:pt idx="3151">
                  <c:v>3.1509999999999998</c:v>
                </c:pt>
                <c:pt idx="3152">
                  <c:v>3.1520000000000001</c:v>
                </c:pt>
                <c:pt idx="3153">
                  <c:v>3.153</c:v>
                </c:pt>
                <c:pt idx="3154">
                  <c:v>3.1539999999999999</c:v>
                </c:pt>
                <c:pt idx="3155">
                  <c:v>3.1549999999999998</c:v>
                </c:pt>
                <c:pt idx="3156">
                  <c:v>3.1560000000000001</c:v>
                </c:pt>
                <c:pt idx="3157">
                  <c:v>3.157</c:v>
                </c:pt>
                <c:pt idx="3158">
                  <c:v>3.1579999999999999</c:v>
                </c:pt>
                <c:pt idx="3159">
                  <c:v>3.1589999999999998</c:v>
                </c:pt>
                <c:pt idx="3160">
                  <c:v>3.16</c:v>
                </c:pt>
                <c:pt idx="3161">
                  <c:v>3.161</c:v>
                </c:pt>
                <c:pt idx="3162">
                  <c:v>3.1619999999999999</c:v>
                </c:pt>
                <c:pt idx="3163">
                  <c:v>3.1629999999999998</c:v>
                </c:pt>
                <c:pt idx="3164">
                  <c:v>3.1640000000000001</c:v>
                </c:pt>
                <c:pt idx="3165">
                  <c:v>3.165</c:v>
                </c:pt>
                <c:pt idx="3166">
                  <c:v>3.1659999999999999</c:v>
                </c:pt>
                <c:pt idx="3167">
                  <c:v>3.1669999999999998</c:v>
                </c:pt>
                <c:pt idx="3168">
                  <c:v>3.1680000000000001</c:v>
                </c:pt>
                <c:pt idx="3169">
                  <c:v>3.169</c:v>
                </c:pt>
                <c:pt idx="3170">
                  <c:v>3.17</c:v>
                </c:pt>
                <c:pt idx="3171">
                  <c:v>3.1709999999999998</c:v>
                </c:pt>
                <c:pt idx="3172">
                  <c:v>3.1720000000000002</c:v>
                </c:pt>
                <c:pt idx="3173">
                  <c:v>3.173</c:v>
                </c:pt>
                <c:pt idx="3174">
                  <c:v>3.1739999999999999</c:v>
                </c:pt>
                <c:pt idx="3175">
                  <c:v>3.1749999999999998</c:v>
                </c:pt>
                <c:pt idx="3176">
                  <c:v>3.1760000000000002</c:v>
                </c:pt>
                <c:pt idx="3177">
                  <c:v>3.177</c:v>
                </c:pt>
                <c:pt idx="3178">
                  <c:v>3.1779999999999999</c:v>
                </c:pt>
                <c:pt idx="3179">
                  <c:v>3.1789999999999998</c:v>
                </c:pt>
                <c:pt idx="3180">
                  <c:v>3.18</c:v>
                </c:pt>
                <c:pt idx="3181">
                  <c:v>3.181</c:v>
                </c:pt>
                <c:pt idx="3182">
                  <c:v>3.1819999999999999</c:v>
                </c:pt>
                <c:pt idx="3183">
                  <c:v>3.1829999999999998</c:v>
                </c:pt>
                <c:pt idx="3184">
                  <c:v>3.1840000000000002</c:v>
                </c:pt>
                <c:pt idx="3185">
                  <c:v>3.1850000000000001</c:v>
                </c:pt>
                <c:pt idx="3186">
                  <c:v>3.1859999999999999</c:v>
                </c:pt>
                <c:pt idx="3187">
                  <c:v>3.1869999999999998</c:v>
                </c:pt>
                <c:pt idx="3188">
                  <c:v>3.1880000000000002</c:v>
                </c:pt>
                <c:pt idx="3189">
                  <c:v>3.1890000000000001</c:v>
                </c:pt>
                <c:pt idx="3190">
                  <c:v>3.19</c:v>
                </c:pt>
                <c:pt idx="3191">
                  <c:v>3.1909999999999998</c:v>
                </c:pt>
                <c:pt idx="3192">
                  <c:v>3.1920000000000002</c:v>
                </c:pt>
                <c:pt idx="3193">
                  <c:v>3.1930000000000001</c:v>
                </c:pt>
                <c:pt idx="3194">
                  <c:v>3.194</c:v>
                </c:pt>
                <c:pt idx="3195">
                  <c:v>3.1949999999999998</c:v>
                </c:pt>
                <c:pt idx="3196">
                  <c:v>3.1960000000000002</c:v>
                </c:pt>
                <c:pt idx="3197">
                  <c:v>3.1970000000000001</c:v>
                </c:pt>
                <c:pt idx="3198">
                  <c:v>3.198</c:v>
                </c:pt>
                <c:pt idx="3199">
                  <c:v>3.1989999999999998</c:v>
                </c:pt>
                <c:pt idx="3200">
                  <c:v>3.2</c:v>
                </c:pt>
                <c:pt idx="3201">
                  <c:v>3.2010000000000001</c:v>
                </c:pt>
                <c:pt idx="3202">
                  <c:v>3.202</c:v>
                </c:pt>
                <c:pt idx="3203">
                  <c:v>3.2029999999999998</c:v>
                </c:pt>
                <c:pt idx="3204">
                  <c:v>3.2040000000000002</c:v>
                </c:pt>
                <c:pt idx="3205">
                  <c:v>3.2050000000000001</c:v>
                </c:pt>
                <c:pt idx="3206">
                  <c:v>3.206</c:v>
                </c:pt>
                <c:pt idx="3207">
                  <c:v>3.2069999999999999</c:v>
                </c:pt>
                <c:pt idx="3208">
                  <c:v>3.2080000000000002</c:v>
                </c:pt>
                <c:pt idx="3209">
                  <c:v>3.2090000000000001</c:v>
                </c:pt>
                <c:pt idx="3210">
                  <c:v>3.21</c:v>
                </c:pt>
                <c:pt idx="3211">
                  <c:v>3.2109999999999999</c:v>
                </c:pt>
                <c:pt idx="3212">
                  <c:v>3.2120000000000002</c:v>
                </c:pt>
                <c:pt idx="3213">
                  <c:v>3.2130000000000001</c:v>
                </c:pt>
                <c:pt idx="3214">
                  <c:v>3.214</c:v>
                </c:pt>
                <c:pt idx="3215">
                  <c:v>3.2149999999999999</c:v>
                </c:pt>
                <c:pt idx="3216">
                  <c:v>3.2160000000000002</c:v>
                </c:pt>
                <c:pt idx="3217">
                  <c:v>3.2170000000000001</c:v>
                </c:pt>
                <c:pt idx="3218">
                  <c:v>3.218</c:v>
                </c:pt>
                <c:pt idx="3219">
                  <c:v>3.2189999999999999</c:v>
                </c:pt>
                <c:pt idx="3220">
                  <c:v>3.22</c:v>
                </c:pt>
                <c:pt idx="3221">
                  <c:v>3.2210000000000001</c:v>
                </c:pt>
                <c:pt idx="3222">
                  <c:v>3.222</c:v>
                </c:pt>
                <c:pt idx="3223">
                  <c:v>3.2229999999999999</c:v>
                </c:pt>
                <c:pt idx="3224">
                  <c:v>3.2240000000000002</c:v>
                </c:pt>
                <c:pt idx="3225">
                  <c:v>3.2250000000000001</c:v>
                </c:pt>
                <c:pt idx="3226">
                  <c:v>3.226</c:v>
                </c:pt>
                <c:pt idx="3227">
                  <c:v>3.2269999999999999</c:v>
                </c:pt>
                <c:pt idx="3228">
                  <c:v>3.2280000000000002</c:v>
                </c:pt>
                <c:pt idx="3229">
                  <c:v>3.2290000000000001</c:v>
                </c:pt>
              </c:numCache>
            </c:numRef>
          </c:xVal>
          <c:yVal>
            <c:numRef>
              <c:f>Sheet2!$C$2:$C$3231</c:f>
              <c:numCache>
                <c:formatCode>General</c:formatCode>
                <c:ptCount val="3230"/>
                <c:pt idx="0">
                  <c:v>20</c:v>
                </c:pt>
                <c:pt idx="1">
                  <c:v>19.996735159366516</c:v>
                </c:pt>
                <c:pt idx="2">
                  <c:v>19.986949565236689</c:v>
                </c:pt>
                <c:pt idx="3">
                  <c:v>19.970658186818465</c:v>
                </c:pt>
                <c:pt idx="4">
                  <c:v>19.947878089683286</c:v>
                </c:pt>
                <c:pt idx="5">
                  <c:v>19.918628426410425</c:v>
                </c:pt>
                <c:pt idx="6">
                  <c:v>19.882930426567139</c:v>
                </c:pt>
                <c:pt idx="7">
                  <c:v>19.840807386028931</c:v>
                </c:pt>
                <c:pt idx="8">
                  <c:v>19.792284655644739</c:v>
                </c:pt>
                <c:pt idx="9">
                  <c:v>19.737389629251851</c:v>
                </c:pt>
                <c:pt idx="10">
                  <c:v>19.676151731045685</c:v>
                </c:pt>
                <c:pt idx="11">
                  <c:v>19.608602402309668</c:v>
                </c:pt>
                <c:pt idx="12">
                  <c:v>19.534775087510745</c:v>
                </c:pt>
                <c:pt idx="13">
                  <c:v>19.454705219766204</c:v>
                </c:pt>
                <c:pt idx="14">
                  <c:v>19.368430205687638</c:v>
                </c:pt>
                <c:pt idx="15">
                  <c:v>19.275989409608187</c:v>
                </c:pt>
                <c:pt idx="16">
                  <c:v>19.177424137199289</c:v>
                </c:pt>
                <c:pt idx="17">
                  <c:v>19.072777618483375</c:v>
                </c:pt>
                <c:pt idx="18">
                  <c:v>18.962094990249163</c:v>
                </c:pt>
                <c:pt idx="19">
                  <c:v>18.845423277876385</c:v>
                </c:pt>
                <c:pt idx="20">
                  <c:v>18.72281137657691</c:v>
                </c:pt>
                <c:pt idx="21">
                  <c:v>18.594310032059429</c:v>
                </c:pt>
                <c:pt idx="22">
                  <c:v>18.459971820625157</c:v>
                </c:pt>
                <c:pt idx="23">
                  <c:v>18.319851128701906</c:v>
                </c:pt>
                <c:pt idx="24">
                  <c:v>18.174004131824386</c:v>
                </c:pt>
                <c:pt idx="25">
                  <c:v>18.022488773068503</c:v>
                </c:pt>
                <c:pt idx="26">
                  <c:v>17.865364740947683</c:v>
                </c:pt>
                <c:pt idx="27">
                  <c:v>17.702693446779445</c:v>
                </c:pt>
                <c:pt idx="28">
                  <c:v>17.534538001530546</c:v>
                </c:pt>
                <c:pt idx="29">
                  <c:v>17.360963192149196</c:v>
                </c:pt>
                <c:pt idx="30">
                  <c:v>17.182035457392988</c:v>
                </c:pt>
                <c:pt idx="31">
                  <c:v>16.997822863161371</c:v>
                </c:pt>
                <c:pt idx="32">
                  <c:v>16.808395077341569</c:v>
                </c:pt>
                <c:pt idx="33">
                  <c:v>16.613823344177064</c:v>
                </c:pt>
                <c:pt idx="34">
                  <c:v>16.414180458167891</c:v>
                </c:pt>
                <c:pt idx="35">
                  <c:v>16.20954073751205</c:v>
                </c:pt>
                <c:pt idx="36">
                  <c:v>15.999979997097563</c:v>
                </c:pt>
                <c:pt idx="37">
                  <c:v>15.785575521054831</c:v>
                </c:pt>
                <c:pt idx="38">
                  <c:v>15.566406034879016</c:v>
                </c:pt>
                <c:pt idx="39">
                  <c:v>15.342551677132292</c:v>
                </c:pt>
                <c:pt idx="40">
                  <c:v>15.114093970736004</c:v>
                </c:pt>
                <c:pt idx="41">
                  <c:v>14.881115793862872</c:v>
                </c:pt>
                <c:pt idx="42">
                  <c:v>14.643701350439361</c:v>
                </c:pt>
                <c:pt idx="43">
                  <c:v>14.401936140268672</c:v>
                </c:pt>
                <c:pt idx="44">
                  <c:v>14.15590692878467</c:v>
                </c:pt>
                <c:pt idx="45">
                  <c:v>13.9057017164474</c:v>
                </c:pt>
                <c:pt idx="46">
                  <c:v>13.651409707790744</c:v>
                </c:pt>
                <c:pt idx="47">
                  <c:v>13.393121280132995</c:v>
                </c:pt>
                <c:pt idx="48">
                  <c:v>13.130927951961132</c:v>
                </c:pt>
                <c:pt idx="49">
                  <c:v>12.864922350999763</c:v>
                </c:pt>
                <c:pt idx="50">
                  <c:v>12.595198181975654</c:v>
                </c:pt>
                <c:pt idx="51">
                  <c:v>12.321850194088972</c:v>
                </c:pt>
                <c:pt idx="52">
                  <c:v>12.044974148202353</c:v>
                </c:pt>
                <c:pt idx="53">
                  <c:v>11.764666783759058</c:v>
                </c:pt>
                <c:pt idx="54">
                  <c:v>11.481025785441437</c:v>
                </c:pt>
                <c:pt idx="55">
                  <c:v>11.194149749581111</c:v>
                </c:pt>
                <c:pt idx="56">
                  <c:v>10.904138150332265</c:v>
                </c:pt>
                <c:pt idx="57">
                  <c:v>10.6110913056195</c:v>
                </c:pt>
                <c:pt idx="58">
                  <c:v>10.315110342871789</c:v>
                </c:pt>
                <c:pt idx="59">
                  <c:v>10.016297164554134</c:v>
                </c:pt>
                <c:pt idx="60">
                  <c:v>9.7147544135084249</c:v>
                </c:pt>
                <c:pt idx="61">
                  <c:v>9.4105854381153318</c:v>
                </c:pt>
                <c:pt idx="62">
                  <c:v>9.103894257288788</c:v>
                </c:pt>
                <c:pt idx="63">
                  <c:v>8.7947855253147988</c:v>
                </c:pt>
                <c:pt idx="64">
                  <c:v>8.4833644965464465</c:v>
                </c:pt>
                <c:pt idx="65">
                  <c:v>8.169736989966724</c:v>
                </c:pt>
                <c:pt idx="66">
                  <c:v>7.8540093536311302</c:v>
                </c:pt>
                <c:pt idx="67">
                  <c:v>7.5362884290017549</c:v>
                </c:pt>
                <c:pt idx="68">
                  <c:v>7.2166815151847423</c:v>
                </c:pt>
                <c:pt idx="69">
                  <c:v>6.8952963330829746</c:v>
                </c:pt>
                <c:pt idx="70">
                  <c:v>6.5722409894758229</c:v>
                </c:pt>
                <c:pt idx="71">
                  <c:v>6.2476239410377934</c:v>
                </c:pt>
                <c:pt idx="72">
                  <c:v>5.921553958307971</c:v>
                </c:pt>
                <c:pt idx="73">
                  <c:v>5.5941400896220941</c:v>
                </c:pt>
                <c:pt idx="74">
                  <c:v>5.265491625019064</c:v>
                </c:pt>
                <c:pt idx="75">
                  <c:v>4.9357180601337891</c:v>
                </c:pt>
                <c:pt idx="76">
                  <c:v>4.6049290600880601</c:v>
                </c:pt>
                <c:pt idx="77">
                  <c:v>4.2732344233913908</c:v>
                </c:pt>
                <c:pt idx="78">
                  <c:v>3.9407440458634544</c:v>
                </c:pt>
                <c:pt idx="79">
                  <c:v>3.6075678845899368</c:v>
                </c:pt>
                <c:pt idx="80">
                  <c:v>3.2738159219234868</c:v>
                </c:pt>
                <c:pt idx="81">
                  <c:v>2.9395981295413929</c:v>
                </c:pt>
                <c:pt idx="82">
                  <c:v>2.6050244325716929</c:v>
                </c:pt>
                <c:pt idx="83">
                  <c:v>2.2702046737992299</c:v>
                </c:pt>
                <c:pt idx="84">
                  <c:v>1.9352485779632449</c:v>
                </c:pt>
                <c:pt idx="85">
                  <c:v>1.6002657161579348</c:v>
                </c:pt>
                <c:pt idx="86">
                  <c:v>1.265365470347483</c:v>
                </c:pt>
                <c:pt idx="87">
                  <c:v>0.93065699800686319</c:v>
                </c:pt>
                <c:pt idx="88">
                  <c:v>0.59624919689980349</c:v>
                </c:pt>
                <c:pt idx="89">
                  <c:v>0.26225067000510061</c:v>
                </c:pt>
                <c:pt idx="90">
                  <c:v>-7.1230309397532651E-2</c:v>
                </c:pt>
                <c:pt idx="91">
                  <c:v>-0.40408583247092855</c:v>
                </c:pt>
                <c:pt idx="92">
                  <c:v>-0.73620838938225919</c:v>
                </c:pt>
                <c:pt idx="93">
                  <c:v>-1.0674909036721658</c:v>
                </c:pt>
                <c:pt idx="94">
                  <c:v>-1.397826766420416</c:v>
                </c:pt>
                <c:pt idx="95">
                  <c:v>-1.7271098701972261</c:v>
                </c:pt>
                <c:pt idx="96">
                  <c:v>-2.0552346427896171</c:v>
                </c:pt>
                <c:pt idx="97">
                  <c:v>-2.3820960806921594</c:v>
                </c:pt>
                <c:pt idx="98">
                  <c:v>-2.7075897823516537</c:v>
                </c:pt>
                <c:pt idx="99">
                  <c:v>-3.0316119811552813</c:v>
                </c:pt>
                <c:pt idx="100">
                  <c:v>-3.3540595781519507</c:v>
                </c:pt>
                <c:pt idx="101">
                  <c:v>-3.6748301744966585</c:v>
                </c:pt>
                <c:pt idx="102">
                  <c:v>-3.9938221036077191</c:v>
                </c:pt>
                <c:pt idx="103">
                  <c:v>-4.3109344630269923</c:v>
                </c:pt>
                <c:pt idx="104">
                  <c:v>-4.6260671459730931</c:v>
                </c:pt>
                <c:pt idx="105">
                  <c:v>-4.9391208725779849</c:v>
                </c:pt>
                <c:pt idx="106">
                  <c:v>-5.2499972207972565</c:v>
                </c:pt>
                <c:pt idx="107">
                  <c:v>-5.5585986569845778</c:v>
                </c:pt>
                <c:pt idx="108">
                  <c:v>-5.8648285661210249</c:v>
                </c:pt>
                <c:pt idx="109">
                  <c:v>-6.1685912816899471</c:v>
                </c:pt>
                <c:pt idx="110">
                  <c:v>-6.4697921151883415</c:v>
                </c:pt>
                <c:pt idx="111">
                  <c:v>-6.7683373852656894</c:v>
                </c:pt>
                <c:pt idx="112">
                  <c:v>-7.0641344464814999</c:v>
                </c:pt>
                <c:pt idx="113">
                  <c:v>-7.3570917176727662</c:v>
                </c:pt>
                <c:pt idx="114">
                  <c:v>-7.6471187099228706</c:v>
                </c:pt>
                <c:pt idx="115">
                  <c:v>-7.9341260541234613</c:v>
                </c:pt>
                <c:pt idx="116">
                  <c:v>-8.2180255281210997</c:v>
                </c:pt>
                <c:pt idx="117">
                  <c:v>-8.4987300834404671</c:v>
                </c:pt>
                <c:pt idx="118">
                  <c:v>-8.7761538715763425</c:v>
                </c:pt>
                <c:pt idx="119">
                  <c:v>-9.0502122698463943</c:v>
                </c:pt>
                <c:pt idx="120">
                  <c:v>-9.3208219067971534</c:v>
                </c:pt>
                <c:pt idx="121">
                  <c:v>-9.5879006871558072</c:v>
                </c:pt>
                <c:pt idx="122">
                  <c:v>-9.8513678163203444</c:v>
                </c:pt>
                <c:pt idx="123">
                  <c:v>-10.111143824381003</c:v>
                </c:pt>
                <c:pt idx="124">
                  <c:v>-10.367150589665947</c:v>
                </c:pt>
                <c:pt idx="125">
                  <c:v>-10.619311361804369</c:v>
                </c:pt>
                <c:pt idx="126">
                  <c:v>-10.867550784300422</c:v>
                </c:pt>
                <c:pt idx="127">
                  <c:v>-11.111794916611377</c:v>
                </c:pt>
                <c:pt idx="128">
                  <c:v>-11.351971255723832</c:v>
                </c:pt>
                <c:pt idx="129">
                  <c:v>-11.588008757221715</c:v>
                </c:pt>
                <c:pt idx="130">
                  <c:v>-11.81983785584022</c:v>
                </c:pt>
                <c:pt idx="131">
                  <c:v>-12.047390485499797</c:v>
                </c:pt>
                <c:pt idx="132">
                  <c:v>-12.270600098814729</c:v>
                </c:pt>
                <c:pt idx="133">
                  <c:v>-12.489401686070732</c:v>
                </c:pt>
                <c:pt idx="134">
                  <c:v>-12.70373179366643</c:v>
                </c:pt>
                <c:pt idx="135">
                  <c:v>-12.913528542013662</c:v>
                </c:pt>
                <c:pt idx="136">
                  <c:v>-13.118731642891694</c:v>
                </c:pt>
                <c:pt idx="137">
                  <c:v>-13.319282416250699</c:v>
                </c:pt>
                <c:pt idx="138">
                  <c:v>-13.515123806460039</c:v>
                </c:pt>
                <c:pt idx="139">
                  <c:v>-13.706200397996962</c:v>
                </c:pt>
                <c:pt idx="140">
                  <c:v>-13.892458430571729</c:v>
                </c:pt>
                <c:pt idx="141">
                  <c:v>-14.073845813685113</c:v>
                </c:pt>
                <c:pt idx="142">
                  <c:v>-14.250312140614678</c:v>
                </c:pt>
                <c:pt idx="143">
                  <c:v>-14.421808701826212</c:v>
                </c:pt>
                <c:pt idx="144">
                  <c:v>-14.588288497806948</c:v>
                </c:pt>
                <c:pt idx="145">
                  <c:v>-14.749706251317615</c:v>
                </c:pt>
                <c:pt idx="146">
                  <c:v>-14.906018419060105</c:v>
                </c:pt>
                <c:pt idx="147">
                  <c:v>-15.057183202758226</c:v>
                </c:pt>
                <c:pt idx="148">
                  <c:v>-15.203160559648843</c:v>
                </c:pt>
                <c:pt idx="149">
                  <c:v>-15.343912212381118</c:v>
                </c:pt>
                <c:pt idx="150">
                  <c:v>-15.479401658321677</c:v>
                </c:pt>
                <c:pt idx="151">
                  <c:v>-15.609594178263725</c:v>
                </c:pt>
                <c:pt idx="152">
                  <c:v>-15.734456844538339</c:v>
                </c:pt>
                <c:pt idx="153">
                  <c:v>-15.853958528526395</c:v>
                </c:pt>
                <c:pt idx="154">
                  <c:v>-15.968069907569729</c:v>
                </c:pt>
                <c:pt idx="155">
                  <c:v>-16.076763471280394</c:v>
                </c:pt>
                <c:pt idx="156">
                  <c:v>-16.180013527247024</c:v>
                </c:pt>
                <c:pt idx="157">
                  <c:v>-16.27779620613752</c:v>
                </c:pt>
                <c:pt idx="158">
                  <c:v>-16.370089466197495</c:v>
                </c:pt>
                <c:pt idx="159">
                  <c:v>-16.456873097144118</c:v>
                </c:pt>
                <c:pt idx="160">
                  <c:v>-16.538128723455134</c:v>
                </c:pt>
                <c:pt idx="161">
                  <c:v>-16.613839807053132</c:v>
                </c:pt>
                <c:pt idx="162">
                  <c:v>-16.683991649385227</c:v>
                </c:pt>
                <c:pt idx="163">
                  <c:v>-16.748571392898615</c:v>
                </c:pt>
                <c:pt idx="164">
                  <c:v>-16.807568021912548</c:v>
                </c:pt>
                <c:pt idx="165">
                  <c:v>-16.860972362887626</c:v>
                </c:pt>
                <c:pt idx="166">
                  <c:v>-16.908777084093316</c:v>
                </c:pt>
                <c:pt idx="167">
                  <c:v>-16.950976694674942</c:v>
                </c:pt>
                <c:pt idx="168">
                  <c:v>-16.987567543121521</c:v>
                </c:pt>
                <c:pt idx="169">
                  <c:v>-17.018547815136053</c:v>
                </c:pt>
                <c:pt idx="170">
                  <c:v>-17.043917530909969</c:v>
                </c:pt>
                <c:pt idx="171">
                  <c:v>-17.063678541803807</c:v>
                </c:pt>
                <c:pt idx="172">
                  <c:v>-17.077834526436167</c:v>
                </c:pt>
                <c:pt idx="173">
                  <c:v>-17.08639098618336</c:v>
                </c:pt>
                <c:pt idx="174">
                  <c:v>-17.089355240092264</c:v>
                </c:pt>
                <c:pt idx="175">
                  <c:v>-17.086736419209096</c:v>
                </c:pt>
                <c:pt idx="176">
                  <c:v>-17.078545460327028</c:v>
                </c:pt>
                <c:pt idx="177">
                  <c:v>-17.064795099155685</c:v>
                </c:pt>
                <c:pt idx="178">
                  <c:v>-17.045499862915896</c:v>
                </c:pt>
                <c:pt idx="179">
                  <c:v>-17.020676062363059</c:v>
                </c:pt>
                <c:pt idx="180">
                  <c:v>-16.990341783242769</c:v>
                </c:pt>
                <c:pt idx="181">
                  <c:v>-16.954516877182606</c:v>
                </c:pt>
                <c:pt idx="182">
                  <c:v>-16.913222952023943</c:v>
                </c:pt>
                <c:pt idx="183">
                  <c:v>-16.866483361598071</c:v>
                </c:pt>
                <c:pt idx="184">
                  <c:v>-16.81432319495087</c:v>
                </c:pt>
                <c:pt idx="185">
                  <c:v>-16.756769265020612</c:v>
                </c:pt>
                <c:pt idx="186">
                  <c:v>-16.693850096773584</c:v>
                </c:pt>
                <c:pt idx="187">
                  <c:v>-16.625595914802282</c:v>
                </c:pt>
                <c:pt idx="188">
                  <c:v>-16.552038630391344</c:v>
                </c:pt>
                <c:pt idx="189">
                  <c:v>-16.473211828056272</c:v>
                </c:pt>
                <c:pt idx="190">
                  <c:v>-16.389150751560376</c:v>
                </c:pt>
                <c:pt idx="191">
                  <c:v>-16.299892289415421</c:v>
                </c:pt>
                <c:pt idx="192">
                  <c:v>-16.205474959871566</c:v>
                </c:pt>
                <c:pt idx="193">
                  <c:v>-16.105938895402605</c:v>
                </c:pt>
                <c:pt idx="194">
                  <c:v>-16.001325826692231</c:v>
                </c:pt>
                <c:pt idx="195">
                  <c:v>-15.891679066127699</c:v>
                </c:pt>
                <c:pt idx="196">
                  <c:v>-15.777043490806975</c:v>
                </c:pt>
                <c:pt idx="197">
                  <c:v>-15.65746552506592</c:v>
                </c:pt>
                <c:pt idx="198">
                  <c:v>-15.532993122531993</c:v>
                </c:pt>
                <c:pt idx="199">
                  <c:v>-15.403675747711249</c:v>
                </c:pt>
                <c:pt idx="200">
                  <c:v>-15.269564357115442</c:v>
                </c:pt>
                <c:pt idx="201">
                  <c:v>-15.130711379936267</c:v>
                </c:pt>
                <c:pt idx="202">
                  <c:v>-14.9871706982738</c:v>
                </c:pt>
                <c:pt idx="203">
                  <c:v>-14.838997626926458</c:v>
                </c:pt>
                <c:pt idx="204">
                  <c:v>-14.68624889274983</c:v>
                </c:pt>
                <c:pt idx="205">
                  <c:v>-14.528982613591939</c:v>
                </c:pt>
                <c:pt idx="206">
                  <c:v>-14.367258276812475</c:v>
                </c:pt>
                <c:pt idx="207">
                  <c:v>-14.201136717393929</c:v>
                </c:pt>
                <c:pt idx="208">
                  <c:v>-14.030680095652302</c:v>
                </c:pt>
                <c:pt idx="209">
                  <c:v>-13.855951874555585</c:v>
                </c:pt>
                <c:pt idx="210">
                  <c:v>-13.677016796657949</c:v>
                </c:pt>
                <c:pt idx="211">
                  <c:v>-13.493940860658046</c:v>
                </c:pt>
                <c:pt idx="212">
                  <c:v>-13.306791297589555</c:v>
                </c:pt>
                <c:pt idx="213">
                  <c:v>-13.115636546652558</c:v>
                </c:pt>
                <c:pt idx="214">
                  <c:v>-12.920546230694262</c:v>
                </c:pt>
                <c:pt idx="215">
                  <c:v>-12.72159113134758</c:v>
                </c:pt>
                <c:pt idx="216">
                  <c:v>-12.518843163836504</c:v>
                </c:pt>
                <c:pt idx="217">
                  <c:v>-12.3123753514569</c:v>
                </c:pt>
                <c:pt idx="218">
                  <c:v>-12.102261799741788</c:v>
                </c:pt>
                <c:pt idx="219">
                  <c:v>-11.888577670320007</c:v>
                </c:pt>
                <c:pt idx="220">
                  <c:v>-11.671399154477424</c:v>
                </c:pt>
                <c:pt idx="221">
                  <c:v>-11.450803446429784</c:v>
                </c:pt>
                <c:pt idx="222">
                  <c:v>-11.226868716316526</c:v>
                </c:pt>
                <c:pt idx="223">
                  <c:v>-10.999674082924804</c:v>
                </c:pt>
                <c:pt idx="224">
                  <c:v>-10.769299586153164</c:v>
                </c:pt>
                <c:pt idx="225">
                  <c:v>-10.535826159224285</c:v>
                </c:pt>
                <c:pt idx="226">
                  <c:v>-10.299335600656358</c:v>
                </c:pt>
                <c:pt idx="227">
                  <c:v>-10.059910546002628</c:v>
                </c:pt>
                <c:pt idx="228">
                  <c:v>-9.8176344393688115</c:v>
                </c:pt>
                <c:pt idx="229">
                  <c:v>-9.5725915047180052</c:v>
                </c:pt>
                <c:pt idx="230">
                  <c:v>-9.3248667169729131</c:v>
                </c:pt>
                <c:pt idx="231">
                  <c:v>-9.0745457729251484</c:v>
                </c:pt>
                <c:pt idx="232">
                  <c:v>-8.821715061961422</c:v>
                </c:pt>
                <c:pt idx="233">
                  <c:v>-8.5664616366166459</c:v>
                </c:pt>
                <c:pt idx="234">
                  <c:v>-8.308873182963616</c:v>
                </c:pt>
                <c:pt idx="235">
                  <c:v>-8.04903799084952</c:v>
                </c:pt>
                <c:pt idx="236">
                  <c:v>-7.7870449239890416</c:v>
                </c:pt>
                <c:pt idx="237">
                  <c:v>-7.5229833899242644</c:v>
                </c:pt>
                <c:pt idx="238">
                  <c:v>-7.2569433098612226</c:v>
                </c:pt>
                <c:pt idx="239">
                  <c:v>-6.9890150883933364</c:v>
                </c:pt>
                <c:pt idx="240">
                  <c:v>-6.7192895831217179</c:v>
                </c:pt>
                <c:pt idx="241">
                  <c:v>-6.447858074182502</c:v>
                </c:pt>
                <c:pt idx="242">
                  <c:v>-6.1748122336912674</c:v>
                </c:pt>
                <c:pt idx="243">
                  <c:v>-5.9002440951147799</c:v>
                </c:pt>
                <c:pt idx="244">
                  <c:v>-5.6242460225799613</c:v>
                </c:pt>
                <c:pt idx="245">
                  <c:v>-5.3469106801304935</c:v>
                </c:pt>
                <c:pt idx="246">
                  <c:v>-5.0683310009409883</c:v>
                </c:pt>
                <c:pt idx="247">
                  <c:v>-4.7886001564989229</c:v>
                </c:pt>
                <c:pt idx="248">
                  <c:v>-4.5078115257644384</c:v>
                </c:pt>
                <c:pt idx="249">
                  <c:v>-4.2260586643181242</c:v>
                </c:pt>
                <c:pt idx="250">
                  <c:v>-3.9434352735068638</c:v>
                </c:pt>
                <c:pt idx="251">
                  <c:v>-3.6600351695978248</c:v>
                </c:pt>
                <c:pt idx="252">
                  <c:v>-3.3759522529506385</c:v>
                </c:pt>
                <c:pt idx="253">
                  <c:v>-3.0912804772178055</c:v>
                </c:pt>
                <c:pt idx="254">
                  <c:v>-2.8061138185833285</c:v>
                </c:pt>
                <c:pt idx="255">
                  <c:v>-2.5205462450495353</c:v>
                </c:pt>
                <c:pt idx="256">
                  <c:v>-2.2346716857820383</c:v>
                </c:pt>
                <c:pt idx="257">
                  <c:v>-1.9485840005227262</c:v>
                </c:pt>
                <c:pt idx="258">
                  <c:v>-1.6623769490806506</c:v>
                </c:pt>
                <c:pt idx="259">
                  <c:v>-1.3761441609106067</c:v>
                </c:pt>
                <c:pt idx="260">
                  <c:v>-1.089979104789268</c:v>
                </c:pt>
                <c:pt idx="261">
                  <c:v>-0.80397505859838303</c:v>
                </c:pt>
                <c:pt idx="262">
                  <c:v>-0.5182250792249824</c:v>
                </c:pt>
                <c:pt idx="263">
                  <c:v>-0.23282197258800166</c:v>
                </c:pt>
                <c:pt idx="264">
                  <c:v>5.2141736199042894E-2</c:v>
                </c:pt>
                <c:pt idx="265">
                  <c:v>0.33657383251984724</c:v>
                </c:pt>
                <c:pt idx="266">
                  <c:v>0.62038244179215329</c:v>
                </c:pt>
                <c:pt idx="267">
                  <c:v>0.90347605884025917</c:v>
                </c:pt>
                <c:pt idx="268">
                  <c:v>1.1857635770939221</c:v>
                </c:pt>
                <c:pt idx="269">
                  <c:v>1.4671543176044319</c:v>
                </c:pt>
                <c:pt idx="270">
                  <c:v>1.7475580578687193</c:v>
                </c:pt>
                <c:pt idx="271">
                  <c:v>2.0268850604524329</c:v>
                </c:pt>
                <c:pt idx="272">
                  <c:v>2.3050461014030099</c:v>
                </c:pt>
                <c:pt idx="273">
                  <c:v>2.5819524984438447</c:v>
                </c:pt>
                <c:pt idx="274">
                  <c:v>2.8575161389407486</c:v>
                </c:pt>
                <c:pt idx="275">
                  <c:v>3.131649507631983</c:v>
                </c:pt>
                <c:pt idx="276">
                  <c:v>3.4042657141132566</c:v>
                </c:pt>
                <c:pt idx="277">
                  <c:v>3.6752785200690821</c:v>
                </c:pt>
                <c:pt idx="278">
                  <c:v>3.9446023662422491</c:v>
                </c:pt>
                <c:pt idx="279">
                  <c:v>4.2121523991328429</c:v>
                </c:pt>
                <c:pt idx="280">
                  <c:v>4.4778444974187428</c:v>
                </c:pt>
                <c:pt idx="281">
                  <c:v>4.7415952980894556</c:v>
                </c:pt>
                <c:pt idx="282">
                  <c:v>5.0033222222852078</c:v>
                </c:pt>
                <c:pt idx="283">
                  <c:v>5.2629435008335301</c:v>
                </c:pt>
                <c:pt idx="284">
                  <c:v>5.5203781994753234</c:v>
                </c:pt>
                <c:pt idx="285">
                  <c:v>5.7755462437729816</c:v>
                </c:pt>
                <c:pt idx="286">
                  <c:v>6.0283684436928553</c:v>
                </c:pt>
                <c:pt idx="287">
                  <c:v>6.2787665178546694</c:v>
                </c:pt>
                <c:pt idx="288">
                  <c:v>6.5266631174405809</c:v>
                </c:pt>
                <c:pt idx="289">
                  <c:v>6.7719818497566981</c:v>
                </c:pt>
                <c:pt idx="290">
                  <c:v>7.0146473014399522</c:v>
                </c:pt>
                <c:pt idx="291">
                  <c:v>7.2545850613034668</c:v>
                </c:pt>
                <c:pt idx="292">
                  <c:v>7.4917217428135494</c:v>
                </c:pt>
                <c:pt idx="293">
                  <c:v>7.7259850061916593</c:v>
                </c:pt>
                <c:pt idx="294">
                  <c:v>7.9573035801348331</c:v>
                </c:pt>
                <c:pt idx="295">
                  <c:v>8.1856072831481406</c:v>
                </c:pt>
                <c:pt idx="296">
                  <c:v>8.4108270444829323</c:v>
                </c:pt>
                <c:pt idx="297">
                  <c:v>8.632894924674698</c:v>
                </c:pt>
                <c:pt idx="298">
                  <c:v>8.8517441356746911</c:v>
                </c:pt>
                <c:pt idx="299">
                  <c:v>9.0673090605693165</c:v>
                </c:pt>
                <c:pt idx="300">
                  <c:v>9.2795252728816902</c:v>
                </c:pt>
                <c:pt idx="301">
                  <c:v>9.4883295554498126</c:v>
                </c:pt>
                <c:pt idx="302">
                  <c:v>9.693659918875932</c:v>
                </c:pt>
                <c:pt idx="303">
                  <c:v>9.8954556195418721</c:v>
                </c:pt>
                <c:pt idx="304">
                  <c:v>10.093657177185246</c:v>
                </c:pt>
                <c:pt idx="305">
                  <c:v>10.288206392031535</c:v>
                </c:pt>
                <c:pt idx="306">
                  <c:v>10.47904636147736</c:v>
                </c:pt>
                <c:pt idx="307">
                  <c:v>10.666121496320205</c:v>
                </c:pt>
                <c:pt idx="308">
                  <c:v>10.849377536530167</c:v>
                </c:pt>
                <c:pt idx="309">
                  <c:v>11.028761566559405</c:v>
                </c:pt>
                <c:pt idx="310">
                  <c:v>11.204222030185136</c:v>
                </c:pt>
                <c:pt idx="311">
                  <c:v>11.375708744882138</c:v>
                </c:pt>
                <c:pt idx="312">
                  <c:v>11.543172915720957</c:v>
                </c:pt>
                <c:pt idx="313">
                  <c:v>11.70656714878813</c:v>
                </c:pt>
                <c:pt idx="314">
                  <c:v>11.86584546412487</c:v>
                </c:pt>
                <c:pt idx="315">
                  <c:v>12.020963308180958</c:v>
                </c:pt>
                <c:pt idx="316">
                  <c:v>12.171877565780514</c:v>
                </c:pt>
                <c:pt idx="317">
                  <c:v>12.318546571596737</c:v>
                </c:pt>
                <c:pt idx="318">
                  <c:v>12.460930121132693</c:v>
                </c:pt>
                <c:pt idx="319">
                  <c:v>12.5989894812055</c:v>
                </c:pt>
                <c:pt idx="320">
                  <c:v>12.732687399931345</c:v>
                </c:pt>
                <c:pt idx="321">
                  <c:v>12.861988116209011</c:v>
                </c:pt>
                <c:pt idx="322">
                  <c:v>12.986857368699685</c:v>
                </c:pt>
                <c:pt idx="323">
                  <c:v>13.107262404301084</c:v>
                </c:pt>
                <c:pt idx="324">
                  <c:v>13.223171986113982</c:v>
                </c:pt>
                <c:pt idx="325">
                  <c:v>13.334556400899489</c:v>
                </c:pt>
                <c:pt idx="326">
                  <c:v>13.441387466025578</c:v>
                </c:pt>
                <c:pt idx="327">
                  <c:v>13.543638535901474</c:v>
                </c:pt>
                <c:pt idx="328">
                  <c:v>13.641284507898781</c:v>
                </c:pt>
                <c:pt idx="329">
                  <c:v>13.734301827758308</c:v>
                </c:pt>
                <c:pt idx="330">
                  <c:v>13.82266849448175</c:v>
                </c:pt>
                <c:pt idx="331">
                  <c:v>13.906364064707587</c:v>
                </c:pt>
                <c:pt idx="332">
                  <c:v>13.98536965657069</c:v>
                </c:pt>
                <c:pt idx="333">
                  <c:v>14.059667953045327</c:v>
                </c:pt>
                <c:pt idx="334">
                  <c:v>14.129243204771322</c:v>
                </c:pt>
                <c:pt idx="335">
                  <c:v>14.194081232363551</c:v>
                </c:pt>
                <c:pt idx="336">
                  <c:v>14.254169428204747</c:v>
                </c:pt>
                <c:pt idx="337">
                  <c:v>14.309496757722135</c:v>
                </c:pt>
                <c:pt idx="338">
                  <c:v>14.360053760148309</c:v>
                </c:pt>
                <c:pt idx="339">
                  <c:v>14.405832548767085</c:v>
                </c:pt>
                <c:pt idx="340">
                  <c:v>14.446826810645154</c:v>
                </c:pt>
                <c:pt idx="341">
                  <c:v>14.483031805850549</c:v>
                </c:pt>
                <c:pt idx="342">
                  <c:v>14.514444366159138</c:v>
                </c:pt>
                <c:pt idx="343">
                  <c:v>14.54106289325045</c:v>
                </c:pt>
                <c:pt idx="344">
                  <c:v>14.562887356394397</c:v>
                </c:pt>
                <c:pt idx="345">
                  <c:v>14.579919289630487</c:v>
                </c:pt>
                <c:pt idx="346">
                  <c:v>14.592161788441453</c:v>
                </c:pt>
                <c:pt idx="347">
                  <c:v>14.599619505923227</c:v>
                </c:pt>
                <c:pt idx="348">
                  <c:v>14.602298648453488</c:v>
                </c:pt>
                <c:pt idx="349">
                  <c:v>14.600206970861</c:v>
                </c:pt>
                <c:pt idx="350">
                  <c:v>14.593353771098357</c:v>
                </c:pt>
                <c:pt idx="351">
                  <c:v>14.581749884420613</c:v>
                </c:pt>
                <c:pt idx="352">
                  <c:v>14.565407677072749</c:v>
                </c:pt>
                <c:pt idx="353">
                  <c:v>14.54434103948878</c:v>
                </c:pt>
                <c:pt idx="354">
                  <c:v>14.518565379005731</c:v>
                </c:pt>
                <c:pt idx="355">
                  <c:v>14.488097612095604</c:v>
                </c:pt>
                <c:pt idx="356">
                  <c:v>14.452956156118892</c:v>
                </c:pt>
                <c:pt idx="357">
                  <c:v>14.413160920603039</c:v>
                </c:pt>
                <c:pt idx="358">
                  <c:v>14.368733298049694</c:v>
                </c:pt>
                <c:pt idx="359">
                  <c:v>14.319696154274485</c:v>
                </c:pt>
                <c:pt idx="360">
                  <c:v>14.266073818283434</c:v>
                </c:pt>
                <c:pt idx="361">
                  <c:v>14.20789207169001</c:v>
                </c:pt>
                <c:pt idx="362">
                  <c:v>14.14517813767727</c:v>
                </c:pt>
                <c:pt idx="363">
                  <c:v>14.07796066950934</c:v>
                </c:pt>
                <c:pt idx="364">
                  <c:v>14.00626973859695</c:v>
                </c:pt>
                <c:pt idx="365">
                  <c:v>13.930136822121625</c:v>
                </c:pt>
                <c:pt idx="366">
                  <c:v>13.849594790223403</c:v>
                </c:pt>
                <c:pt idx="367">
                  <c:v>13.764677892757057</c:v>
                </c:pt>
                <c:pt idx="368">
                  <c:v>13.675421745621916</c:v>
                </c:pt>
                <c:pt idx="369">
                  <c:v>13.581863316670493</c:v>
                </c:pt>
                <c:pt idx="370">
                  <c:v>13.484040911201326</c:v>
                </c:pt>
                <c:pt idx="371">
                  <c:v>13.381994157041493</c:v>
                </c:pt>
                <c:pt idx="372">
                  <c:v>13.275763989224368</c:v>
                </c:pt>
                <c:pt idx="373">
                  <c:v>13.165392634268471</c:v>
                </c:pt>
                <c:pt idx="374">
                  <c:v>13.050923594063102</c:v>
                </c:pt>
                <c:pt idx="375">
                  <c:v>12.932401629366881</c:v>
                </c:pt>
                <c:pt idx="376">
                  <c:v>12.80987274292514</c:v>
                </c:pt>
                <c:pt idx="377">
                  <c:v>12.683384162212521</c:v>
                </c:pt>
                <c:pt idx="378">
                  <c:v>12.552984321806925</c:v>
                </c:pt>
                <c:pt idx="379">
                  <c:v>12.418722845401343</c:v>
                </c:pt>
                <c:pt idx="380">
                  <c:v>12.280650527460081</c:v>
                </c:pt>
                <c:pt idx="381">
                  <c:v>12.138819314525932</c:v>
                </c:pt>
                <c:pt idx="382">
                  <c:v>11.993282286185135</c:v>
                </c:pt>
                <c:pt idx="383">
                  <c:v>11.844093635696888</c:v>
                </c:pt>
                <c:pt idx="384">
                  <c:v>11.691308650294305</c:v>
                </c:pt>
                <c:pt idx="385">
                  <c:v>11.53498369116399</c:v>
                </c:pt>
                <c:pt idx="386">
                  <c:v>11.375176173111116</c:v>
                </c:pt>
                <c:pt idx="387">
                  <c:v>11.211944543917433</c:v>
                </c:pt>
                <c:pt idx="388">
                  <c:v>11.045348263399376</c:v>
                </c:pt>
                <c:pt idx="389">
                  <c:v>10.875447782173657</c:v>
                </c:pt>
                <c:pt idx="390">
                  <c:v>10.702304520137849</c:v>
                </c:pt>
                <c:pt idx="391">
                  <c:v>10.525980844673445</c:v>
                </c:pt>
                <c:pt idx="392">
                  <c:v>10.34654004857906</c:v>
                </c:pt>
                <c:pt idx="393">
                  <c:v>10.164046327741408</c:v>
                </c:pt>
                <c:pt idx="394">
                  <c:v>9.9785647585518742</c:v>
                </c:pt>
                <c:pt idx="395">
                  <c:v>9.7901612750764695</c:v>
                </c:pt>
                <c:pt idx="396">
                  <c:v>9.5989026459870779</c:v>
                </c:pt>
                <c:pt idx="397">
                  <c:v>9.4048564512619706</c:v>
                </c:pt>
                <c:pt idx="398">
                  <c:v>9.2080910586635802</c:v>
                </c:pt>
                <c:pt idx="399">
                  <c:v>9.0086756000016504</c:v>
                </c:pt>
                <c:pt idx="400">
                  <c:v>8.8066799471898527</c:v>
                </c:pt>
                <c:pt idx="401">
                  <c:v>8.602174688104089</c:v>
                </c:pt>
                <c:pt idx="402">
                  <c:v>8.3952311022507526</c:v>
                </c:pt>
                <c:pt idx="403">
                  <c:v>8.1859211362530946</c:v>
                </c:pt>
                <c:pt idx="404">
                  <c:v>7.974317379164213</c:v>
                </c:pt>
                <c:pt idx="405">
                  <c:v>7.7604930376148875</c:v>
                </c:pt>
                <c:pt idx="406">
                  <c:v>7.5445219108047663</c:v>
                </c:pt>
                <c:pt idx="407">
                  <c:v>7.326478365345273</c:v>
                </c:pt>
                <c:pt idx="408">
                  <c:v>7.1064373099627254</c:v>
                </c:pt>
                <c:pt idx="409">
                  <c:v>6.8844741700702965</c:v>
                </c:pt>
                <c:pt idx="410">
                  <c:v>6.6606648622171498</c:v>
                </c:pt>
                <c:pt idx="411">
                  <c:v>6.4350857684234519</c:v>
                </c:pt>
                <c:pt idx="412">
                  <c:v>6.207813710409833</c:v>
                </c:pt>
                <c:pt idx="413">
                  <c:v>5.9789259237298324</c:v>
                </c:pt>
                <c:pt idx="414">
                  <c:v>5.7485000318140189</c:v>
                </c:pt>
                <c:pt idx="415">
                  <c:v>5.5166140199343641</c:v>
                </c:pt>
                <c:pt idx="416">
                  <c:v>5.2833462090975445</c:v>
                </c:pt>
                <c:pt idx="417">
                  <c:v>5.0487752298758046</c:v>
                </c:pt>
                <c:pt idx="418">
                  <c:v>4.8129799961840334</c:v>
                </c:pt>
                <c:pt idx="419">
                  <c:v>4.5760396790117266</c:v>
                </c:pt>
                <c:pt idx="420">
                  <c:v>4.3380336801184702</c:v>
                </c:pt>
                <c:pt idx="421">
                  <c:v>4.099041605701597</c:v>
                </c:pt>
                <c:pt idx="422">
                  <c:v>3.8591432400447294</c:v>
                </c:pt>
                <c:pt idx="423">
                  <c:v>3.6184185191556604</c:v>
                </c:pt>
                <c:pt idx="424">
                  <c:v>3.3769475044024437</c:v>
                </c:pt>
                <c:pt idx="425">
                  <c:v>3.1348103561561134</c:v>
                </c:pt>
                <c:pt idx="426">
                  <c:v>2.8920873074486968</c:v>
                </c:pt>
                <c:pt idx="427">
                  <c:v>2.6488586376550907</c:v>
                </c:pt>
                <c:pt idx="428">
                  <c:v>2.4052046462073253</c:v>
                </c:pt>
                <c:pt idx="429">
                  <c:v>2.1612056263497568</c:v>
                </c:pt>
                <c:pt idx="430">
                  <c:v>1.9169418389436719</c:v>
                </c:pt>
                <c:pt idx="431">
                  <c:v>1.6724934863297642</c:v>
                </c:pt>
                <c:pt idx="432">
                  <c:v>1.4279406862569122</c:v>
                </c:pt>
                <c:pt idx="433">
                  <c:v>1.1833634458856459</c:v>
                </c:pt>
                <c:pt idx="434">
                  <c:v>0.93884163587465386</c:v>
                </c:pt>
                <c:pt idx="435">
                  <c:v>0.69445496455863776</c:v>
                </c:pt>
                <c:pt idx="436">
                  <c:v>0.45028295222577525</c:v>
                </c:pt>
                <c:pt idx="437">
                  <c:v>0.20640490550301288</c:v>
                </c:pt>
                <c:pt idx="438">
                  <c:v>-3.71001081426654E-2</c:v>
                </c:pt>
                <c:pt idx="439">
                  <c:v>-0.2801532857788025</c:v>
                </c:pt>
                <c:pt idx="440">
                  <c:v>-0.52267611424999116</c:v>
                </c:pt>
                <c:pt idx="441">
                  <c:v>-0.76459039528011474</c:v>
                </c:pt>
                <c:pt idx="442">
                  <c:v>-1.0058182704265441</c:v>
                </c:pt>
                <c:pt idx="443">
                  <c:v>-1.2462822458783447</c:v>
                </c:pt>
                <c:pt idx="444">
                  <c:v>-1.4859052170906906</c:v>
                </c:pt>
                <c:pt idx="445">
                  <c:v>-1.7246104932477313</c:v>
                </c:pt>
                <c:pt idx="446">
                  <c:v>-1.9623218215463156</c:v>
                </c:pt>
                <c:pt idx="447">
                  <c:v>-2.1989634112927443</c:v>
                </c:pt>
                <c:pt idx="448">
                  <c:v>-2.4344599578053394</c:v>
                </c:pt>
                <c:pt idx="449">
                  <c:v>-2.668736666115235</c:v>
                </c:pt>
                <c:pt idx="450">
                  <c:v>-2.9017192744577796</c:v>
                </c:pt>
                <c:pt idx="451">
                  <c:v>-3.1333340775478233</c:v>
                </c:pt>
                <c:pt idx="452">
                  <c:v>-3.3635079496309914</c:v>
                </c:pt>
                <c:pt idx="453">
                  <c:v>-3.5921683673045339</c:v>
                </c:pt>
                <c:pt idx="454">
                  <c:v>-3.8192434321000102</c:v>
                </c:pt>
                <c:pt idx="455">
                  <c:v>-4.0446618928215843</c:v>
                </c:pt>
                <c:pt idx="456">
                  <c:v>-4.2683531676323607</c:v>
                </c:pt>
                <c:pt idx="457">
                  <c:v>-4.4902473658827171</c:v>
                </c:pt>
                <c:pt idx="458">
                  <c:v>-4.710275309673289</c:v>
                </c:pt>
                <c:pt idx="459">
                  <c:v>-4.9283685551467107</c:v>
                </c:pt>
                <c:pt idx="460">
                  <c:v>-5.1444594135009973</c:v>
                </c:pt>
                <c:pt idx="461">
                  <c:v>-5.3584809717188833</c:v>
                </c:pt>
                <c:pt idx="462">
                  <c:v>-5.5703671130061663</c:v>
                </c:pt>
                <c:pt idx="463">
                  <c:v>-5.7800525369336233</c:v>
                </c:pt>
                <c:pt idx="464">
                  <c:v>-5.9874727792757874</c:v>
                </c:pt>
                <c:pt idx="465">
                  <c:v>-6.1925642315411631</c:v>
                </c:pt>
                <c:pt idx="466">
                  <c:v>-6.395264160187903</c:v>
                </c:pt>
                <c:pt idx="467">
                  <c:v>-6.5955107255189844</c:v>
                </c:pt>
                <c:pt idx="468">
                  <c:v>-6.793243000251846</c:v>
                </c:pt>
                <c:pt idx="469">
                  <c:v>-6.9884009877563571</c:v>
                </c:pt>
                <c:pt idx="470">
                  <c:v>-7.1809256399564205</c:v>
                </c:pt>
                <c:pt idx="471">
                  <c:v>-7.3707588748894262</c:v>
                </c:pt>
                <c:pt idx="472">
                  <c:v>-7.5578435939186992</c:v>
                </c:pt>
                <c:pt idx="473">
                  <c:v>-7.7421236985940931</c:v>
                </c:pt>
                <c:pt idx="474">
                  <c:v>-7.9235441071554247</c:v>
                </c:pt>
                <c:pt idx="475">
                  <c:v>-8.1020507706745502</c:v>
                </c:pt>
                <c:pt idx="476">
                  <c:v>-8.2775906888309052</c:v>
                </c:pt>
                <c:pt idx="477">
                  <c:v>-8.450111925316607</c:v>
                </c:pt>
                <c:pt idx="478">
                  <c:v>-8.6195636228661616</c:v>
                </c:pt>
                <c:pt idx="479">
                  <c:v>-8.7858960179071151</c:v>
                </c:pt>
                <c:pt idx="480">
                  <c:v>-8.9490604548270465</c:v>
                </c:pt>
                <c:pt idx="481">
                  <c:v>-9.1090093998533987</c:v>
                </c:pt>
                <c:pt idx="482">
                  <c:v>-9.2656964545418532</c:v>
                </c:pt>
                <c:pt idx="483">
                  <c:v>-9.4190763688700514</c:v>
                </c:pt>
                <c:pt idx="484">
                  <c:v>-9.5691050539325975</c:v>
                </c:pt>
                <c:pt idx="485">
                  <c:v>-9.7157395942343179</c:v>
                </c:pt>
                <c:pt idx="486">
                  <c:v>-9.8589382595783501</c:v>
                </c:pt>
                <c:pt idx="487">
                  <c:v>-9.9986605165457281</c:v>
                </c:pt>
                <c:pt idx="488">
                  <c:v>-10.13486703956387</c:v>
                </c:pt>
                <c:pt idx="489">
                  <c:v>-10.267519721560609</c:v>
                </c:pt>
                <c:pt idx="490">
                  <c:v>-10.396581684201513</c:v>
                </c:pt>
                <c:pt idx="491">
                  <c:v>-10.522017287707449</c:v>
                </c:pt>
                <c:pt idx="492">
                  <c:v>-10.643792140250405</c:v>
                </c:pt>
                <c:pt idx="493">
                  <c:v>-10.761873106924797</c:v>
                </c:pt>
                <c:pt idx="494">
                  <c:v>-10.876228318292572</c:v>
                </c:pt>
                <c:pt idx="495">
                  <c:v>-10.986827178499588</c:v>
                </c:pt>
                <c:pt idx="496">
                  <c:v>-11.093640372961939</c:v>
                </c:pt>
                <c:pt idx="497">
                  <c:v>-11.196639875619949</c:v>
                </c:pt>
                <c:pt idx="498">
                  <c:v>-11.295798955758723</c:v>
                </c:pt>
                <c:pt idx="499">
                  <c:v>-11.391092184393429</c:v>
                </c:pt>
                <c:pt idx="500">
                  <c:v>-11.482495440218345</c:v>
                </c:pt>
                <c:pt idx="501">
                  <c:v>-11.569985915118183</c:v>
                </c:pt>
                <c:pt idx="502">
                  <c:v>-11.653542119241001</c:v>
                </c:pt>
                <c:pt idx="503">
                  <c:v>-11.733143885631634</c:v>
                </c:pt>
                <c:pt idx="504">
                  <c:v>-11.80877237442494</c:v>
                </c:pt>
                <c:pt idx="505">
                  <c:v>-11.880410076598436</c:v>
                </c:pt>
                <c:pt idx="506">
                  <c:v>-11.948040817283644</c:v>
                </c:pt>
                <c:pt idx="507">
                  <c:v>-12.011649758636183</c:v>
                </c:pt>
                <c:pt idx="508">
                  <c:v>-12.071223402264113</c:v>
                </c:pt>
                <c:pt idx="509">
                  <c:v>-12.126749591214885</c:v>
                </c:pt>
                <c:pt idx="510">
                  <c:v>-12.178217511520717</c:v>
                </c:pt>
                <c:pt idx="511">
                  <c:v>-12.225617693302992</c:v>
                </c:pt>
                <c:pt idx="512">
                  <c:v>-12.268942011435847</c:v>
                </c:pt>
                <c:pt idx="513">
                  <c:v>-12.30818368576977</c:v>
                </c:pt>
                <c:pt idx="514">
                  <c:v>-12.343337280915689</c:v>
                </c:pt>
                <c:pt idx="515">
                  <c:v>-12.374398705590675</c:v>
                </c:pt>
                <c:pt idx="516">
                  <c:v>-12.401365211525992</c:v>
                </c:pt>
                <c:pt idx="517">
                  <c:v>-12.424235391938902</c:v>
                </c:pt>
                <c:pt idx="518">
                  <c:v>-12.443009179569305</c:v>
                </c:pt>
                <c:pt idx="519">
                  <c:v>-12.457687844282745</c:v>
                </c:pt>
                <c:pt idx="520">
                  <c:v>-12.46827399024135</c:v>
                </c:pt>
                <c:pt idx="521">
                  <c:v>-12.474771552644356</c:v>
                </c:pt>
                <c:pt idx="522">
                  <c:v>-12.477185794040091</c:v>
                </c:pt>
                <c:pt idx="523">
                  <c:v>-12.47552330021141</c:v>
                </c:pt>
                <c:pt idx="524">
                  <c:v>-12.469791975636653</c:v>
                </c:pt>
                <c:pt idx="525">
                  <c:v>-12.4600010385284</c:v>
                </c:pt>
                <c:pt idx="526">
                  <c:v>-12.446161015452413</c:v>
                </c:pt>
                <c:pt idx="527">
                  <c:v>-12.428283735529268</c:v>
                </c:pt>
                <c:pt idx="528">
                  <c:v>-12.406382324221294</c:v>
                </c:pt>
                <c:pt idx="529">
                  <c:v>-12.380471196707658</c:v>
                </c:pt>
                <c:pt idx="530">
                  <c:v>-12.350566050850457</c:v>
                </c:pt>
                <c:pt idx="531">
                  <c:v>-12.316683859754859</c:v>
                </c:pt>
                <c:pt idx="532">
                  <c:v>-12.278842863926444</c:v>
                </c:pt>
                <c:pt idx="533">
                  <c:v>-12.237062563029099</c:v>
                </c:pt>
                <c:pt idx="534">
                  <c:v>-12.19136370724674</c:v>
                </c:pt>
                <c:pt idx="535">
                  <c:v>-12.141768288252569</c:v>
                </c:pt>
                <c:pt idx="536">
                  <c:v>-12.088299529789385</c:v>
                </c:pt>
                <c:pt idx="537">
                  <c:v>-12.030981877864752</c:v>
                </c:pt>
                <c:pt idx="538">
                  <c:v>-11.969840990565048</c:v>
                </c:pt>
                <c:pt idx="539">
                  <c:v>-11.904903727492144</c:v>
                </c:pt>
                <c:pt idx="540">
                  <c:v>-11.836198138827168</c:v>
                </c:pt>
                <c:pt idx="541">
                  <c:v>-11.763753454025284</c:v>
                </c:pt>
                <c:pt idx="542">
                  <c:v>-11.687600070146107</c:v>
                </c:pt>
                <c:pt idx="543">
                  <c:v>-11.607769539824012</c:v>
                </c:pt>
                <c:pt idx="544">
                  <c:v>-11.524294558883065</c:v>
                </c:pt>
                <c:pt idx="545">
                  <c:v>-11.437208953601138</c:v>
                </c:pt>
                <c:pt idx="546">
                  <c:v>-11.346547667628155</c:v>
                </c:pt>
                <c:pt idx="547">
                  <c:v>-11.252346748563129</c:v>
                </c:pt>
                <c:pt idx="548">
                  <c:v>-11.154643334195285</c:v>
                </c:pt>
                <c:pt idx="549">
                  <c:v>-11.053475638414037</c:v>
                </c:pt>
                <c:pt idx="550">
                  <c:v>-10.948882936793366</c:v>
                </c:pt>
                <c:pt idx="551">
                  <c:v>-10.840905551855515</c:v>
                </c:pt>
                <c:pt idx="552">
                  <c:v>-10.729584838019793</c:v>
                </c:pt>
                <c:pt idx="553">
                  <c:v>-10.614963166241589</c:v>
                </c:pt>
                <c:pt idx="554">
                  <c:v>-10.497083908347417</c:v>
                </c:pt>
                <c:pt idx="555">
                  <c:v>-10.375991421071616</c:v>
                </c:pt>
                <c:pt idx="556">
                  <c:v>-10.251731029800318</c:v>
                </c:pt>
                <c:pt idx="557">
                  <c:v>-10.12434901202873</c:v>
                </c:pt>
                <c:pt idx="558">
                  <c:v>-9.9938925805374268</c:v>
                </c:pt>
                <c:pt idx="559">
                  <c:v>-9.8604098662938604</c:v>
                </c:pt>
                <c:pt idx="560">
                  <c:v>-9.7239499010849642</c:v>
                </c:pt>
                <c:pt idx="561">
                  <c:v>-9.584562599887219</c:v>
                </c:pt>
                <c:pt idx="562">
                  <c:v>-9.442298742980153</c:v>
                </c:pt>
                <c:pt idx="563">
                  <c:v>-9.2972099578099048</c:v>
                </c:pt>
                <c:pt idx="564">
                  <c:v>-9.1493487006087708</c:v>
                </c:pt>
                <c:pt idx="565">
                  <c:v>-8.9987682377777887</c:v>
                </c:pt>
                <c:pt idx="566">
                  <c:v>-8.845522627038152</c:v>
                </c:pt>
                <c:pt idx="567">
                  <c:v>-8.6896666983586837</c:v>
                </c:pt>
                <c:pt idx="568">
                  <c:v>-8.5312560346654642</c:v>
                </c:pt>
                <c:pt idx="569">
                  <c:v>-8.3703469523407676</c:v>
                </c:pt>
                <c:pt idx="570">
                  <c:v>-8.2069964815175673</c:v>
                </c:pt>
                <c:pt idx="571">
                  <c:v>-8.0412623461769517</c:v>
                </c:pt>
                <c:pt idx="572">
                  <c:v>-7.8732029440547331</c:v>
                </c:pt>
                <c:pt idx="573">
                  <c:v>-7.702877326364713</c:v>
                </c:pt>
                <c:pt idx="574">
                  <c:v>-7.5303451773449988</c:v>
                </c:pt>
                <c:pt idx="575">
                  <c:v>-7.3556667936349278</c:v>
                </c:pt>
                <c:pt idx="576">
                  <c:v>-7.1789030634891375</c:v>
                </c:pt>
                <c:pt idx="577">
                  <c:v>-7.0001154458361317</c:v>
                </c:pt>
                <c:pt idx="578">
                  <c:v>-6.8193659491885183</c:v>
                </c:pt>
                <c:pt idx="579">
                  <c:v>-6.6367171104117553</c:v>
                </c:pt>
                <c:pt idx="580">
                  <c:v>-6.4522319733590061</c:v>
                </c:pt>
                <c:pt idx="581">
                  <c:v>-6.2659740673788775</c:v>
                </c:pt>
                <c:pt idx="582">
                  <c:v>-6.0780073857037582</c:v>
                </c:pt>
                <c:pt idx="583">
                  <c:v>-5.8883963637255041</c:v>
                </c:pt>
                <c:pt idx="584">
                  <c:v>-5.6972058571663338</c:v>
                </c:pt>
                <c:pt idx="585">
                  <c:v>-5.5045011201516534</c:v>
                </c:pt>
                <c:pt idx="586">
                  <c:v>-5.310347783192741</c:v>
                </c:pt>
                <c:pt idx="587">
                  <c:v>-5.114811831086052</c:v>
                </c:pt>
                <c:pt idx="588">
                  <c:v>-4.9179595807370919</c:v>
                </c:pt>
                <c:pt idx="589">
                  <c:v>-4.7198576589156476</c:v>
                </c:pt>
                <c:pt idx="590">
                  <c:v>-4.5205729799503445</c:v>
                </c:pt>
                <c:pt idx="591">
                  <c:v>-4.3201727233693381</c:v>
                </c:pt>
                <c:pt idx="592">
                  <c:v>-4.1187243114950984</c:v>
                </c:pt>
                <c:pt idx="593">
                  <c:v>-3.9162953870002317</c:v>
                </c:pt>
                <c:pt idx="594">
                  <c:v>-3.7129537904318926</c:v>
                </c:pt>
                <c:pt idx="595">
                  <c:v>-3.5087675377124188</c:v>
                </c:pt>
                <c:pt idx="596">
                  <c:v>-3.3038047976230471</c:v>
                </c:pt>
                <c:pt idx="597">
                  <c:v>-3.0981338692787102</c:v>
                </c:pt>
                <c:pt idx="598">
                  <c:v>-2.8918231596006718</c:v>
                </c:pt>
                <c:pt idx="599">
                  <c:v>-2.684941160794954</c:v>
                </c:pt>
                <c:pt idx="600">
                  <c:v>-2.4775564278432949</c:v>
                </c:pt>
                <c:pt idx="601">
                  <c:v>-2.2697375560145736</c:v>
                </c:pt>
                <c:pt idx="602">
                  <c:v>-2.0615531584033855</c:v>
                </c:pt>
                <c:pt idx="603">
                  <c:v>-1.8530718435036744</c:v>
                </c:pt>
                <c:pt idx="604">
                  <c:v>-1.6443621928240431</c:v>
                </c:pt>
                <c:pt idx="605">
                  <c:v>-1.4354927385526248</c:v>
                </c:pt>
                <c:pt idx="606">
                  <c:v>-1.2265319412780515</c:v>
                </c:pt>
                <c:pt idx="607">
                  <c:v>-1.0175481677743543</c:v>
                </c:pt>
                <c:pt idx="608">
                  <c:v>-0.80860966885627283</c:v>
                </c:pt>
                <c:pt idx="609">
                  <c:v>-0.59978455731270719</c:v>
                </c:pt>
                <c:pt idx="610">
                  <c:v>-0.39114078592486429</c:v>
                </c:pt>
                <c:pt idx="611">
                  <c:v>-0.18274612557632247</c:v>
                </c:pt>
                <c:pt idx="612">
                  <c:v>2.5331856537799565E-2</c:v>
                </c:pt>
                <c:pt idx="613">
                  <c:v>0.2330258185961506</c:v>
                </c:pt>
                <c:pt idx="614">
                  <c:v>0.44026866572340756</c:v>
                </c:pt>
                <c:pt idx="615">
                  <c:v>0.64699357144331016</c:v>
                </c:pt>
                <c:pt idx="616">
                  <c:v>0.85313399900502318</c:v>
                </c:pt>
                <c:pt idx="617">
                  <c:v>1.0586237225767547</c:v>
                </c:pt>
                <c:pt idx="618">
                  <c:v>1.2633968482992965</c:v>
                </c:pt>
                <c:pt idx="619">
                  <c:v>1.4673878351935161</c:v>
                </c:pt>
                <c:pt idx="620">
                  <c:v>1.6705315159145979</c:v>
                </c:pt>
                <c:pt idx="621">
                  <c:v>1.8727631173471804</c:v>
                </c:pt>
                <c:pt idx="622">
                  <c:v>2.0740182810343062</c:v>
                </c:pt>
                <c:pt idx="623">
                  <c:v>2.2742330834344657</c:v>
                </c:pt>
                <c:pt idx="624">
                  <c:v>2.4733440559997883</c:v>
                </c:pt>
                <c:pt idx="625">
                  <c:v>2.6712882050697955</c:v>
                </c:pt>
                <c:pt idx="626">
                  <c:v>2.8680030315739264</c:v>
                </c:pt>
                <c:pt idx="627">
                  <c:v>3.0634265505372689</c:v>
                </c:pt>
                <c:pt idx="628">
                  <c:v>3.2574973103832523</c:v>
                </c:pt>
                <c:pt idx="629">
                  <c:v>3.4501544120272185</c:v>
                </c:pt>
                <c:pt idx="630">
                  <c:v>3.6413375277554603</c:v>
                </c:pt>
                <c:pt idx="631">
                  <c:v>3.8309869198833759</c:v>
                </c:pt>
                <c:pt idx="632">
                  <c:v>4.0190434591876691</c:v>
                </c:pt>
                <c:pt idx="633">
                  <c:v>4.2054486431063536</c:v>
                </c:pt>
                <c:pt idx="634">
                  <c:v>4.3901446137016658</c:v>
                </c:pt>
                <c:pt idx="635">
                  <c:v>4.5730741753798458</c:v>
                </c:pt>
                <c:pt idx="636">
                  <c:v>4.7541808123630389</c:v>
                </c:pt>
                <c:pt idx="637">
                  <c:v>4.9334087059074569</c:v>
                </c:pt>
                <c:pt idx="638">
                  <c:v>5.1107027512632506</c:v>
                </c:pt>
                <c:pt idx="639">
                  <c:v>5.2860085743704248</c:v>
                </c:pt>
                <c:pt idx="640">
                  <c:v>5.4592725482863944</c:v>
                </c:pt>
                <c:pt idx="641">
                  <c:v>5.6304418093397643</c:v>
                </c:pt>
                <c:pt idx="642">
                  <c:v>5.7994642730060688</c:v>
                </c:pt>
                <c:pt idx="643">
                  <c:v>5.966288649500302</c:v>
                </c:pt>
                <c:pt idx="644">
                  <c:v>6.1308644590820673</c:v>
                </c:pt>
                <c:pt idx="645">
                  <c:v>6.2931420470686978</c:v>
                </c:pt>
                <c:pt idx="646">
                  <c:v>6.4530725985518034</c:v>
                </c:pt>
                <c:pt idx="647">
                  <c:v>6.6106081528134171</c:v>
                </c:pt>
                <c:pt idx="648">
                  <c:v>6.7657016174370384</c:v>
                </c:pt>
                <c:pt idx="649">
                  <c:v>6.9183067821100561</c:v>
                </c:pt>
                <c:pt idx="650">
                  <c:v>7.0683783321130882</c:v>
                </c:pt>
                <c:pt idx="651">
                  <c:v>7.2158718614928912</c:v>
                </c:pt>
                <c:pt idx="652">
                  <c:v>7.3607438859146521</c:v>
                </c:pt>
                <c:pt idx="653">
                  <c:v>7.5029518551904841</c:v>
                </c:pt>
                <c:pt idx="654">
                  <c:v>7.6424541654801788</c:v>
                </c:pt>
                <c:pt idx="655">
                  <c:v>7.7792101711612949</c:v>
                </c:pt>
                <c:pt idx="656">
                  <c:v>7.9131801963648085</c:v>
                </c:pt>
                <c:pt idx="657">
                  <c:v>8.0443255461736793</c:v>
                </c:pt>
                <c:pt idx="658">
                  <c:v>8.1726085174807626</c:v>
                </c:pt>
                <c:pt idx="659">
                  <c:v>8.2979924095036566</c:v>
                </c:pt>
                <c:pt idx="660">
                  <c:v>8.4204415339531877</c:v>
                </c:pt>
                <c:pt idx="661">
                  <c:v>8.539921224853229</c:v>
                </c:pt>
                <c:pt idx="662">
                  <c:v>8.6563978480090888</c:v>
                </c:pt>
                <c:pt idx="663">
                  <c:v>8.7698388101219305</c:v>
                </c:pt>
                <c:pt idx="664">
                  <c:v>8.880212567547197</c:v>
                </c:pt>
                <c:pt idx="665">
                  <c:v>8.9874886346944045</c:v>
                </c:pt>
                <c:pt idx="666">
                  <c:v>9.0916375920666468</c:v>
                </c:pt>
                <c:pt idx="667">
                  <c:v>9.1926310939374325</c:v>
                </c:pt>
                <c:pt idx="668">
                  <c:v>9.2904418756633778</c:v>
                </c:pt>
                <c:pt idx="669">
                  <c:v>9.3850437606306549</c:v>
                </c:pt>
                <c:pt idx="670">
                  <c:v>9.4764116668339646</c:v>
                </c:pt>
                <c:pt idx="671">
                  <c:v>9.5645216130862085</c:v>
                </c:pt>
                <c:pt idx="672">
                  <c:v>9.6493507248577775</c:v>
                </c:pt>
                <c:pt idx="673">
                  <c:v>9.7308772397439789</c:v>
                </c:pt>
                <c:pt idx="674">
                  <c:v>9.8090805125597651</c:v>
                </c:pt>
                <c:pt idx="675">
                  <c:v>9.8839410200604156</c:v>
                </c:pt>
                <c:pt idx="676">
                  <c:v>9.9554403652877266</c:v>
                </c:pt>
                <c:pt idx="677">
                  <c:v>10.023561281540566</c:v>
                </c:pt>
                <c:pt idx="678">
                  <c:v>10.088287635969449</c:v>
                </c:pt>
                <c:pt idx="679">
                  <c:v>10.149604432794588</c:v>
                </c:pt>
                <c:pt idx="680">
                  <c:v>10.207497816146855</c:v>
                </c:pt>
                <c:pt idx="681">
                  <c:v>10.261955072531771</c:v>
                </c:pt>
                <c:pt idx="682">
                  <c:v>10.312964632915991</c:v>
                </c:pt>
                <c:pt idx="683">
                  <c:v>10.360516074436637</c:v>
                </c:pt>
                <c:pt idx="684">
                  <c:v>10.404600121733356</c:v>
                </c:pt>
                <c:pt idx="685">
                  <c:v>10.445208647903504</c:v>
                </c:pt>
                <c:pt idx="686">
                  <c:v>10.482334675080713</c:v>
                </c:pt>
                <c:pt idx="687">
                  <c:v>10.515972374637442</c:v>
                </c:pt>
                <c:pt idx="688">
                  <c:v>10.546117067011991</c:v>
                </c:pt>
                <c:pt idx="689">
                  <c:v>10.572765221160891</c:v>
                </c:pt>
                <c:pt idx="690">
                  <c:v>10.595914453637304</c:v>
                </c:pt>
                <c:pt idx="691">
                  <c:v>10.615563527296644</c:v>
                </c:pt>
                <c:pt idx="692">
                  <c:v>10.631712349630298</c:v>
                </c:pt>
                <c:pt idx="693">
                  <c:v>10.644361970728841</c:v>
                </c:pt>
                <c:pt idx="694">
                  <c:v>10.65351458087596</c:v>
                </c:pt>
                <c:pt idx="695">
                  <c:v>10.659173507774581</c:v>
                </c:pt>
                <c:pt idx="696">
                  <c:v>10.661343213406781</c:v>
                </c:pt>
                <c:pt idx="697">
                  <c:v>10.66002929052916</c:v>
                </c:pt>
                <c:pt idx="698">
                  <c:v>10.655238458805451</c:v>
                </c:pt>
                <c:pt idx="699">
                  <c:v>10.646978560578338</c:v>
                </c:pt>
                <c:pt idx="700">
                  <c:v>10.635258556282459</c:v>
                </c:pt>
                <c:pt idx="701">
                  <c:v>10.620088519500769</c:v>
                </c:pt>
                <c:pt idx="702">
                  <c:v>10.601479631666518</c:v>
                </c:pt>
                <c:pt idx="703">
                  <c:v>10.579444176413221</c:v>
                </c:pt>
                <c:pt idx="704">
                  <c:v>10.553995533575053</c:v>
                </c:pt>
                <c:pt idx="705">
                  <c:v>10.525148172840339</c:v>
                </c:pt>
                <c:pt idx="706">
                  <c:v>10.49291764706075</c:v>
                </c:pt>
                <c:pt idx="707">
                  <c:v>10.457320585219099</c:v>
                </c:pt>
                <c:pt idx="708">
                  <c:v>10.418374685058541</c:v>
                </c:pt>
                <c:pt idx="709">
                  <c:v>10.376098705376327</c:v>
                </c:pt>
                <c:pt idx="710">
                  <c:v>10.330512457985082</c:v>
                </c:pt>
                <c:pt idx="711">
                  <c:v>10.281636799344996</c:v>
                </c:pt>
                <c:pt idx="712">
                  <c:v>10.229493621870082</c:v>
                </c:pt>
                <c:pt idx="713">
                  <c:v>10.174105844912093</c:v>
                </c:pt>
                <c:pt idx="714">
                  <c:v>10.115497405425469</c:v>
                </c:pt>
                <c:pt idx="715">
                  <c:v>10.05369324831708</c:v>
                </c:pt>
                <c:pt idx="716">
                  <c:v>9.9887193164843406</c:v>
                </c:pt>
                <c:pt idx="717">
                  <c:v>9.9206025405456657</c:v>
                </c:pt>
                <c:pt idx="718">
                  <c:v>9.8493708282670234</c:v>
                </c:pt>
                <c:pt idx="719">
                  <c:v>9.7750530536886782</c:v>
                </c:pt>
                <c:pt idx="720">
                  <c:v>9.6976790459562263</c:v>
                </c:pt>
                <c:pt idx="721">
                  <c:v>9.6172795778599909</c:v>
                </c:pt>
                <c:pt idx="722">
                  <c:v>9.5338863540872225</c:v>
                </c:pt>
                <c:pt idx="723">
                  <c:v>9.4475319991912325</c:v>
                </c:pt>
                <c:pt idx="724">
                  <c:v>9.3582500452821602</c:v>
                </c:pt>
                <c:pt idx="725">
                  <c:v>9.2660749194436178</c:v>
                </c:pt>
                <c:pt idx="726">
                  <c:v>9.1710419308800777</c:v>
                </c:pt>
                <c:pt idx="727">
                  <c:v>9.0731872577994217</c:v>
                </c:pt>
                <c:pt idx="728">
                  <c:v>8.9725479340357222</c:v>
                </c:pt>
                <c:pt idx="729">
                  <c:v>8.8691618354167137</c:v>
                </c:pt>
                <c:pt idx="730">
                  <c:v>8.7630676658812519</c:v>
                </c:pt>
                <c:pt idx="731">
                  <c:v>8.6543049433514199</c:v>
                </c:pt>
                <c:pt idx="732">
                  <c:v>8.5429139853645868</c:v>
                </c:pt>
                <c:pt idx="733">
                  <c:v>8.4289358944703086</c:v>
                </c:pt>
                <c:pt idx="734">
                  <c:v>8.3124125433975102</c:v>
                </c:pt>
                <c:pt idx="735">
                  <c:v>8.1933865599969966</c:v>
                </c:pt>
                <c:pt idx="736">
                  <c:v>8.0719013119646732</c:v>
                </c:pt>
                <c:pt idx="737">
                  <c:v>7.9480008913509899</c:v>
                </c:pt>
                <c:pt idx="738">
                  <c:v>7.8217300988617957</c:v>
                </c:pt>
                <c:pt idx="739">
                  <c:v>7.6931344279563927</c:v>
                </c:pt>
                <c:pt idx="740">
                  <c:v>7.5622600487480529</c:v>
                </c:pt>
                <c:pt idx="741">
                  <c:v>7.4291537917129116</c:v>
                </c:pt>
                <c:pt idx="742">
                  <c:v>7.2938631312125937</c:v>
                </c:pt>
                <c:pt idx="743">
                  <c:v>7.1564361688365894</c:v>
                </c:pt>
                <c:pt idx="744">
                  <c:v>7.0169216165698396</c:v>
                </c:pt>
                <c:pt idx="745">
                  <c:v>6.8753687797916614</c:v>
                </c:pt>
                <c:pt idx="746">
                  <c:v>6.731827540111512</c:v>
                </c:pt>
                <c:pt idx="747">
                  <c:v>6.5863483380478751</c:v>
                </c:pt>
                <c:pt idx="748">
                  <c:v>6.4389821555557987</c:v>
                </c:pt>
                <c:pt idx="749">
                  <c:v>6.2897804984094821</c:v>
                </c:pt>
                <c:pt idx="750">
                  <c:v>6.1387953784454865</c:v>
                </c:pt>
                <c:pt idx="751">
                  <c:v>5.9860792956730533</c:v>
                </c:pt>
                <c:pt idx="752">
                  <c:v>5.8316852202572615</c:v>
                </c:pt>
                <c:pt idx="753">
                  <c:v>5.6756665743812507</c:v>
                </c:pt>
                <c:pt idx="754">
                  <c:v>5.5180772139938181</c:v>
                </c:pt>
                <c:pt idx="755">
                  <c:v>5.358971410448186</c:v>
                </c:pt>
                <c:pt idx="756">
                  <c:v>5.1984038320385846</c:v>
                </c:pt>
                <c:pt idx="757">
                  <c:v>5.0364295254403606</c:v>
                </c:pt>
                <c:pt idx="758">
                  <c:v>4.8731038970603731</c:v>
                </c:pt>
                <c:pt idx="759">
                  <c:v>4.7084826943033882</c:v>
                </c:pt>
                <c:pt idx="760">
                  <c:v>4.5426219867612669</c:v>
                </c:pt>
                <c:pt idx="761">
                  <c:v>4.375578147330712</c:v>
                </c:pt>
                <c:pt idx="762">
                  <c:v>4.2074078332663722</c:v>
                </c:pt>
                <c:pt idx="763">
                  <c:v>4.0381679671750845</c:v>
                </c:pt>
                <c:pt idx="764">
                  <c:v>3.8679157179581076</c:v>
                </c:pt>
                <c:pt idx="765">
                  <c:v>3.6967084817071116</c:v>
                </c:pt>
                <c:pt idx="766">
                  <c:v>3.5246038625607685</c:v>
                </c:pt>
                <c:pt idx="767">
                  <c:v>3.3516596535277672</c:v>
                </c:pt>
                <c:pt idx="768">
                  <c:v>3.1779338172830403</c:v>
                </c:pt>
                <c:pt idx="769">
                  <c:v>3.0034844669431404</c:v>
                </c:pt>
                <c:pt idx="770">
                  <c:v>2.8283698468272234</c:v>
                </c:pt>
                <c:pt idx="771">
                  <c:v>2.6526483132101286</c:v>
                </c:pt>
                <c:pt idx="772">
                  <c:v>2.4763783150734069</c:v>
                </c:pt>
                <c:pt idx="773">
                  <c:v>2.299618374861137</c:v>
                </c:pt>
                <c:pt idx="774">
                  <c:v>2.1224270692462328</c:v>
                </c:pt>
                <c:pt idx="775">
                  <c:v>1.9448630099140654</c:v>
                </c:pt>
                <c:pt idx="776">
                  <c:v>1.7669848243690796</c:v>
                </c:pt>
                <c:pt idx="777">
                  <c:v>1.5888511367711828</c:v>
                </c:pt>
                <c:pt idx="778">
                  <c:v>1.4105205488075581</c:v>
                </c:pt>
                <c:pt idx="779">
                  <c:v>1.232051620606629</c:v>
                </c:pt>
                <c:pt idx="780">
                  <c:v>1.0535028516997773</c:v>
                </c:pt>
                <c:pt idx="781">
                  <c:v>0.87493266203749653</c:v>
                </c:pt>
                <c:pt idx="782">
                  <c:v>0.6963993730655238</c:v>
                </c:pt>
                <c:pt idx="783">
                  <c:v>0.51796118886757236</c:v>
                </c:pt>
                <c:pt idx="784">
                  <c:v>0.3396761773801445</c:v>
                </c:pt>
                <c:pt idx="785">
                  <c:v>0.16160225168596476</c:v>
                </c:pt>
                <c:pt idx="786">
                  <c:v>-1.6202848608437983E-2</c:v>
                </c:pt>
                <c:pt idx="787">
                  <c:v>-0.19368157590489948</c:v>
                </c:pt>
                <c:pt idx="788">
                  <c:v>-0.37077659304948124</c:v>
                </c:pt>
                <c:pt idx="789">
                  <c:v>-0.5474307916666129</c:v>
                </c:pt>
                <c:pt idx="790">
                  <c:v>-0.72358731038518076</c:v>
                </c:pt>
                <c:pt idx="791">
                  <c:v>-0.89918955295135916</c:v>
                </c:pt>
                <c:pt idx="792">
                  <c:v>-1.0741812062219298</c:v>
                </c:pt>
                <c:pt idx="793">
                  <c:v>-1.248506258032976</c:v>
                </c:pt>
                <c:pt idx="794">
                  <c:v>-1.4221090149378026</c:v>
                </c:pt>
                <c:pt idx="795">
                  <c:v>-1.5949341198090741</c:v>
                </c:pt>
                <c:pt idx="796">
                  <c:v>-1.7669265692991196</c:v>
                </c:pt>
                <c:pt idx="797">
                  <c:v>-1.9380317311535145</c:v>
                </c:pt>
                <c:pt idx="798">
                  <c:v>-2.1081953613720055</c:v>
                </c:pt>
                <c:pt idx="799">
                  <c:v>-2.2773636212119959</c:v>
                </c:pt>
                <c:pt idx="800">
                  <c:v>-2.4454830940287815</c:v>
                </c:pt>
                <c:pt idx="801">
                  <c:v>-2.6125008019478861</c:v>
                </c:pt>
                <c:pt idx="802">
                  <c:v>-2.778364222363825</c:v>
                </c:pt>
                <c:pt idx="803">
                  <c:v>-2.9430213042606446</c:v>
                </c:pt>
                <c:pt idx="804">
                  <c:v>-3.1064204843490804</c:v>
                </c:pt>
                <c:pt idx="805">
                  <c:v>-3.2685107030152118</c:v>
                </c:pt>
                <c:pt idx="806">
                  <c:v>-3.4292414200761758</c:v>
                </c:pt>
                <c:pt idx="807">
                  <c:v>-3.5885626303376275</c:v>
                </c:pt>
                <c:pt idx="808">
                  <c:v>-3.746424878948766</c:v>
                </c:pt>
                <c:pt idx="809">
                  <c:v>-3.9027792765497287</c:v>
                </c:pt>
                <c:pt idx="810">
                  <c:v>-4.0575775142073436</c:v>
                </c:pt>
                <c:pt idx="811">
                  <c:v>-4.2107718781341896</c:v>
                </c:pt>
                <c:pt idx="812">
                  <c:v>-4.3623152641871075</c:v>
                </c:pt>
                <c:pt idx="813">
                  <c:v>-4.5121611921402582</c:v>
                </c:pt>
                <c:pt idx="814">
                  <c:v>-4.6602638197291153</c:v>
                </c:pt>
                <c:pt idx="815">
                  <c:v>-4.8065779564604583</c:v>
                </c:pt>
                <c:pt idx="816">
                  <c:v>-4.9510590771851124</c:v>
                </c:pt>
                <c:pt idx="817">
                  <c:v>-5.0936633354286887</c:v>
                </c:pt>
                <c:pt idx="818">
                  <c:v>-5.2343475764769973</c:v>
                </c:pt>
                <c:pt idx="819">
                  <c:v>-5.3730693502118223</c:v>
                </c:pt>
                <c:pt idx="820">
                  <c:v>-5.509786923693774</c:v>
                </c:pt>
                <c:pt idx="821">
                  <c:v>-5.644459293488107</c:v>
                </c:pt>
                <c:pt idx="822">
                  <c:v>-5.7770461977304191</c:v>
                </c:pt>
                <c:pt idx="823">
                  <c:v>-5.9075081279282902</c:v>
                </c:pt>
                <c:pt idx="824">
                  <c:v>-6.0358063404959479</c:v>
                </c:pt>
                <c:pt idx="825">
                  <c:v>-6.1619028680182319</c:v>
                </c:pt>
                <c:pt idx="826">
                  <c:v>-6.2857605302410393</c:v>
                </c:pt>
                <c:pt idx="827">
                  <c:v>-6.4073429447849897</c:v>
                </c:pt>
                <c:pt idx="828">
                  <c:v>-6.5266145375792037</c:v>
                </c:pt>
                <c:pt idx="829">
                  <c:v>-6.643540553012615</c:v>
                </c:pt>
                <c:pt idx="830">
                  <c:v>-6.7580870637996062</c:v>
                </c:pt>
                <c:pt idx="831">
                  <c:v>-6.8702209805576873</c:v>
                </c:pt>
                <c:pt idx="832">
                  <c:v>-6.9799100610941913</c:v>
                </c:pt>
                <c:pt idx="833">
                  <c:v>-7.0871229193998886</c:v>
                </c:pt>
                <c:pt idx="834">
                  <c:v>-7.1918290343467213</c:v>
                </c:pt>
                <c:pt idx="835">
                  <c:v>-7.2939987580877359</c:v>
                </c:pt>
                <c:pt idx="836">
                  <c:v>-7.3936033241566301</c:v>
                </c:pt>
                <c:pt idx="837">
                  <c:v>-7.4906148552651981</c:v>
                </c:pt>
                <c:pt idx="838">
                  <c:v>-7.5850063707962869</c:v>
                </c:pt>
                <c:pt idx="839">
                  <c:v>-7.6767517939907401</c:v>
                </c:pt>
                <c:pt idx="840">
                  <c:v>-7.7658259588261922</c:v>
                </c:pt>
                <c:pt idx="841">
                  <c:v>-7.8522046165863513</c:v>
                </c:pt>
                <c:pt idx="842">
                  <c:v>-7.9358644421188682</c:v>
                </c:pt>
                <c:pt idx="843">
                  <c:v>-8.0167830397805773</c:v>
                </c:pt>
                <c:pt idx="844">
                  <c:v>-8.0949389490686041</c:v>
                </c:pt>
                <c:pt idx="845">
                  <c:v>-8.1703116499360053</c:v>
                </c:pt>
                <c:pt idx="846">
                  <c:v>-8.2428815677910041</c:v>
                </c:pt>
                <c:pt idx="847">
                  <c:v>-8.3126300781784543</c:v>
                </c:pt>
                <c:pt idx="848">
                  <c:v>-8.3795395111428874</c:v>
                </c:pt>
                <c:pt idx="849">
                  <c:v>-8.443593155272012</c:v>
                </c:pt>
                <c:pt idx="850">
                  <c:v>-8.5047752614201837</c:v>
                </c:pt>
                <c:pt idx="851">
                  <c:v>-8.5630710461109487</c:v>
                </c:pt>
                <c:pt idx="852">
                  <c:v>-8.6184666946184088</c:v>
                </c:pt>
                <c:pt idx="853">
                  <c:v>-8.6709493637266863</c:v>
                </c:pt>
                <c:pt idx="854">
                  <c:v>-8.7205071841674489</c:v>
                </c:pt>
                <c:pt idx="855">
                  <c:v>-8.7671292627350415</c:v>
                </c:pt>
                <c:pt idx="856">
                  <c:v>-8.8108056840793321</c:v>
                </c:pt>
                <c:pt idx="857">
                  <c:v>-8.8515275121760411</c:v>
                </c:pt>
                <c:pt idx="858">
                  <c:v>-8.8892867914749125</c:v>
                </c:pt>
                <c:pt idx="859">
                  <c:v>-8.9240765477256687</c:v>
                </c:pt>
                <c:pt idx="860">
                  <c:v>-8.9558907884822823</c:v>
                </c:pt>
                <c:pt idx="861">
                  <c:v>-8.984724503285868</c:v>
                </c:pt>
                <c:pt idx="862">
                  <c:v>-9.0105736635266975</c:v>
                </c:pt>
                <c:pt idx="863">
                  <c:v>-9.0334352219860676</c:v>
                </c:pt>
                <c:pt idx="864">
                  <c:v>-9.0533071120586275</c:v>
                </c:pt>
                <c:pt idx="865">
                  <c:v>-9.0701882466560857</c:v>
                </c:pt>
                <c:pt idx="866">
                  <c:v>-9.0840785167931788</c:v>
                </c:pt>
                <c:pt idx="867">
                  <c:v>-9.0949787898569685</c:v>
                </c:pt>
                <c:pt idx="868">
                  <c:v>-9.1028909075605782</c:v>
                </c:pt>
                <c:pt idx="869">
                  <c:v>-9.1078176835826206</c:v>
                </c:pt>
                <c:pt idx="870">
                  <c:v>-9.1097629008936636</c:v>
                </c:pt>
                <c:pt idx="871">
                  <c:v>-9.1087313087711408</c:v>
                </c:pt>
                <c:pt idx="872">
                  <c:v>-9.1047286195042876</c:v>
                </c:pt>
                <c:pt idx="873">
                  <c:v>-9.097761504790693</c:v>
                </c:pt>
                <c:pt idx="874">
                  <c:v>-9.0878375918262382</c:v>
                </c:pt>
                <c:pt idx="875">
                  <c:v>-9.0749654590902189</c:v>
                </c:pt>
                <c:pt idx="876">
                  <c:v>-9.0591546318276084</c:v>
                </c:pt>
                <c:pt idx="877">
                  <c:v>-9.040415577230462</c:v>
                </c:pt>
                <c:pt idx="878">
                  <c:v>-9.0187596993205741</c:v>
                </c:pt>
                <c:pt idx="879">
                  <c:v>-8.9941993335356401</c:v>
                </c:pt>
                <c:pt idx="880">
                  <c:v>-8.9667477410211482</c:v>
                </c:pt>
                <c:pt idx="881">
                  <c:v>-8.936419102630488</c:v>
                </c:pt>
                <c:pt idx="882">
                  <c:v>-8.9032285126356694</c:v>
                </c:pt>
                <c:pt idx="883">
                  <c:v>-8.8671919721513213</c:v>
                </c:pt>
                <c:pt idx="884">
                  <c:v>-8.8283263822745326</c:v>
                </c:pt>
                <c:pt idx="885">
                  <c:v>-8.786649536943381</c:v>
                </c:pt>
                <c:pt idx="886">
                  <c:v>-8.7421801155169288</c:v>
                </c:pt>
                <c:pt idx="887">
                  <c:v>-8.6949376750796272</c:v>
                </c:pt>
                <c:pt idx="888">
                  <c:v>-8.644942642473163</c:v>
                </c:pt>
                <c:pt idx="889">
                  <c:v>-8.5922163060587753</c:v>
                </c:pt>
                <c:pt idx="890">
                  <c:v>-8.5367808072133009</c:v>
                </c:pt>
                <c:pt idx="891">
                  <c:v>-8.4786591315621394</c:v>
                </c:pt>
                <c:pt idx="892">
                  <c:v>-8.4178750999525427</c:v>
                </c:pt>
                <c:pt idx="893">
                  <c:v>-8.3544533591705186</c:v>
                </c:pt>
                <c:pt idx="894">
                  <c:v>-8.2884193724049791</c:v>
                </c:pt>
                <c:pt idx="895">
                  <c:v>-8.2197994094626985</c:v>
                </c:pt>
                <c:pt idx="896">
                  <c:v>-8.1486205367375319</c:v>
                </c:pt>
                <c:pt idx="897">
                  <c:v>-8.0749106069378787</c:v>
                </c:pt>
                <c:pt idx="898">
                  <c:v>-7.9986982485759981</c:v>
                </c:pt>
                <c:pt idx="899">
                  <c:v>-7.920012855223141</c:v>
                </c:pt>
                <c:pt idx="900">
                  <c:v>-7.8388845745342826</c:v>
                </c:pt>
                <c:pt idx="901">
                  <c:v>-7.7553442970466584</c:v>
                </c:pt>
                <c:pt idx="902">
                  <c:v>-7.6694236447560016</c:v>
                </c:pt>
                <c:pt idx="903">
                  <c:v>-7.5811549594747376</c:v>
                </c:pt>
                <c:pt idx="904">
                  <c:v>-7.4905712909761322</c:v>
                </c:pt>
                <c:pt idx="905">
                  <c:v>-7.3977063849289184</c:v>
                </c:pt>
                <c:pt idx="906">
                  <c:v>-7.3025946706265126</c:v>
                </c:pt>
                <c:pt idx="907">
                  <c:v>-7.205271248515321</c:v>
                </c:pt>
                <c:pt idx="908">
                  <c:v>-7.1057718775263901</c:v>
                </c:pt>
                <c:pt idx="909">
                  <c:v>-7.0041329622151487</c:v>
                </c:pt>
                <c:pt idx="910">
                  <c:v>-6.9003915397135671</c:v>
                </c:pt>
                <c:pt idx="911">
                  <c:v>-6.7945852664995261</c:v>
                </c:pt>
                <c:pt idx="912">
                  <c:v>-6.6867524049877147</c:v>
                </c:pt>
                <c:pt idx="913">
                  <c:v>-6.5769318099471867</c:v>
                </c:pt>
                <c:pt idx="914">
                  <c:v>-6.4651629147500858</c:v>
                </c:pt>
                <c:pt idx="915">
                  <c:v>-6.3514857174561747</c:v>
                </c:pt>
                <c:pt idx="916">
                  <c:v>-6.2359407667383939</c:v>
                </c:pt>
                <c:pt idx="917">
                  <c:v>-6.1185691476540045</c:v>
                </c:pt>
                <c:pt idx="918">
                  <c:v>-5.9994124672664819</c:v>
                </c:pt>
                <c:pt idx="919">
                  <c:v>-5.8785128401227844</c:v>
                </c:pt>
                <c:pt idx="920">
                  <c:v>-5.7559128735914182</c:v>
                </c:pt>
                <c:pt idx="921">
                  <c:v>-5.6316556530660176</c:v>
                </c:pt>
                <c:pt idx="922">
                  <c:v>-5.5057847270397398</c:v>
                </c:pt>
                <c:pt idx="923">
                  <c:v>-5.3783440920552552</c:v>
                </c:pt>
                <c:pt idx="924">
                  <c:v>-5.2493781775358839</c:v>
                </c:pt>
                <c:pt idx="925">
                  <c:v>-5.1189318305027216</c:v>
                </c:pt>
                <c:pt idx="926">
                  <c:v>-4.9870503001831965</c:v>
                </c:pt>
                <c:pt idx="927">
                  <c:v>-4.85377922251591</c:v>
                </c:pt>
                <c:pt idx="928">
                  <c:v>-4.7191646045574505</c:v>
                </c:pt>
                <c:pt idx="929">
                  <c:v>-4.5832528087962627</c:v>
                </c:pt>
                <c:pt idx="930">
                  <c:v>-4.446090537378578</c:v>
                </c:pt>
                <c:pt idx="931">
                  <c:v>-4.3077248162522483</c:v>
                </c:pt>
                <c:pt idx="932">
                  <c:v>-4.1682029792333655</c:v>
                </c:pt>
                <c:pt idx="933">
                  <c:v>-4.027572652001326</c:v>
                </c:pt>
                <c:pt idx="934">
                  <c:v>-3.8858817360272804</c:v>
                </c:pt>
                <c:pt idx="935">
                  <c:v>-3.7431783924418451</c:v>
                </c:pt>
                <c:pt idx="936">
                  <c:v>-3.5995110258470504</c:v>
                </c:pt>
                <c:pt idx="937">
                  <c:v>-3.4549282680782052</c:v>
                </c:pt>
                <c:pt idx="938">
                  <c:v>-3.3094789619206533</c:v>
                </c:pt>
                <c:pt idx="939">
                  <c:v>-3.1632121447873609</c:v>
                </c:pt>
                <c:pt idx="940">
                  <c:v>-3.0161770323623065</c:v>
                </c:pt>
                <c:pt idx="941">
                  <c:v>-2.8684230022152577</c:v>
                </c:pt>
                <c:pt idx="942">
                  <c:v>-2.7199995773932808</c:v>
                </c:pt>
                <c:pt idx="943">
                  <c:v>-2.5709564099945208</c:v>
                </c:pt>
                <c:pt idx="944">
                  <c:v>-2.4213432647292539</c:v>
                </c:pt>
                <c:pt idx="945">
                  <c:v>-2.2712100024741533</c:v>
                </c:pt>
                <c:pt idx="946">
                  <c:v>-2.1206065638246927</c:v>
                </c:pt>
                <c:pt idx="947">
                  <c:v>-1.969582952651405</c:v>
                </c:pt>
                <c:pt idx="948">
                  <c:v>-1.8181892196648946</c:v>
                </c:pt>
                <c:pt idx="949">
                  <c:v>-1.6664754459954991</c:v>
                </c:pt>
                <c:pt idx="950">
                  <c:v>-1.514491726792685</c:v>
                </c:pt>
                <c:pt idx="951">
                  <c:v>-1.362288154849203</c:v>
                </c:pt>
                <c:pt idx="952">
                  <c:v>-1.2099148042558963</c:v>
                </c:pt>
                <c:pt idx="953">
                  <c:v>-1.0574217140919402</c:v>
                </c:pt>
                <c:pt idx="954">
                  <c:v>-0.9048588721561458</c:v>
                </c:pt>
                <c:pt idx="955">
                  <c:v>-0.75227619874407881</c:v>
                </c:pt>
                <c:pt idx="956">
                  <c:v>-0.59972353047680615</c:v>
                </c:pt>
                <c:pt idx="957">
                  <c:v>-0.44725060418597423</c:v>
                </c:pt>
                <c:pt idx="958">
                  <c:v>-0.29490704086073855</c:v>
                </c:pt>
                <c:pt idx="959">
                  <c:v>-0.14274232966119152</c:v>
                </c:pt>
                <c:pt idx="960">
                  <c:v>9.1941879960135506E-3</c:v>
                </c:pt>
                <c:pt idx="961">
                  <c:v>0.16085333427525889</c:v>
                </c:pt>
                <c:pt idx="962">
                  <c:v>0.31218611067738861</c:v>
                </c:pt>
                <c:pt idx="963">
                  <c:v>0.46314371370844915</c:v>
                </c:pt>
                <c:pt idx="964">
                  <c:v>0.6136775504561891</c:v>
                </c:pt>
                <c:pt idx="965">
                  <c:v>0.76373925406988008</c:v>
                </c:pt>
                <c:pt idx="966">
                  <c:v>0.9132806991382203</c:v>
                </c:pt>
                <c:pt idx="967">
                  <c:v>1.0622540169609644</c:v>
                </c:pt>
                <c:pt idx="968">
                  <c:v>1.2106116107089193</c:v>
                </c:pt>
                <c:pt idx="969">
                  <c:v>1.3583061704678325</c:v>
                </c:pt>
                <c:pt idx="970">
                  <c:v>1.5052906881617323</c:v>
                </c:pt>
                <c:pt idx="971">
                  <c:v>1.6515184723505099</c:v>
                </c:pt>
                <c:pt idx="972">
                  <c:v>1.7969431628976056</c:v>
                </c:pt>
                <c:pt idx="973">
                  <c:v>1.9415187455029108</c:v>
                </c:pt>
                <c:pt idx="974">
                  <c:v>2.0851995660968297</c:v>
                </c:pt>
                <c:pt idx="975">
                  <c:v>2.227940345090488</c:v>
                </c:pt>
                <c:pt idx="976">
                  <c:v>2.369696191478158</c:v>
                </c:pt>
                <c:pt idx="977">
                  <c:v>2.5104226167872166</c:v>
                </c:pt>
                <c:pt idx="978">
                  <c:v>2.650075548871814</c:v>
                </c:pt>
                <c:pt idx="979">
                  <c:v>2.7886113455454664</c:v>
                </c:pt>
                <c:pt idx="980">
                  <c:v>2.9259868080488727</c:v>
                </c:pt>
                <c:pt idx="981">
                  <c:v>3.0621591943485087</c:v>
                </c:pt>
                <c:pt idx="982">
                  <c:v>3.1970862322624152</c:v>
                </c:pt>
                <c:pt idx="983">
                  <c:v>3.3307261324086879</c:v>
                </c:pt>
                <c:pt idx="984">
                  <c:v>3.4630376009729997</c:v>
                </c:pt>
                <c:pt idx="985">
                  <c:v>3.5939798522915725</c:v>
                </c:pt>
                <c:pt idx="986">
                  <c:v>3.7235126212452889</c:v>
                </c:pt>
                <c:pt idx="987">
                  <c:v>3.8515961754617041</c:v>
                </c:pt>
                <c:pt idx="988">
                  <c:v>3.9781913273209666</c:v>
                </c:pt>
                <c:pt idx="989">
                  <c:v>4.1032594457625393</c:v>
                </c:pt>
                <c:pt idx="990">
                  <c:v>4.2267624678886575</c:v>
                </c:pt>
                <c:pt idx="991">
                  <c:v>4.3486629103615853</c:v>
                </c:pt>
                <c:pt idx="992">
                  <c:v>4.4689238805909435</c:v>
                </c:pt>
                <c:pt idx="993">
                  <c:v>4.5875090877082982</c:v>
                </c:pt>
                <c:pt idx="994">
                  <c:v>4.7043828533252734</c:v>
                </c:pt>
                <c:pt idx="995">
                  <c:v>4.8195101220724927</c:v>
                </c:pt>
                <c:pt idx="996">
                  <c:v>4.9328564719159935</c:v>
                </c:pt>
                <c:pt idx="997">
                  <c:v>5.0443881242485302</c:v>
                </c:pt>
                <c:pt idx="998">
                  <c:v>5.1540719537524264</c:v>
                </c:pt>
                <c:pt idx="999">
                  <c:v>5.2618754980315368</c:v>
                </c:pt>
                <c:pt idx="1000">
                  <c:v>5.3677669670092785</c:v>
                </c:pt>
                <c:pt idx="1001">
                  <c:v>5.4717152520905241</c:v>
                </c:pt>
                <c:pt idx="1002">
                  <c:v>5.5736899350842872</c:v>
                </c:pt>
                <c:pt idx="1003">
                  <c:v>5.6736612968849611</c:v>
                </c:pt>
                <c:pt idx="1004">
                  <c:v>5.771600325910013</c:v>
                </c:pt>
                <c:pt idx="1005">
                  <c:v>5.8674787262910053</c:v>
                </c:pt>
                <c:pt idx="1006">
                  <c:v>5.9612689258167455</c:v>
                </c:pt>
                <c:pt idx="1007">
                  <c:v>6.0529440836254755</c:v>
                </c:pt>
                <c:pt idx="1008">
                  <c:v>6.1424780976448865</c:v>
                </c:pt>
                <c:pt idx="1009">
                  <c:v>6.2298456117770717</c:v>
                </c:pt>
                <c:pt idx="1010">
                  <c:v>6.3150220228275256</c:v>
                </c:pt>
                <c:pt idx="1011">
                  <c:v>6.3979834871754848</c:v>
                </c:pt>
                <c:pt idx="1012">
                  <c:v>6.4787069271846915</c:v>
                </c:pt>
                <c:pt idx="1013">
                  <c:v>6.5571700373521429</c:v>
                </c:pt>
                <c:pt idx="1014">
                  <c:v>6.633351290194148</c:v>
                </c:pt>
                <c:pt idx="1015">
                  <c:v>6.7072299418674612</c:v>
                </c:pt>
                <c:pt idx="1016">
                  <c:v>6.7787860375248599</c:v>
                </c:pt>
                <c:pt idx="1017">
                  <c:v>6.8480004164031056</c:v>
                </c:pt>
                <c:pt idx="1018">
                  <c:v>6.9148547166429628</c:v>
                </c:pt>
                <c:pt idx="1019">
                  <c:v>6.9793313798394063</c:v>
                </c:pt>
                <c:pt idx="1020">
                  <c:v>7.0414136553217199</c:v>
                </c:pt>
                <c:pt idx="1021">
                  <c:v>7.1010856041618604</c:v>
                </c:pt>
                <c:pt idx="1022">
                  <c:v>7.1583321029109799</c:v>
                </c:pt>
                <c:pt idx="1023">
                  <c:v>7.2131388470627851</c:v>
                </c:pt>
                <c:pt idx="1024">
                  <c:v>7.2654923542435492</c:v>
                </c:pt>
                <c:pt idx="1025">
                  <c:v>7.3153799671278827</c:v>
                </c:pt>
                <c:pt idx="1026">
                  <c:v>7.362789856080032</c:v>
                </c:pt>
                <c:pt idx="1027">
                  <c:v>7.4077110215202238</c:v>
                </c:pt>
                <c:pt idx="1028">
                  <c:v>7.450133296015867</c:v>
                </c:pt>
                <c:pt idx="1029">
                  <c:v>7.4900473460973291</c:v>
                </c:pt>
                <c:pt idx="1030">
                  <c:v>7.527444673798267</c:v>
                </c:pt>
                <c:pt idx="1031">
                  <c:v>7.562317617920435</c:v>
                </c:pt>
                <c:pt idx="1032">
                  <c:v>7.5946593550231949</c:v>
                </c:pt>
                <c:pt idx="1033">
                  <c:v>7.6244639001377026</c:v>
                </c:pt>
                <c:pt idx="1034">
                  <c:v>7.6517261072062048</c:v>
                </c:pt>
                <c:pt idx="1035">
                  <c:v>7.6764416692466897</c:v>
                </c:pt>
                <c:pt idx="1036">
                  <c:v>7.6986071182434435</c:v>
                </c:pt>
                <c:pt idx="1037">
                  <c:v>7.7182198247638869</c:v>
                </c:pt>
                <c:pt idx="1038">
                  <c:v>7.735277997302501</c:v>
                </c:pt>
                <c:pt idx="1039">
                  <c:v>7.7497806813523589</c:v>
                </c:pt>
                <c:pt idx="1040">
                  <c:v>7.7617277582052147</c:v>
                </c:pt>
                <c:pt idx="1041">
                  <c:v>7.7711199434809322</c:v>
                </c:pt>
                <c:pt idx="1042">
                  <c:v>7.7779587853872831</c:v>
                </c:pt>
                <c:pt idx="1043">
                  <c:v>7.7822466627111107</c:v>
                </c:pt>
                <c:pt idx="1044">
                  <c:v>7.7839867825420486</c:v>
                </c:pt>
                <c:pt idx="1045">
                  <c:v>7.7831831777300202</c:v>
                </c:pt>
                <c:pt idx="1046">
                  <c:v>7.7798407040777802</c:v>
                </c:pt>
                <c:pt idx="1047">
                  <c:v>7.7739650372699503</c:v>
                </c:pt>
                <c:pt idx="1048">
                  <c:v>7.7655626695399906</c:v>
                </c:pt>
                <c:pt idx="1049">
                  <c:v>7.7546409060766974</c:v>
                </c:pt>
                <c:pt idx="1050">
                  <c:v>7.7412078611718105</c:v>
                </c:pt>
                <c:pt idx="1051">
                  <c:v>7.7252724541105611</c:v>
                </c:pt>
                <c:pt idx="1052">
                  <c:v>7.7068444048068407</c:v>
                </c:pt>
                <c:pt idx="1053">
                  <c:v>7.6859342291849995</c:v>
                </c:pt>
                <c:pt idx="1054">
                  <c:v>7.6625532343100851</c:v>
                </c:pt>
                <c:pt idx="1055">
                  <c:v>7.6367135132687913</c:v>
                </c:pt>
                <c:pt idx="1056">
                  <c:v>7.6084279398029713</c:v>
                </c:pt>
                <c:pt idx="1057">
                  <c:v>7.5777101626981471</c:v>
                </c:pt>
                <c:pt idx="1058">
                  <c:v>7.5445745999291125</c:v>
                </c:pt>
                <c:pt idx="1059">
                  <c:v>7.5090364325651215</c:v>
                </c:pt>
                <c:pt idx="1060">
                  <c:v>7.4711115984369671</c:v>
                </c:pt>
                <c:pt idx="1061">
                  <c:v>7.4308167855685578</c:v>
                </c:pt>
                <c:pt idx="1062">
                  <c:v>7.3881694253754171</c:v>
                </c:pt>
                <c:pt idx="1063">
                  <c:v>7.3431876856329259</c:v>
                </c:pt>
                <c:pt idx="1064">
                  <c:v>7.2958904632168577</c:v>
                </c:pt>
                <c:pt idx="1065">
                  <c:v>7.2462973766191183</c:v>
                </c:pt>
                <c:pt idx="1066">
                  <c:v>7.1944287582413855</c:v>
                </c:pt>
                <c:pt idx="1067">
                  <c:v>7.1403056464697485</c:v>
                </c:pt>
                <c:pt idx="1068">
                  <c:v>7.0839497775331699</c:v>
                </c:pt>
                <c:pt idx="1069">
                  <c:v>7.0253835771489497</c:v>
                </c:pt>
                <c:pt idx="1070">
                  <c:v>6.9646301519581328</c:v>
                </c:pt>
                <c:pt idx="1071">
                  <c:v>6.90171328075429</c:v>
                </c:pt>
                <c:pt idx="1072">
                  <c:v>6.8366574055085421</c:v>
                </c:pt>
                <c:pt idx="1073">
                  <c:v>6.7694876221946254</c:v>
                </c:pt>
                <c:pt idx="1074">
                  <c:v>6.7002296714167668</c:v>
                </c:pt>
                <c:pt idx="1075">
                  <c:v>6.6289099288443563</c:v>
                </c:pt>
                <c:pt idx="1076">
                  <c:v>6.5555553954563397</c:v>
                </c:pt>
                <c:pt idx="1077">
                  <c:v>6.4801936875994501</c:v>
                </c:pt>
                <c:pt idx="1078">
                  <c:v>6.4028530268632418</c:v>
                </c:pt>
                <c:pt idx="1079">
                  <c:v>6.3235622297761305</c:v>
                </c:pt>
                <c:pt idx="1080">
                  <c:v>6.2423506973255671</c:v>
                </c:pt>
                <c:pt idx="1081">
                  <c:v>6.159248404306747</c:v>
                </c:pt>
                <c:pt idx="1082">
                  <c:v>6.0742858885028888</c:v>
                </c:pt>
                <c:pt idx="1083">
                  <c:v>5.9874942397016424</c:v>
                </c:pt>
                <c:pt idx="1084">
                  <c:v>5.8989050885507996</c:v>
                </c:pt>
                <c:pt idx="1085">
                  <c:v>5.808550595258045</c:v>
                </c:pt>
                <c:pt idx="1086">
                  <c:v>5.7164634381378168</c:v>
                </c:pt>
                <c:pt idx="1087">
                  <c:v>5.6226768020101474</c:v>
                </c:pt>
                <c:pt idx="1088">
                  <c:v>5.5272243664547318</c:v>
                </c:pt>
                <c:pt idx="1089">
                  <c:v>5.4301402939251977</c:v>
                </c:pt>
                <c:pt idx="1090">
                  <c:v>5.3314592177267617</c:v>
                </c:pt>
                <c:pt idx="1091">
                  <c:v>5.2312162298623095</c:v>
                </c:pt>
                <c:pt idx="1092">
                  <c:v>5.129446868750402</c:v>
                </c:pt>
                <c:pt idx="1093">
                  <c:v>5.026187106819977</c:v>
                </c:pt>
                <c:pt idx="1094">
                  <c:v>4.9214733379856668</c:v>
                </c:pt>
                <c:pt idx="1095">
                  <c:v>4.8153423650083056</c:v>
                </c:pt>
                <c:pt idx="1096">
                  <c:v>4.7078313867445987</c:v>
                </c:pt>
                <c:pt idx="1097">
                  <c:v>4.5989779852907535</c:v>
                </c:pt>
                <c:pt idx="1098">
                  <c:v>4.488820113024115</c:v>
                </c:pt>
                <c:pt idx="1099">
                  <c:v>4.3773960795474709</c:v>
                </c:pt>
                <c:pt idx="1100">
                  <c:v>4.2647445385401275</c:v>
                </c:pt>
                <c:pt idx="1101">
                  <c:v>4.1509044745206518</c:v>
                </c:pt>
                <c:pt idx="1102">
                  <c:v>4.0359151895253911</c:v>
                </c:pt>
                <c:pt idx="1103">
                  <c:v>3.9198162897075646</c:v>
                </c:pt>
                <c:pt idx="1104">
                  <c:v>3.8026476718610334</c:v>
                </c:pt>
                <c:pt idx="1105">
                  <c:v>3.6844495098739189</c:v>
                </c:pt>
                <c:pt idx="1106">
                  <c:v>3.5652622411157626</c:v>
                </c:pt>
                <c:pt idx="1107">
                  <c:v>3.4451265527638615</c:v>
                </c:pt>
                <c:pt idx="1108">
                  <c:v>3.3240833680721691</c:v>
                </c:pt>
                <c:pt idx="1109">
                  <c:v>3.2021738325884508</c:v>
                </c:pt>
                <c:pt idx="1110">
                  <c:v>3.079439300323259</c:v>
                </c:pt>
                <c:pt idx="1111">
                  <c:v>2.955921319876452</c:v>
                </c:pt>
                <c:pt idx="1112">
                  <c:v>2.8316616205246503</c:v>
                </c:pt>
                <c:pt idx="1113">
                  <c:v>2.7067020982753638</c:v>
                </c:pt>
                <c:pt idx="1114">
                  <c:v>2.5810848018913544</c:v>
                </c:pt>
                <c:pt idx="1115">
                  <c:v>2.4548519188910105</c:v>
                </c:pt>
                <c:pt idx="1116">
                  <c:v>2.3280457615280823</c:v>
                </c:pt>
                <c:pt idx="1117">
                  <c:v>2.2007087527565612</c:v>
                </c:pt>
                <c:pt idx="1118">
                  <c:v>2.0728834121842308</c:v>
                </c:pt>
                <c:pt idx="1119">
                  <c:v>1.9446123420206809</c:v>
                </c:pt>
                <c:pt idx="1120">
                  <c:v>1.8159382130230879</c:v>
                </c:pt>
                <c:pt idx="1121">
                  <c:v>1.6869037504455591</c:v>
                </c:pt>
                <c:pt idx="1122">
                  <c:v>1.5575517199955011</c:v>
                </c:pt>
                <c:pt idx="1123">
                  <c:v>1.4279249138028063</c:v>
                </c:pt>
                <c:pt idx="1124">
                  <c:v>1.2980661364050907</c:v>
                </c:pt>
                <c:pt idx="1125">
                  <c:v>1.1680181907547564</c:v>
                </c:pt>
                <c:pt idx="1126">
                  <c:v>1.0378238642512965</c:v>
                </c:pt>
                <c:pt idx="1127">
                  <c:v>0.90752591480441436</c:v>
                </c:pt>
                <c:pt idx="1128">
                  <c:v>0.77716705693168042</c:v>
                </c:pt>
                <c:pt idx="1129">
                  <c:v>0.64678994789532651</c:v>
                </c:pt>
                <c:pt idx="1130">
                  <c:v>0.51643717388314803</c:v>
                </c:pt>
                <c:pt idx="1131">
                  <c:v>0.38615123623701947</c:v>
                </c:pt>
                <c:pt idx="1132">
                  <c:v>0.25597453773463869</c:v>
                </c:pt>
                <c:pt idx="1133">
                  <c:v>0.12594936892754566</c:v>
                </c:pt>
                <c:pt idx="1134">
                  <c:v>-3.882105458993063E-3</c:v>
                </c:pt>
                <c:pt idx="1135">
                  <c:v>-0.13347786006103601</c:v>
                </c:pt>
                <c:pt idx="1136">
                  <c:v>-0.26279602234042715</c:v>
                </c:pt>
                <c:pt idx="1137">
                  <c:v>-0.39179488597572537</c:v>
                </c:pt>
                <c:pt idx="1138">
                  <c:v>-0.52043292417413978</c:v>
                </c:pt>
                <c:pt idx="1139">
                  <c:v>-0.64866880290139106</c:v>
                </c:pt>
                <c:pt idx="1140">
                  <c:v>-0.77646139402410796</c:v>
                </c:pt>
                <c:pt idx="1141">
                  <c:v>-0.90376978836194577</c:v>
                </c:pt>
                <c:pt idx="1142">
                  <c:v>-1.0305533086441181</c:v>
                </c:pt>
                <c:pt idx="1143">
                  <c:v>-1.1567715223673916</c:v>
                </c:pt>
                <c:pt idx="1144">
                  <c:v>-1.2823842545503186</c:v>
                </c:pt>
                <c:pt idx="1145">
                  <c:v>-1.4073516003810425</c:v>
                </c:pt>
                <c:pt idx="1146">
                  <c:v>-1.5316339377535295</c:v>
                </c:pt>
                <c:pt idx="1147">
                  <c:v>-1.6551919396894397</c:v>
                </c:pt>
                <c:pt idx="1148">
                  <c:v>-1.7779865866406004</c:v>
                </c:pt>
                <c:pt idx="1149">
                  <c:v>-1.8999791786695555</c:v>
                </c:pt>
                <c:pt idx="1150">
                  <c:v>-2.0211313475033004</c:v>
                </c:pt>
                <c:pt idx="1151">
                  <c:v>-2.1414050684573742</c:v>
                </c:pt>
                <c:pt idx="1152">
                  <c:v>-2.2607626722260221</c:v>
                </c:pt>
                <c:pt idx="1153">
                  <c:v>-2.3791668565352144</c:v>
                </c:pt>
                <c:pt idx="1154">
                  <c:v>-2.4965806976546894</c:v>
                </c:pt>
                <c:pt idx="1155">
                  <c:v>-2.6129676617658877</c:v>
                </c:pt>
                <c:pt idx="1156">
                  <c:v>-2.7282916161818678</c:v>
                </c:pt>
                <c:pt idx="1157">
                  <c:v>-2.8425168404161711</c:v>
                </c:pt>
                <c:pt idx="1158">
                  <c:v>-2.955608037097027</c:v>
                </c:pt>
                <c:pt idx="1159">
                  <c:v>-3.0675303427239755</c:v>
                </c:pt>
                <c:pt idx="1160">
                  <c:v>-3.1782493382632389</c:v>
                </c:pt>
                <c:pt idx="1161">
                  <c:v>-3.2877310595790084</c:v>
                </c:pt>
                <c:pt idx="1162">
                  <c:v>-3.3959420076973097</c:v>
                </c:pt>
                <c:pt idx="1163">
                  <c:v>-3.5028491588997381</c:v>
                </c:pt>
                <c:pt idx="1164">
                  <c:v>-3.6084199746435117</c:v>
                </c:pt>
                <c:pt idx="1165">
                  <c:v>-3.7126224113056989</c:v>
                </c:pt>
                <c:pt idx="1166">
                  <c:v>-3.8154249297477634</c:v>
                </c:pt>
                <c:pt idx="1167">
                  <c:v>-3.9167965046987385</c:v>
                </c:pt>
                <c:pt idx="1168">
                  <c:v>-4.0167066339532669</c:v>
                </c:pt>
                <c:pt idx="1169">
                  <c:v>-4.1151253473827687</c:v>
                </c:pt>
                <c:pt idx="1170">
                  <c:v>-4.2120232157561404</c:v>
                </c:pt>
                <c:pt idx="1171">
                  <c:v>-4.3073713593685161</c:v>
                </c:pt>
                <c:pt idx="1172">
                  <c:v>-4.4011414564746447</c:v>
                </c:pt>
                <c:pt idx="1173">
                  <c:v>-4.4933057515253605</c:v>
                </c:pt>
                <c:pt idx="1174">
                  <c:v>-4.5838370632038767</c:v>
                </c:pt>
                <c:pt idx="1175">
                  <c:v>-4.6727087922606518</c:v>
                </c:pt>
                <c:pt idx="1176">
                  <c:v>-4.7598949291437016</c:v>
                </c:pt>
                <c:pt idx="1177">
                  <c:v>-4.845370061423079</c:v>
                </c:pt>
                <c:pt idx="1178">
                  <c:v>-4.9291093810065814</c:v>
                </c:pt>
                <c:pt idx="1179">
                  <c:v>-5.0110886911456332</c:v>
                </c:pt>
                <c:pt idx="1180">
                  <c:v>-5.0912844132286272</c:v>
                </c:pt>
                <c:pt idx="1181">
                  <c:v>-5.1696735933605868</c:v>
                </c:pt>
                <c:pt idx="1182">
                  <c:v>-5.2462339087266301</c:v>
                </c:pt>
                <c:pt idx="1183">
                  <c:v>-5.3209436737384115</c:v>
                </c:pt>
                <c:pt idx="1184">
                  <c:v>-5.3937818459611062</c:v>
                </c:pt>
                <c:pt idx="1185">
                  <c:v>-5.4647280318200604</c:v>
                </c:pt>
                <c:pt idx="1186">
                  <c:v>-5.5337624920851711</c:v>
                </c:pt>
                <c:pt idx="1187">
                  <c:v>-5.6008661471318879</c:v>
                </c:pt>
                <c:pt idx="1188">
                  <c:v>-5.6660205819773477</c:v>
                </c:pt>
                <c:pt idx="1189">
                  <c:v>-5.729208051090608</c:v>
                </c:pt>
                <c:pt idx="1190">
                  <c:v>-5.7904114829755846</c:v>
                </c:pt>
                <c:pt idx="1191">
                  <c:v>-5.8496144845257705</c:v>
                </c:pt>
                <c:pt idx="1192">
                  <c:v>-5.9068013451496189</c:v>
                </c:pt>
                <c:pt idx="1193">
                  <c:v>-5.9619570406658156</c:v>
                </c:pt>
                <c:pt idx="1194">
                  <c:v>-6.0150672369673952</c:v>
                </c:pt>
                <c:pt idx="1195">
                  <c:v>-6.0661182934540321</c:v>
                </c:pt>
                <c:pt idx="1196">
                  <c:v>-6.1150972662317695</c:v>
                </c:pt>
                <c:pt idx="1197">
                  <c:v>-6.1619919110796504</c:v>
                </c:pt>
                <c:pt idx="1198">
                  <c:v>-6.2067906861824875</c:v>
                </c:pt>
                <c:pt idx="1199">
                  <c:v>-6.2494827546296401</c:v>
                </c:pt>
                <c:pt idx="1200">
                  <c:v>-6.2900579866789688</c:v>
                </c:pt>
                <c:pt idx="1201">
                  <c:v>-6.3285069617861049</c:v>
                </c:pt>
                <c:pt idx="1202">
                  <c:v>-6.3648209703984433</c:v>
                </c:pt>
                <c:pt idx="1203">
                  <c:v>-6.3989920155139579</c:v>
                </c:pt>
                <c:pt idx="1204">
                  <c:v>-6.4310128140044798</c:v>
                </c:pt>
                <c:pt idx="1205">
                  <c:v>-6.4608767977037527</c:v>
                </c:pt>
                <c:pt idx="1206">
                  <c:v>-6.4885781142600312</c:v>
                </c:pt>
                <c:pt idx="1207">
                  <c:v>-6.5141116277536408</c:v>
                </c:pt>
                <c:pt idx="1208">
                  <c:v>-6.5374729190794563</c:v>
                </c:pt>
                <c:pt idx="1209">
                  <c:v>-6.5586582860948184</c:v>
                </c:pt>
                <c:pt idx="1210">
                  <c:v>-6.5776647435331483</c:v>
                </c:pt>
                <c:pt idx="1211">
                  <c:v>-6.5944900226837735</c:v>
                </c:pt>
                <c:pt idx="1212">
                  <c:v>-6.6091325708383728</c:v>
                </c:pt>
                <c:pt idx="1213">
                  <c:v>-6.6215915505048386</c:v>
                </c:pt>
                <c:pt idx="1214">
                  <c:v>-6.6318668383890245</c:v>
                </c:pt>
                <c:pt idx="1215">
                  <c:v>-6.6399590241453135</c:v>
                </c:pt>
                <c:pt idx="1216">
                  <c:v>-6.6458694088966705</c:v>
                </c:pt>
                <c:pt idx="1217">
                  <c:v>-6.6496000035251992</c:v>
                </c:pt>
                <c:pt idx="1218">
                  <c:v>-6.6511535267341211</c:v>
                </c:pt>
                <c:pt idx="1219">
                  <c:v>-6.6505334028822309</c:v>
                </c:pt>
                <c:pt idx="1220">
                  <c:v>-6.6477437595919424</c:v>
                </c:pt>
                <c:pt idx="1221">
                  <c:v>-6.6427894251321167</c:v>
                </c:pt>
                <c:pt idx="1222">
                  <c:v>-6.635675925576952</c:v>
                </c:pt>
                <c:pt idx="1223">
                  <c:v>-6.6264094817422219</c:v>
                </c:pt>
                <c:pt idx="1224">
                  <c:v>-6.6149970059003333</c:v>
                </c:pt>
                <c:pt idx="1225">
                  <c:v>-6.6014460982755772</c:v>
                </c:pt>
                <c:pt idx="1226">
                  <c:v>-6.5857650433212456</c:v>
                </c:pt>
                <c:pt idx="1227">
                  <c:v>-6.5679628057800672</c:v>
                </c:pt>
                <c:pt idx="1228">
                  <c:v>-6.5480490265297862</c:v>
                </c:pt>
                <c:pt idx="1229">
                  <c:v>-6.5260340182155225</c:v>
                </c:pt>
                <c:pt idx="1230">
                  <c:v>-6.5019287606708005</c:v>
                </c:pt>
                <c:pt idx="1231">
                  <c:v>-6.475744896129024</c:v>
                </c:pt>
                <c:pt idx="1232">
                  <c:v>-6.4474947242274956</c:v>
                </c:pt>
                <c:pt idx="1233">
                  <c:v>-6.4171911968057618</c:v>
                </c:pt>
                <c:pt idx="1234">
                  <c:v>-6.3848479125006348</c:v>
                </c:pt>
                <c:pt idx="1235">
                  <c:v>-6.3504791111397259</c:v>
                </c:pt>
                <c:pt idx="1236">
                  <c:v>-6.3140996679359418</c:v>
                </c:pt>
                <c:pt idx="1237">
                  <c:v>-6.275725087484969</c:v>
                </c:pt>
                <c:pt idx="1238">
                  <c:v>-6.2353714975683285</c:v>
                </c:pt>
                <c:pt idx="1239">
                  <c:v>-6.1930556427640422</c:v>
                </c:pt>
                <c:pt idx="1240">
                  <c:v>-6.1487948778677053</c:v>
                </c:pt>
                <c:pt idx="1241">
                  <c:v>-6.1026071611260821</c:v>
                </c:pt>
                <c:pt idx="1242">
                  <c:v>-6.0545110472861738</c:v>
                </c:pt>
                <c:pt idx="1243">
                  <c:v>-6.0045256804619438</c:v>
                </c:pt>
                <c:pt idx="1244">
                  <c:v>-5.9526707868217459</c:v>
                </c:pt>
                <c:pt idx="1245">
                  <c:v>-5.8989666670987848</c:v>
                </c:pt>
                <c:pt idx="1246">
                  <c:v>-5.843434188927823</c:v>
                </c:pt>
                <c:pt idx="1247">
                  <c:v>-5.786094779010428</c:v>
                </c:pt>
                <c:pt idx="1248">
                  <c:v>-5.7269704151121443</c:v>
                </c:pt>
                <c:pt idx="1249">
                  <c:v>-5.6660836178939977</c:v>
                </c:pt>
                <c:pt idx="1250">
                  <c:v>-5.6034574425818642</c:v>
                </c:pt>
                <c:pt idx="1251">
                  <c:v>-5.5391154704761103</c:v>
                </c:pt>
                <c:pt idx="1252">
                  <c:v>-5.4730818003050468</c:v>
                </c:pt>
                <c:pt idx="1253">
                  <c:v>-5.4053810394251141</c:v>
                </c:pt>
                <c:pt idx="1254">
                  <c:v>-5.336038294870753</c:v>
                </c:pt>
                <c:pt idx="1255">
                  <c:v>-5.2650791642576866</c:v>
                </c:pt>
                <c:pt idx="1256">
                  <c:v>-5.1925297265421602</c:v>
                </c:pt>
                <c:pt idx="1257">
                  <c:v>-5.1184165326400519</c:v>
                </c:pt>
                <c:pt idx="1258">
                  <c:v>-5.0427665959086054</c:v>
                </c:pt>
                <c:pt idx="1259">
                  <c:v>-4.9656073824947491</c:v>
                </c:pt>
                <c:pt idx="1260">
                  <c:v>-4.8869668015527212</c:v>
                </c:pt>
                <c:pt idx="1261">
                  <c:v>-4.8068731953350623</c:v>
                </c:pt>
                <c:pt idx="1262">
                  <c:v>-4.725355329159842</c:v>
                </c:pt>
                <c:pt idx="1263">
                  <c:v>-4.6424423812582836</c:v>
                </c:pt>
                <c:pt idx="1264">
                  <c:v>-4.5581639325055869</c:v>
                </c:pt>
                <c:pt idx="1265">
                  <c:v>-4.4725499560392006</c:v>
                </c:pt>
                <c:pt idx="1266">
                  <c:v>-4.3856308067674652</c:v>
                </c:pt>
                <c:pt idx="1267">
                  <c:v>-4.297437210773027</c:v>
                </c:pt>
                <c:pt idx="1268">
                  <c:v>-4.2080002546138022</c:v>
                </c:pt>
                <c:pt idx="1269">
                  <c:v>-4.11735137452599</c:v>
                </c:pt>
                <c:pt idx="1270">
                  <c:v>-4.0255223455320666</c:v>
                </c:pt>
                <c:pt idx="1271">
                  <c:v>-3.9325452704583173</c:v>
                </c:pt>
                <c:pt idx="1272">
                  <c:v>-3.8384525688647808</c:v>
                </c:pt>
                <c:pt idx="1273">
                  <c:v>-3.7432769658921536</c:v>
                </c:pt>
                <c:pt idx="1274">
                  <c:v>-3.6470514810288139</c:v>
                </c:pt>
                <c:pt idx="1275">
                  <c:v>-3.5498094168022791</c:v>
                </c:pt>
                <c:pt idx="1276">
                  <c:v>-3.451584347398565</c:v>
                </c:pt>
                <c:pt idx="1277">
                  <c:v>-3.3524101072135686</c:v>
                </c:pt>
                <c:pt idx="1278">
                  <c:v>-3.2523207793399909</c:v>
                </c:pt>
                <c:pt idx="1279">
                  <c:v>-3.1513506839940799</c:v>
                </c:pt>
                <c:pt idx="1280">
                  <c:v>-3.0495343668857542</c:v>
                </c:pt>
                <c:pt idx="1281">
                  <c:v>-2.9469065875362577</c:v>
                </c:pt>
                <c:pt idx="1282">
                  <c:v>-2.843502307546919</c:v>
                </c:pt>
                <c:pt idx="1283">
                  <c:v>-2.7393566788233459</c:v>
                </c:pt>
                <c:pt idx="1284">
                  <c:v>-2.6345050317586458</c:v>
                </c:pt>
                <c:pt idx="1285">
                  <c:v>-2.5289828633798539</c:v>
                </c:pt>
                <c:pt idx="1286">
                  <c:v>-2.4228258254611563</c:v>
                </c:pt>
                <c:pt idx="1287">
                  <c:v>-2.316069712608396</c:v>
                </c:pt>
                <c:pt idx="1288">
                  <c:v>-2.2087504503180519</c:v>
                </c:pt>
                <c:pt idx="1289">
                  <c:v>-2.100904083015589</c:v>
                </c:pt>
                <c:pt idx="1290">
                  <c:v>-1.9925667620760572</c:v>
                </c:pt>
                <c:pt idx="1291">
                  <c:v>-1.883774733831882</c:v>
                </c:pt>
                <c:pt idx="1292">
                  <c:v>-1.7745643275708414</c:v>
                </c:pt>
                <c:pt idx="1293">
                  <c:v>-1.6649719435292012</c:v>
                </c:pt>
                <c:pt idx="1294">
                  <c:v>-1.555034040882822</c:v>
                </c:pt>
                <c:pt idx="1295">
                  <c:v>-1.4447871257411844</c:v>
                </c:pt>
                <c:pt idx="1296">
                  <c:v>-1.3342677391472988</c:v>
                </c:pt>
                <c:pt idx="1297">
                  <c:v>-1.2235124450884551</c:v>
                </c:pt>
                <c:pt idx="1298">
                  <c:v>-1.1125578185205582</c:v>
                </c:pt>
                <c:pt idx="1299">
                  <c:v>-1.0014404334110005</c:v>
                </c:pt>
                <c:pt idx="1300">
                  <c:v>-0.89019685080295974</c:v>
                </c:pt>
                <c:pt idx="1301">
                  <c:v>-0.77886360690604162</c:v>
                </c:pt>
                <c:pt idx="1302">
                  <c:v>-0.66747720121596488</c:v>
                </c:pt>
                <c:pt idx="1303">
                  <c:v>-0.55607408466816366</c:v>
                </c:pt>
                <c:pt idx="1304">
                  <c:v>-0.44469064782815065</c:v>
                </c:pt>
                <c:pt idx="1305">
                  <c:v>-0.33336320912347972</c:v>
                </c:pt>
                <c:pt idx="1306">
                  <c:v>-0.22212800311993347</c:v>
                </c:pt>
                <c:pt idx="1307">
                  <c:v>-0.11102116884671571</c:v>
                </c:pt>
                <c:pt idx="1308">
                  <c:v>-7.8738173555984746E-5</c:v>
                </c:pt>
                <c:pt idx="1309">
                  <c:v>0.11066337575598065</c:v>
                </c:pt>
                <c:pt idx="1310">
                  <c:v>0.22116939003167629</c:v>
                </c:pt>
                <c:pt idx="1311">
                  <c:v>0.33140366342042665</c:v>
                </c:pt>
                <c:pt idx="1312">
                  <c:v>0.44133070774331729</c:v>
                </c:pt>
                <c:pt idx="1313">
                  <c:v>0.55091519918198484</c:v>
                </c:pt>
                <c:pt idx="1314">
                  <c:v>0.66012198951104317</c:v>
                </c:pt>
                <c:pt idx="1315">
                  <c:v>0.76891611725278797</c:v>
                </c:pt>
                <c:pt idx="1316">
                  <c:v>0.87726281875101964</c:v>
                </c:pt>
                <c:pt idx="1317">
                  <c:v>0.98512753916008944</c:v>
                </c:pt>
                <c:pt idx="1318">
                  <c:v>1.0924759433460742</c:v>
                </c:pt>
                <c:pt idx="1319">
                  <c:v>1.1992739266964305</c:v>
                </c:pt>
                <c:pt idx="1320">
                  <c:v>1.3054876258351216</c:v>
                </c:pt>
                <c:pt idx="1321">
                  <c:v>1.411083429239318</c:v>
                </c:pt>
                <c:pt idx="1322">
                  <c:v>1.5160279877551706</c:v>
                </c:pt>
                <c:pt idx="1323">
                  <c:v>1.6202882250084145</c:v>
                </c:pt>
                <c:pt idx="1324">
                  <c:v>1.7238313477076819</c:v>
                </c:pt>
                <c:pt idx="1325">
                  <c:v>1.8266248558363618</c:v>
                </c:pt>
                <c:pt idx="1326">
                  <c:v>1.9286365527307869</c:v>
                </c:pt>
                <c:pt idx="1327">
                  <c:v>2.0298345550406744</c:v>
                </c:pt>
                <c:pt idx="1328">
                  <c:v>2.1301873025698561</c:v>
                </c:pt>
                <c:pt idx="1329">
                  <c:v>2.2296635679933114</c:v>
                </c:pt>
                <c:pt idx="1330">
                  <c:v>2.3282324664484597</c:v>
                </c:pt>
                <c:pt idx="1331">
                  <c:v>2.4258634649968278</c:v>
                </c:pt>
                <c:pt idx="1332">
                  <c:v>2.5225263919542948</c:v>
                </c:pt>
                <c:pt idx="1333">
                  <c:v>2.6181914460861404</c:v>
                </c:pt>
                <c:pt idx="1334">
                  <c:v>2.7128292056650083</c:v>
                </c:pt>
                <c:pt idx="1335">
                  <c:v>2.8064106373881503</c:v>
                </c:pt>
                <c:pt idx="1336">
                  <c:v>2.8989071051522779</c:v>
                </c:pt>
                <c:pt idx="1337">
                  <c:v>2.9902903786825243</c:v>
                </c:pt>
                <c:pt idx="1338">
                  <c:v>3.0805326420137669</c:v>
                </c:pt>
                <c:pt idx="1339">
                  <c:v>3.1696065018209376</c:v>
                </c:pt>
                <c:pt idx="1340">
                  <c:v>3.2574849955968204</c:v>
                </c:pt>
                <c:pt idx="1341">
                  <c:v>3.3441415996740771</c:v>
                </c:pt>
                <c:pt idx="1342">
                  <c:v>3.4295502370898618</c:v>
                </c:pt>
                <c:pt idx="1343">
                  <c:v>3.5136852852902272</c:v>
                </c:pt>
                <c:pt idx="1344">
                  <c:v>3.5965215836724052</c:v>
                </c:pt>
                <c:pt idx="1345">
                  <c:v>3.6780344409626125</c:v>
                </c:pt>
                <c:pt idx="1346">
                  <c:v>3.7581996424274924</c:v>
                </c:pt>
                <c:pt idx="1347">
                  <c:v>3.8369934569168569</c:v>
                </c:pt>
                <c:pt idx="1348">
                  <c:v>3.9143926437359466</c:v>
                </c:pt>
                <c:pt idx="1349">
                  <c:v>3.9903744593451407</c:v>
                </c:pt>
                <c:pt idx="1350">
                  <c:v>4.0649166638854277</c:v>
                </c:pt>
                <c:pt idx="1351">
                  <c:v>4.1379975275275713</c:v>
                </c:pt>
                <c:pt idx="1352">
                  <c:v>4.2095958366434134</c:v>
                </c:pt>
                <c:pt idx="1353">
                  <c:v>4.2796908997974752</c:v>
                </c:pt>
                <c:pt idx="1354">
                  <c:v>4.3482625535574666</c:v>
                </c:pt>
                <c:pt idx="1355">
                  <c:v>4.4152911681217244</c:v>
                </c:pt>
                <c:pt idx="1356">
                  <c:v>4.4807576527626356</c:v>
                </c:pt>
                <c:pt idx="1357">
                  <c:v>4.5446434610839042</c:v>
                </c:pt>
                <c:pt idx="1358">
                  <c:v>4.6069305960910274</c:v>
                </c:pt>
                <c:pt idx="1359">
                  <c:v>4.6676016150730151</c:v>
                </c:pt>
                <c:pt idx="1360">
                  <c:v>4.7266396342946386</c:v>
                </c:pt>
                <c:pt idx="1361">
                  <c:v>4.7840283334974716</c:v>
                </c:pt>
                <c:pt idx="1362">
                  <c:v>4.8397519602091865</c:v>
                </c:pt>
                <c:pt idx="1363">
                  <c:v>4.8937953338595017</c:v>
                </c:pt>
                <c:pt idx="1364">
                  <c:v>4.9461438497022829</c:v>
                </c:pt>
                <c:pt idx="1365">
                  <c:v>4.9967834825423347</c:v>
                </c:pt>
                <c:pt idx="1366">
                  <c:v>5.0457007902665865</c:v>
                </c:pt>
                <c:pt idx="1367">
                  <c:v>5.0928829171783603</c:v>
                </c:pt>
                <c:pt idx="1368">
                  <c:v>5.1383175971344359</c:v>
                </c:pt>
                <c:pt idx="1369">
                  <c:v>5.1819931564837889</c:v>
                </c:pt>
                <c:pt idx="1370">
                  <c:v>5.223898516807874</c:v>
                </c:pt>
                <c:pt idx="1371">
                  <c:v>5.2640231974614942</c:v>
                </c:pt>
                <c:pt idx="1372">
                  <c:v>5.3023573179141552</c:v>
                </c:pt>
                <c:pt idx="1373">
                  <c:v>5.3388915998911219</c:v>
                </c:pt>
                <c:pt idx="1374">
                  <c:v>5.3736173693142346</c:v>
                </c:pt>
                <c:pt idx="1375">
                  <c:v>5.40652655804187</c:v>
                </c:pt>
                <c:pt idx="1376">
                  <c:v>5.4376117054080959</c:v>
                </c:pt>
                <c:pt idx="1377">
                  <c:v>5.4668659595607352</c:v>
                </c:pt>
                <c:pt idx="1378">
                  <c:v>5.4942830785982455</c:v>
                </c:pt>
                <c:pt idx="1379">
                  <c:v>5.5198574315055904</c:v>
                </c:pt>
                <c:pt idx="1380">
                  <c:v>5.5435839988889191</c:v>
                </c:pt>
                <c:pt idx="1381">
                  <c:v>5.5654583735094034</c:v>
                </c:pt>
                <c:pt idx="1382">
                  <c:v>5.585476760616177</c:v>
                </c:pt>
                <c:pt idx="1383">
                  <c:v>5.60363597807891</c:v>
                </c:pt>
                <c:pt idx="1384">
                  <c:v>5.61993345632008</c:v>
                </c:pt>
                <c:pt idx="1385">
                  <c:v>5.6343672380475311</c:v>
                </c:pt>
                <c:pt idx="1386">
                  <c:v>5.6469359777875745</c:v>
                </c:pt>
                <c:pt idx="1387">
                  <c:v>5.6576389412193278</c:v>
                </c:pt>
                <c:pt idx="1388">
                  <c:v>5.6664760043107432</c:v>
                </c:pt>
                <c:pt idx="1389">
                  <c:v>5.6734476522570292</c:v>
                </c:pt>
                <c:pt idx="1390">
                  <c:v>5.6785549782221088</c:v>
                </c:pt>
                <c:pt idx="1391">
                  <c:v>5.6817996818839616</c:v>
                </c:pt>
                <c:pt idx="1392">
                  <c:v>5.6831840677846044</c:v>
                </c:pt>
                <c:pt idx="1393">
                  <c:v>5.6827110434856554</c:v>
                </c:pt>
                <c:pt idx="1394">
                  <c:v>5.6803841175303926</c:v>
                </c:pt>
                <c:pt idx="1395">
                  <c:v>5.6762073972133438</c:v>
                </c:pt>
                <c:pt idx="1396">
                  <c:v>5.6701855861584987</c:v>
                </c:pt>
                <c:pt idx="1397">
                  <c:v>5.6623239817072379</c:v>
                </c:pt>
                <c:pt idx="1398">
                  <c:v>5.652628472117212</c:v>
                </c:pt>
                <c:pt idx="1399">
                  <c:v>5.6411055335733948</c:v>
                </c:pt>
                <c:pt idx="1400">
                  <c:v>5.6277622270126848</c:v>
                </c:pt>
                <c:pt idx="1401">
                  <c:v>5.6126061947633206</c:v>
                </c:pt>
                <c:pt idx="1402">
                  <c:v>5.5956456570006798</c:v>
                </c:pt>
                <c:pt idx="1403">
                  <c:v>5.5768894080208025</c:v>
                </c:pt>
                <c:pt idx="1404">
                  <c:v>5.5563468123333424</c:v>
                </c:pt>
                <c:pt idx="1405">
                  <c:v>5.5340278005753794</c:v>
                </c:pt>
                <c:pt idx="1406">
                  <c:v>5.509942865247897</c:v>
                </c:pt>
                <c:pt idx="1407">
                  <c:v>5.4841030562765436</c:v>
                </c:pt>
                <c:pt idx="1408">
                  <c:v>5.4565199763984991</c:v>
                </c:pt>
                <c:pt idx="1409">
                  <c:v>5.4272057763772015</c:v>
                </c:pt>
                <c:pt idx="1410">
                  <c:v>5.3961731500468932</c:v>
                </c:pt>
                <c:pt idx="1411">
                  <c:v>5.3634353291888255</c:v>
                </c:pt>
                <c:pt idx="1412">
                  <c:v>5.3290060782411928</c:v>
                </c:pt>
                <c:pt idx="1413">
                  <c:v>5.2928996888446811</c:v>
                </c:pt>
                <c:pt idx="1414">
                  <c:v>5.2551309742258994</c:v>
                </c:pt>
                <c:pt idx="1415">
                  <c:v>5.2157152634205932</c:v>
                </c:pt>
                <c:pt idx="1416">
                  <c:v>5.1746683953390926</c:v>
                </c:pt>
                <c:pt idx="1417">
                  <c:v>5.132006712675893</c:v>
                </c:pt>
                <c:pt idx="1418">
                  <c:v>5.0877470556659592</c:v>
                </c:pt>
                <c:pt idx="1419">
                  <c:v>5.0419067556897526</c:v>
                </c:pt>
                <c:pt idx="1420">
                  <c:v>4.9945036287297002</c:v>
                </c:pt>
                <c:pt idx="1421">
                  <c:v>4.9455559686801189</c:v>
                </c:pt>
                <c:pt idx="1422">
                  <c:v>4.8950825405133944</c:v>
                </c:pt>
                <c:pt idx="1423">
                  <c:v>4.8431025733045843</c:v>
                </c:pt>
                <c:pt idx="1424">
                  <c:v>4.789635753117361</c:v>
                </c:pt>
                <c:pt idx="1425">
                  <c:v>4.7347022157533951</c:v>
                </c:pt>
                <c:pt idx="1426">
                  <c:v>4.6783225393682866</c:v>
                </c:pt>
                <c:pt idx="1427">
                  <c:v>4.6205177369561978</c:v>
                </c:pt>
                <c:pt idx="1428">
                  <c:v>4.5613092487064231</c:v>
                </c:pt>
                <c:pt idx="1429">
                  <c:v>4.5007189342340519</c:v>
                </c:pt>
                <c:pt idx="1430">
                  <c:v>4.4387690646879943</c:v>
                </c:pt>
                <c:pt idx="1431">
                  <c:v>4.375482314738707</c:v>
                </c:pt>
                <c:pt idx="1432">
                  <c:v>4.3108817544489844</c:v>
                </c:pt>
                <c:pt idx="1433">
                  <c:v>4.2449908410300559</c:v>
                </c:pt>
                <c:pt idx="1434">
                  <c:v>4.1778334104864854</c:v>
                </c:pt>
                <c:pt idx="1435">
                  <c:v>4.109433669152307</c:v>
                </c:pt>
                <c:pt idx="1436">
                  <c:v>4.0398161851217367</c:v>
                </c:pt>
                <c:pt idx="1437">
                  <c:v>3.9690058795771845</c:v>
                </c:pt>
                <c:pt idx="1438">
                  <c:v>3.8970280180177799</c:v>
                </c:pt>
                <c:pt idx="1439">
                  <c:v>3.8239082013912147</c:v>
                </c:pt>
                <c:pt idx="1440">
                  <c:v>3.7496723571322597</c:v>
                </c:pt>
                <c:pt idx="1441">
                  <c:v>3.6743467301107988</c:v>
                </c:pt>
                <c:pt idx="1442">
                  <c:v>3.597957873492716</c:v>
                </c:pt>
                <c:pt idx="1443">
                  <c:v>3.5205326395165035</c:v>
                </c:pt>
                <c:pt idx="1444">
                  <c:v>3.4420981701890585</c:v>
                </c:pt>
                <c:pt idx="1445">
                  <c:v>3.3626818879036131</c:v>
                </c:pt>
                <c:pt idx="1446">
                  <c:v>3.2823114859832008</c:v>
                </c:pt>
                <c:pt idx="1447">
                  <c:v>3.2010149191525801</c:v>
                </c:pt>
                <c:pt idx="1448">
                  <c:v>3.118820393942316</c:v>
                </c:pt>
                <c:pt idx="1449">
                  <c:v>3.0357563590276557</c:v>
                </c:pt>
                <c:pt idx="1450">
                  <c:v>2.9518514955062423</c:v>
                </c:pt>
                <c:pt idx="1451">
                  <c:v>2.8671347071171103</c:v>
                </c:pt>
                <c:pt idx="1452">
                  <c:v>2.7816351104050243</c:v>
                </c:pt>
                <c:pt idx="1453">
                  <c:v>2.6953820248327682</c:v>
                </c:pt>
                <c:pt idx="1454">
                  <c:v>2.6084049628454906</c:v>
                </c:pt>
                <c:pt idx="1455">
                  <c:v>2.5207336198895653</c:v>
                </c:pt>
                <c:pt idx="1456">
                  <c:v>2.4323978643901327</c:v>
                </c:pt>
                <c:pt idx="1457">
                  <c:v>2.3434277276898845</c:v>
                </c:pt>
                <c:pt idx="1458">
                  <c:v>2.2538533939533121</c:v>
                </c:pt>
                <c:pt idx="1459">
                  <c:v>2.1637051900388458</c:v>
                </c:pt>
                <c:pt idx="1460">
                  <c:v>2.0730135753430936</c:v>
                </c:pt>
                <c:pt idx="1461">
                  <c:v>1.9818091316197777</c:v>
                </c:pt>
                <c:pt idx="1462">
                  <c:v>1.8901225527775798</c:v>
                </c:pt>
                <c:pt idx="1463">
                  <c:v>1.7979846346593387</c:v>
                </c:pt>
                <c:pt idx="1464">
                  <c:v>1.705426264806833</c:v>
                </c:pt>
                <c:pt idx="1465">
                  <c:v>1.6124784122137199</c:v>
                </c:pt>
                <c:pt idx="1466">
                  <c:v>1.519172117070859</c:v>
                </c:pt>
                <c:pt idx="1467">
                  <c:v>1.425538480506453</c:v>
                </c:pt>
                <c:pt idx="1468">
                  <c:v>1.3316086543252037</c:v>
                </c:pt>
                <c:pt idx="1469">
                  <c:v>1.2374138307491649</c:v>
                </c:pt>
                <c:pt idx="1470">
                  <c:v>1.1429852321641358</c:v>
                </c:pt>
                <c:pt idx="1471">
                  <c:v>1.0483541008746089</c:v>
                </c:pt>
                <c:pt idx="1472">
                  <c:v>0.95355168887083286</c:v>
                </c:pt>
                <c:pt idx="1473">
                  <c:v>0.85860924761100776</c:v>
                </c:pt>
                <c:pt idx="1474">
                  <c:v>0.76355801782228794</c:v>
                </c:pt>
                <c:pt idx="1475">
                  <c:v>0.66842921932359667</c:v>
                </c:pt>
                <c:pt idx="1476">
                  <c:v>0.57325404087375298</c:v>
                </c:pt>
                <c:pt idx="1477">
                  <c:v>0.47806363004788216</c:v>
                </c:pt>
                <c:pt idx="1478">
                  <c:v>0.38288908314573727</c:v>
                </c:pt>
                <c:pt idx="1479">
                  <c:v>0.28776143513486724</c:v>
                </c:pt>
                <c:pt idx="1480">
                  <c:v>0.19271164963207507</c:v>
                </c:pt>
                <c:pt idx="1481">
                  <c:v>9.77706089260518E-2</c:v>
                </c:pt>
                <c:pt idx="1482">
                  <c:v>2.9691040448695063E-3</c:v>
                </c:pt>
                <c:pt idx="1483">
                  <c:v>-9.1662175129194154E-2</c:v>
                </c:pt>
                <c:pt idx="1484">
                  <c:v>-0.18609264969348391</c:v>
                </c:pt>
                <c:pt idx="1485">
                  <c:v>-0.28029186150529783</c:v>
                </c:pt>
                <c:pt idx="1486">
                  <c:v>-0.37422948290473518</c:v>
                </c:pt>
                <c:pt idx="1487">
                  <c:v>-0.46787532637780399</c:v>
                </c:pt>
                <c:pt idx="1488">
                  <c:v>-0.56119935415585809</c:v>
                </c:pt>
                <c:pt idx="1489">
                  <c:v>-0.65417168774930523</c:v>
                </c:pt>
                <c:pt idx="1490">
                  <c:v>-0.7467626174117048</c:v>
                </c:pt>
                <c:pt idx="1491">
                  <c:v>-0.83894261153210647</c:v>
                </c:pt>
                <c:pt idx="1492">
                  <c:v>-0.93068232595180822</c:v>
                </c:pt>
                <c:pt idx="1493">
                  <c:v>-1.021952613203585</c:v>
                </c:pt>
                <c:pt idx="1494">
                  <c:v>-1.1127245316696361</c:v>
                </c:pt>
                <c:pt idx="1495">
                  <c:v>-1.2029693546562044</c:v>
                </c:pt>
                <c:pt idx="1496">
                  <c:v>-1.2926585793811907</c:v>
                </c:pt>
                <c:pt idx="1497">
                  <c:v>-1.3817639358729303</c:v>
                </c:pt>
                <c:pt idx="1498">
                  <c:v>-1.4702573957765126</c:v>
                </c:pt>
                <c:pt idx="1499">
                  <c:v>-1.5581111810657318</c:v>
                </c:pt>
                <c:pt idx="1500">
                  <c:v>-1.6452977726571441</c:v>
                </c:pt>
                <c:pt idx="1501">
                  <c:v>-1.7317899189244896</c:v>
                </c:pt>
                <c:pt idx="1502">
                  <c:v>-1.8175606441101875</c:v>
                </c:pt>
                <c:pt idx="1503">
                  <c:v>-1.9025832566315968</c:v>
                </c:pt>
                <c:pt idx="1504">
                  <c:v>-1.9868313572797889</c:v>
                </c:pt>
                <c:pt idx="1505">
                  <c:v>-2.0702788473076583</c:v>
                </c:pt>
                <c:pt idx="1506">
                  <c:v>-2.1528999364058032</c:v>
                </c:pt>
                <c:pt idx="1507">
                  <c:v>-2.2346691505629646</c:v>
                </c:pt>
                <c:pt idx="1508">
                  <c:v>-2.3155613398093995</c:v>
                </c:pt>
                <c:pt idx="1509">
                  <c:v>-2.3955516858400796</c:v>
                </c:pt>
                <c:pt idx="1510">
                  <c:v>-2.4746157095163031</c:v>
                </c:pt>
                <c:pt idx="1511">
                  <c:v>-2.5527292782426971</c:v>
                </c:pt>
                <c:pt idx="1512">
                  <c:v>-2.6298686132181492</c:v>
                </c:pt>
                <c:pt idx="1513">
                  <c:v>-2.7060102965577602</c:v>
                </c:pt>
                <c:pt idx="1514">
                  <c:v>-2.7811312782845401</c:v>
                </c:pt>
                <c:pt idx="1515">
                  <c:v>-2.8552088831880664</c:v>
                </c:pt>
                <c:pt idx="1516">
                  <c:v>-2.9282208175487643</c:v>
                </c:pt>
                <c:pt idx="1517">
                  <c:v>-3.0001451757251458</c:v>
                </c:pt>
                <c:pt idx="1518">
                  <c:v>-3.0709604466028777</c:v>
                </c:pt>
                <c:pt idx="1519">
                  <c:v>-3.1406455199031096</c:v>
                </c:pt>
                <c:pt idx="1520">
                  <c:v>-3.2091796923488971</c:v>
                </c:pt>
                <c:pt idx="1521">
                  <c:v>-3.2765426736872927</c:v>
                </c:pt>
                <c:pt idx="1522">
                  <c:v>-3.3427145925661081</c:v>
                </c:pt>
                <c:pt idx="1523">
                  <c:v>-3.407676002263059</c:v>
                </c:pt>
                <c:pt idx="1524">
                  <c:v>-3.4714078862661832</c:v>
                </c:pt>
                <c:pt idx="1525">
                  <c:v>-3.5338916637036251</c:v>
                </c:pt>
                <c:pt idx="1526">
                  <c:v>-3.5951091946214992</c:v>
                </c:pt>
                <c:pt idx="1527">
                  <c:v>-3.6550427851082476</c:v>
                </c:pt>
                <c:pt idx="1528">
                  <c:v>-3.7136751922642754</c:v>
                </c:pt>
                <c:pt idx="1529">
                  <c:v>-3.7709896290153013</c:v>
                </c:pt>
                <c:pt idx="1530">
                  <c:v>-3.8269697687682842</c:v>
                </c:pt>
                <c:pt idx="1531">
                  <c:v>-3.881599749908617</c:v>
                </c:pt>
                <c:pt idx="1532">
                  <c:v>-3.9348641801375144</c:v>
                </c:pt>
                <c:pt idx="1533">
                  <c:v>-3.9867481406483067</c:v>
                </c:pt>
                <c:pt idx="1534">
                  <c:v>-4.0372371901406909</c:v>
                </c:pt>
                <c:pt idx="1535">
                  <c:v>-4.0863173686718417</c:v>
                </c:pt>
                <c:pt idx="1536">
                  <c:v>-4.1339752013435582</c:v>
                </c:pt>
                <c:pt idx="1537">
                  <c:v>-4.1801977018242873</c:v>
                </c:pt>
                <c:pt idx="1538">
                  <c:v>-4.2249723757055184</c:v>
                </c:pt>
                <c:pt idx="1539">
                  <c:v>-4.2682872236913374</c:v>
                </c:pt>
                <c:pt idx="1540">
                  <c:v>-4.310130744620837</c:v>
                </c:pt>
                <c:pt idx="1541">
                  <c:v>-4.350491938322306</c:v>
                </c:pt>
                <c:pt idx="1542">
                  <c:v>-4.3893603082989294</c:v>
                </c:pt>
                <c:pt idx="1543">
                  <c:v>-4.4267258642450322</c:v>
                </c:pt>
                <c:pt idx="1544">
                  <c:v>-4.4625791243927804</c:v>
                </c:pt>
                <c:pt idx="1545">
                  <c:v>-4.4969111176884846</c:v>
                </c:pt>
                <c:pt idx="1546">
                  <c:v>-4.5297133857984511</c:v>
                </c:pt>
                <c:pt idx="1547">
                  <c:v>-4.5609779849436869</c:v>
                </c:pt>
                <c:pt idx="1548">
                  <c:v>-4.590697487563518</c:v>
                </c:pt>
                <c:pt idx="1549">
                  <c:v>-4.6188649838075779</c:v>
                </c:pt>
                <c:pt idx="1550">
                  <c:v>-4.6454740828562597</c:v>
                </c:pt>
                <c:pt idx="1551">
                  <c:v>-4.6705189140692323</c:v>
                </c:pt>
                <c:pt idx="1552">
                  <c:v>-4.6939941279622488</c:v>
                </c:pt>
                <c:pt idx="1553">
                  <c:v>-4.7158948970119736</c:v>
                </c:pt>
                <c:pt idx="1554">
                  <c:v>-4.7362169162891075</c:v>
                </c:pt>
                <c:pt idx="1555">
                  <c:v>-4.7549564039196719</c:v>
                </c:pt>
                <c:pt idx="1556">
                  <c:v>-4.7721101013748761</c:v>
                </c:pt>
                <c:pt idx="1557">
                  <c:v>-4.7876752735895396</c:v>
                </c:pt>
                <c:pt idx="1558">
                  <c:v>-4.8016497089095216</c:v>
                </c:pt>
                <c:pt idx="1559">
                  <c:v>-4.8140317188683852</c:v>
                </c:pt>
                <c:pt idx="1560">
                  <c:v>-4.8248201377936857</c:v>
                </c:pt>
                <c:pt idx="1561">
                  <c:v>-4.8340143222433749</c:v>
                </c:pt>
                <c:pt idx="1562">
                  <c:v>-4.8416141502727443</c:v>
                </c:pt>
                <c:pt idx="1563">
                  <c:v>-4.8476200205324975</c:v>
                </c:pt>
                <c:pt idx="1564">
                  <c:v>-4.8520328511985387</c:v>
                </c:pt>
                <c:pt idx="1565">
                  <c:v>-4.8548540787341103</c:v>
                </c:pt>
                <c:pt idx="1566">
                  <c:v>-4.8560856564850194</c:v>
                </c:pt>
                <c:pt idx="1567">
                  <c:v>-4.8557300531087133</c:v>
                </c:pt>
                <c:pt idx="1568">
                  <c:v>-4.8537902508379522</c:v>
                </c:pt>
                <c:pt idx="1569">
                  <c:v>-4.850269743580049</c:v>
                </c:pt>
                <c:pt idx="1570">
                  <c:v>-4.8451725348525025</c:v>
                </c:pt>
                <c:pt idx="1571">
                  <c:v>-4.8385031355560439</c:v>
                </c:pt>
                <c:pt idx="1572">
                  <c:v>-4.8302665615860976</c:v>
                </c:pt>
                <c:pt idx="1573">
                  <c:v>-4.8204683312837355</c:v>
                </c:pt>
                <c:pt idx="1574">
                  <c:v>-4.8091144627272326</c:v>
                </c:pt>
                <c:pt idx="1575">
                  <c:v>-4.7962114708654342</c:v>
                </c:pt>
                <c:pt idx="1576">
                  <c:v>-4.7817663644940787</c:v>
                </c:pt>
                <c:pt idx="1577">
                  <c:v>-4.7657866430764591</c:v>
                </c:pt>
                <c:pt idx="1578">
                  <c:v>-4.7482802934096178</c:v>
                </c:pt>
                <c:pt idx="1579">
                  <c:v>-4.7292557861375624</c:v>
                </c:pt>
                <c:pt idx="1580">
                  <c:v>-4.708722072112784</c:v>
                </c:pt>
                <c:pt idx="1581">
                  <c:v>-4.6866885786076979</c:v>
                </c:pt>
                <c:pt idx="1582">
                  <c:v>-4.6631652053773527</c:v>
                </c:pt>
                <c:pt idx="1583">
                  <c:v>-4.6381623205751081</c:v>
                </c:pt>
                <c:pt idx="1584">
                  <c:v>-4.6116907565227159</c:v>
                </c:pt>
                <c:pt idx="1585">
                  <c:v>-4.5837618053366596</c:v>
                </c:pt>
                <c:pt idx="1586">
                  <c:v>-4.5543872144122215</c:v>
                </c:pt>
                <c:pt idx="1587">
                  <c:v>-4.5235791817671753</c:v>
                </c:pt>
                <c:pt idx="1588">
                  <c:v>-4.4913503512467345</c:v>
                </c:pt>
                <c:pt idx="1589">
                  <c:v>-4.4577138075917606</c:v>
                </c:pt>
                <c:pt idx="1590">
                  <c:v>-4.4226830713718526</c:v>
                </c:pt>
                <c:pt idx="1591">
                  <c:v>-4.3862720937854478</c:v>
                </c:pt>
                <c:pt idx="1592">
                  <c:v>-4.3484952513286617</c:v>
                </c:pt>
                <c:pt idx="1593">
                  <c:v>-4.3093673403350179</c:v>
                </c:pt>
                <c:pt idx="1594">
                  <c:v>-4.2689035713879759</c:v>
                </c:pt>
                <c:pt idx="1595">
                  <c:v>-4.2271195636083769</c:v>
                </c:pt>
                <c:pt idx="1596">
                  <c:v>-4.1840313388187935</c:v>
                </c:pt>
                <c:pt idx="1597">
                  <c:v>-4.1396553155870572</c:v>
                </c:pt>
                <c:pt idx="1598">
                  <c:v>-4.0940083031510071</c:v>
                </c:pt>
                <c:pt idx="1599">
                  <c:v>-4.0471074952267445</c:v>
                </c:pt>
                <c:pt idx="1600">
                  <c:v>-3.9989704637024985</c:v>
                </c:pt>
                <c:pt idx="1601">
                  <c:v>-3.9496151522205336</c:v>
                </c:pt>
                <c:pt idx="1602">
                  <c:v>-3.8990598696492658</c:v>
                </c:pt>
                <c:pt idx="1603">
                  <c:v>-3.8473232834480031</c:v>
                </c:pt>
                <c:pt idx="1604">
                  <c:v>-3.794424412926543</c:v>
                </c:pt>
                <c:pt idx="1605">
                  <c:v>-3.7403826224022483</c:v>
                </c:pt>
                <c:pt idx="1606">
                  <c:v>-3.6852176142566595</c:v>
                </c:pt>
                <c:pt idx="1607">
                  <c:v>-3.6289494218945855</c:v>
                </c:pt>
                <c:pt idx="1608">
                  <c:v>-3.5715984026075867</c:v>
                </c:pt>
                <c:pt idx="1609">
                  <c:v>-3.5131852303448734</c:v>
                </c:pt>
                <c:pt idx="1610">
                  <c:v>-3.453730888393661</c:v>
                </c:pt>
                <c:pt idx="1611">
                  <c:v>-3.3932566619720728</c:v>
                </c:pt>
                <c:pt idx="1612">
                  <c:v>-3.3317841307365756</c:v>
                </c:pt>
                <c:pt idx="1613">
                  <c:v>-3.2693351612071022</c:v>
                </c:pt>
                <c:pt idx="1614">
                  <c:v>-3.2059318991119654</c:v>
                </c:pt>
                <c:pt idx="1615">
                  <c:v>-3.1415967616557712</c:v>
                </c:pt>
                <c:pt idx="1616">
                  <c:v>-3.0763524297123821</c:v>
                </c:pt>
                <c:pt idx="1617">
                  <c:v>-3.0102218399461833</c:v>
                </c:pt>
                <c:pt idx="1618">
                  <c:v>-2.9432281768638258</c:v>
                </c:pt>
                <c:pt idx="1619">
                  <c:v>-2.8753948647997447</c:v>
                </c:pt>
                <c:pt idx="1620">
                  <c:v>-2.8067455598375508</c:v>
                </c:pt>
                <c:pt idx="1621">
                  <c:v>-2.7373041416706636</c:v>
                </c:pt>
                <c:pt idx="1622">
                  <c:v>-2.6670947054043492</c:v>
                </c:pt>
                <c:pt idx="1623">
                  <c:v>-2.5961415533026195</c:v>
                </c:pt>
                <c:pt idx="1624">
                  <c:v>-2.5244691864820643</c:v>
                </c:pt>
                <c:pt idx="1625">
                  <c:v>-2.4521022965560806</c:v>
                </c:pt>
                <c:pt idx="1626">
                  <c:v>-2.3790657572317282</c:v>
                </c:pt>
                <c:pt idx="1627">
                  <c:v>-2.3053846158625939</c:v>
                </c:pt>
                <c:pt idx="1628">
                  <c:v>-2.2310840849601177</c:v>
                </c:pt>
                <c:pt idx="1629">
                  <c:v>-2.1561895336662458</c:v>
                </c:pt>
                <c:pt idx="1630">
                  <c:v>-2.0807264791905915</c:v>
                </c:pt>
                <c:pt idx="1631">
                  <c:v>-2.0047205782144255</c:v>
                </c:pt>
                <c:pt idx="1632">
                  <c:v>-1.9281976182650387</c:v>
                </c:pt>
                <c:pt idx="1633">
                  <c:v>-1.8511835090626028</c:v>
                </c:pt>
                <c:pt idx="1634">
                  <c:v>-1.773704273843099</c:v>
                </c:pt>
                <c:pt idx="1635">
                  <c:v>-1.6957860406595318</c:v>
                </c:pt>
                <c:pt idx="1636">
                  <c:v>-1.6174550336650368</c:v>
                </c:pt>
                <c:pt idx="1637">
                  <c:v>-1.5387375643799694</c:v>
                </c:pt>
                <c:pt idx="1638">
                  <c:v>-1.4596600229465821</c:v>
                </c:pt>
                <c:pt idx="1639">
                  <c:v>-1.3802488693734964</c:v>
                </c:pt>
                <c:pt idx="1640">
                  <c:v>-1.3005306247735846</c:v>
                </c:pt>
                <c:pt idx="1641">
                  <c:v>-1.2205318625973249</c:v>
                </c:pt>
                <c:pt idx="1642">
                  <c:v>-1.1402791998652511</c:v>
                </c:pt>
                <c:pt idx="1643">
                  <c:v>-1.0597992884016689</c:v>
                </c:pt>
                <c:pt idx="1644">
                  <c:v>-0.97911880607324975</c:v>
                </c:pt>
                <c:pt idx="1645">
                  <c:v>-0.89826444803454031</c:v>
                </c:pt>
                <c:pt idx="1646">
                  <c:v>-0.81726291798398221</c:v>
                </c:pt>
                <c:pt idx="1647">
                  <c:v>-0.73614091943258764</c:v>
                </c:pt>
                <c:pt idx="1648">
                  <c:v>-0.65492514698885462</c:v>
                </c:pt>
                <c:pt idx="1649">
                  <c:v>-0.57364227766191256</c:v>
                </c:pt>
                <c:pt idx="1650">
                  <c:v>-0.49231896218645255</c:v>
                </c:pt>
                <c:pt idx="1651">
                  <c:v>-0.41098181637164222</c:v>
                </c:pt>
                <c:pt idx="1652">
                  <c:v>-0.32965741247723829</c:v>
                </c:pt>
                <c:pt idx="1653">
                  <c:v>-0.24837227061939077</c:v>
                </c:pt>
                <c:pt idx="1654">
                  <c:v>-0.16715285020908113</c:v>
                </c:pt>
                <c:pt idx="1655">
                  <c:v>-8.6025541425674687E-2</c:v>
                </c:pt>
                <c:pt idx="1656">
                  <c:v>-5.0166567286265796E-3</c:v>
                </c:pt>
                <c:pt idx="1657">
                  <c:v>7.5847577590213391E-2</c:v>
                </c:pt>
                <c:pt idx="1658">
                  <c:v>0.15654102981082157</c:v>
                </c:pt>
                <c:pt idx="1659">
                  <c:v>0.23703767114333607</c:v>
                </c:pt>
                <c:pt idx="1660">
                  <c:v>0.31731158403754589</c:v>
                </c:pt>
                <c:pt idx="1661">
                  <c:v>0.39733697044116223</c:v>
                </c:pt>
                <c:pt idx="1662">
                  <c:v>0.47708816000407905</c:v>
                </c:pt>
                <c:pt idx="1663">
                  <c:v>0.5565396182263127</c:v>
                </c:pt>
                <c:pt idx="1664">
                  <c:v>0.63566595454663588</c:v>
                </c:pt>
                <c:pt idx="1665">
                  <c:v>0.71444193036995407</c:v>
                </c:pt>
                <c:pt idx="1666">
                  <c:v>0.79284246703018058</c:v>
                </c:pt>
                <c:pt idx="1667">
                  <c:v>0.87084265368693936</c:v>
                </c:pt>
                <c:pt idx="1668">
                  <c:v>0.94841775515288951</c:v>
                </c:pt>
                <c:pt idx="1669">
                  <c:v>1.0255432196499248</c:v>
                </c:pt>
                <c:pt idx="1670">
                  <c:v>1.1021946864911012</c:v>
                </c:pt>
                <c:pt idx="1671">
                  <c:v>1.1783479936867287</c:v>
                </c:pt>
                <c:pt idx="1672">
                  <c:v>1.2539791854715339</c:v>
                </c:pt>
                <c:pt idx="1673">
                  <c:v>1.3290645197512569</c:v>
                </c:pt>
                <c:pt idx="1674">
                  <c:v>1.4035804754656682</c:v>
                </c:pt>
                <c:pt idx="1675">
                  <c:v>1.4775037598665413</c:v>
                </c:pt>
                <c:pt idx="1676">
                  <c:v>1.550811315707632</c:v>
                </c:pt>
                <c:pt idx="1677">
                  <c:v>1.6234803283451367</c:v>
                </c:pt>
                <c:pt idx="1678">
                  <c:v>1.6954882327457665</c:v>
                </c:pt>
                <c:pt idx="1679">
                  <c:v>1.76681272040107</c:v>
                </c:pt>
                <c:pt idx="1680">
                  <c:v>1.8374317461452359</c:v>
                </c:pt>
                <c:pt idx="1681">
                  <c:v>1.907323534874936</c:v>
                </c:pt>
                <c:pt idx="1682">
                  <c:v>1.9764665881685286</c:v>
                </c:pt>
                <c:pt idx="1683">
                  <c:v>2.0448396908033644</c:v>
                </c:pt>
                <c:pt idx="1684">
                  <c:v>2.1124219171686036</c:v>
                </c:pt>
                <c:pt idx="1685">
                  <c:v>2.1791926375721413</c:v>
                </c:pt>
                <c:pt idx="1686">
                  <c:v>2.2451315244394192</c:v>
                </c:pt>
                <c:pt idx="1687">
                  <c:v>2.3102185584025015</c:v>
                </c:pt>
                <c:pt idx="1688">
                  <c:v>2.3744340342775057</c:v>
                </c:pt>
                <c:pt idx="1689">
                  <c:v>2.4377585669287987</c:v>
                </c:pt>
                <c:pt idx="1690">
                  <c:v>2.5001730970180329</c:v>
                </c:pt>
                <c:pt idx="1691">
                  <c:v>2.5616588966365339</c:v>
                </c:pt>
                <c:pt idx="1692">
                  <c:v>2.6221975748192712</c:v>
                </c:pt>
                <c:pt idx="1693">
                  <c:v>2.6817710829390142</c:v>
                </c:pt>
                <c:pt idx="1694">
                  <c:v>2.740361719978905</c:v>
                </c:pt>
                <c:pt idx="1695">
                  <c:v>2.7979521376821128</c:v>
                </c:pt>
                <c:pt idx="1696">
                  <c:v>2.8545253455769899</c:v>
                </c:pt>
                <c:pt idx="1697">
                  <c:v>2.9100647158765018</c:v>
                </c:pt>
                <c:pt idx="1698">
                  <c:v>2.9645539882502598</c:v>
                </c:pt>
                <c:pt idx="1699">
                  <c:v>3.0179772744682247</c:v>
                </c:pt>
                <c:pt idx="1700">
                  <c:v>3.0703190629143018</c:v>
                </c:pt>
                <c:pt idx="1701">
                  <c:v>3.1215642229691389</c:v>
                </c:pt>
                <c:pt idx="1702">
                  <c:v>3.171698009260433</c:v>
                </c:pt>
                <c:pt idx="1703">
                  <c:v>3.2207060657800395</c:v>
                </c:pt>
                <c:pt idx="1704">
                  <c:v>3.2685744298663049</c:v>
                </c:pt>
                <c:pt idx="1705">
                  <c:v>3.3152895360510843</c:v>
                </c:pt>
                <c:pt idx="1706">
                  <c:v>3.3608382197699633</c:v>
                </c:pt>
                <c:pt idx="1707">
                  <c:v>3.4052077209351319</c:v>
                </c:pt>
                <c:pt idx="1708">
                  <c:v>3.4483856873695529</c:v>
                </c:pt>
                <c:pt idx="1709">
                  <c:v>3.4903601781020299</c:v>
                </c:pt>
                <c:pt idx="1710">
                  <c:v>3.5311196665219184</c:v>
                </c:pt>
                <c:pt idx="1711">
                  <c:v>3.5706530433930879</c:v>
                </c:pt>
                <c:pt idx="1712">
                  <c:v>3.608949619725994</c:v>
                </c:pt>
                <c:pt idx="1713">
                  <c:v>3.6459991295076217</c:v>
                </c:pt>
                <c:pt idx="1714">
                  <c:v>3.6817917322882616</c:v>
                </c:pt>
                <c:pt idx="1715">
                  <c:v>3.7163180156249012</c:v>
                </c:pt>
                <c:pt idx="1716">
                  <c:v>3.7495689973802917</c:v>
                </c:pt>
                <c:pt idx="1717">
                  <c:v>3.7815361278776227</c:v>
                </c:pt>
                <c:pt idx="1718">
                  <c:v>3.8122112919100175</c:v>
                </c:pt>
                <c:pt idx="1719">
                  <c:v>3.8415868106046727</c:v>
                </c:pt>
                <c:pt idx="1720">
                  <c:v>3.8696554431411783</c:v>
                </c:pt>
                <c:pt idx="1721">
                  <c:v>3.8964103883237771</c:v>
                </c:pt>
                <c:pt idx="1722">
                  <c:v>3.9218452860072786</c:v>
                </c:pt>
                <c:pt idx="1723">
                  <c:v>3.9459542183764849</c:v>
                </c:pt>
                <c:pt idx="1724">
                  <c:v>3.9687317110788989</c:v>
                </c:pt>
                <c:pt idx="1725">
                  <c:v>3.9901727342106565</c:v>
                </c:pt>
                <c:pt idx="1726">
                  <c:v>4.0102727031556187</c:v>
                </c:pt>
                <c:pt idx="1727">
                  <c:v>4.0290274792776248</c:v>
                </c:pt>
                <c:pt idx="1728">
                  <c:v>4.0464333704659152</c:v>
                </c:pt>
                <c:pt idx="1729">
                  <c:v>4.0624871315338416</c:v>
                </c:pt>
                <c:pt idx="1730">
                  <c:v>4.0771859644709716</c:v>
                </c:pt>
                <c:pt idx="1731">
                  <c:v>4.0905275185488188</c:v>
                </c:pt>
                <c:pt idx="1732">
                  <c:v>4.1025098902803521</c:v>
                </c:pt>
                <c:pt idx="1733">
                  <c:v>4.113131623233655</c:v>
                </c:pt>
                <c:pt idx="1734">
                  <c:v>4.1223917076999488</c:v>
                </c:pt>
                <c:pt idx="1735">
                  <c:v>4.1302895802164752</c:v>
                </c:pt>
                <c:pt idx="1736">
                  <c:v>4.1368251229445319</c:v>
                </c:pt>
                <c:pt idx="1737">
                  <c:v>4.141998662903247</c:v>
                </c:pt>
                <c:pt idx="1738">
                  <c:v>4.1458109710594782</c:v>
                </c:pt>
                <c:pt idx="1739">
                  <c:v>4.1482632612745123</c:v>
                </c:pt>
                <c:pt idx="1740">
                  <c:v>4.1493571891080778</c:v>
                </c:pt>
                <c:pt idx="1741">
                  <c:v>4.1490948504803651</c:v>
                </c:pt>
                <c:pt idx="1742">
                  <c:v>4.1474787801927411</c:v>
                </c:pt>
                <c:pt idx="1743">
                  <c:v>4.1445119503078738</c:v>
                </c:pt>
                <c:pt idx="1744">
                  <c:v>4.140197768390089</c:v>
                </c:pt>
                <c:pt idx="1745">
                  <c:v>4.1345400756067416</c:v>
                </c:pt>
                <c:pt idx="1746">
                  <c:v>4.1275431446915034</c:v>
                </c:pt>
                <c:pt idx="1747">
                  <c:v>4.1192116777704779</c:v>
                </c:pt>
                <c:pt idx="1748">
                  <c:v>4.1095508040520849</c:v>
                </c:pt>
                <c:pt idx="1749">
                  <c:v>4.0985660773817107</c:v>
                </c:pt>
                <c:pt idx="1750">
                  <c:v>4.0862634736622141</c:v>
                </c:pt>
                <c:pt idx="1751">
                  <c:v>4.0726493881413015</c:v>
                </c:pt>
                <c:pt idx="1752">
                  <c:v>4.0577306325669511</c:v>
                </c:pt>
                <c:pt idx="1753">
                  <c:v>4.0415144322120335</c:v>
                </c:pt>
                <c:pt idx="1754">
                  <c:v>4.0240084227693149</c:v>
                </c:pt>
                <c:pt idx="1755">
                  <c:v>4.0052206471181631</c:v>
                </c:pt>
                <c:pt idx="1756">
                  <c:v>3.9851595519641183</c:v>
                </c:pt>
                <c:pt idx="1757">
                  <c:v>3.963833984352815</c:v>
                </c:pt>
                <c:pt idx="1758">
                  <c:v>3.9412531880594366</c:v>
                </c:pt>
                <c:pt idx="1759">
                  <c:v>3.9174267998553103</c:v>
                </c:pt>
                <c:pt idx="1760">
                  <c:v>3.8923648456528763</c:v>
                </c:pt>
                <c:pt idx="1761">
                  <c:v>3.86607773653069</c:v>
                </c:pt>
                <c:pt idx="1762">
                  <c:v>3.8385762646398036</c:v>
                </c:pt>
                <c:pt idx="1763">
                  <c:v>3.8098715989932757</c:v>
                </c:pt>
                <c:pt idx="1764">
                  <c:v>3.7799752811401564</c:v>
                </c:pt>
                <c:pt idx="1765">
                  <c:v>3.7488992207258138</c:v>
                </c:pt>
                <c:pt idx="1766">
                  <c:v>3.7166556909400077</c:v>
                </c:pt>
                <c:pt idx="1767">
                  <c:v>3.6832573238546842</c:v>
                </c:pt>
                <c:pt idx="1768">
                  <c:v>3.6487171056528931</c:v>
                </c:pt>
                <c:pt idx="1769">
                  <c:v>3.6130483717508834</c:v>
                </c:pt>
                <c:pt idx="1770">
                  <c:v>3.5762648018148862</c:v>
                </c:pt>
                <c:pt idx="1771">
                  <c:v>3.5383804146747013</c:v>
                </c:pt>
                <c:pt idx="1772">
                  <c:v>3.4994095631356026</c:v>
                </c:pt>
                <c:pt idx="1773">
                  <c:v>3.4593669286907534</c:v>
                </c:pt>
                <c:pt idx="1774">
                  <c:v>3.4182675161357312</c:v>
                </c:pt>
                <c:pt idx="1775">
                  <c:v>3.3761266480874874</c:v>
                </c:pt>
                <c:pt idx="1776">
                  <c:v>3.3329599594091963</c:v>
                </c:pt>
                <c:pt idx="1777">
                  <c:v>3.2887833915434763</c:v>
                </c:pt>
                <c:pt idx="1778">
                  <c:v>3.2436131867556801</c:v>
                </c:pt>
                <c:pt idx="1779">
                  <c:v>3.1974658822894195</c:v>
                </c:pt>
                <c:pt idx="1780">
                  <c:v>3.1503583044363674</c:v>
                </c:pt>
                <c:pt idx="1781">
                  <c:v>3.1023075625224235</c:v>
                </c:pt>
                <c:pt idx="1782">
                  <c:v>3.0533310428123501</c:v>
                </c:pt>
                <c:pt idx="1783">
                  <c:v>3.0034464023351126</c:v>
                </c:pt>
                <c:pt idx="1784">
                  <c:v>2.9526715626318092</c:v>
                </c:pt>
                <c:pt idx="1785">
                  <c:v>2.9010247034287593</c:v>
                </c:pt>
                <c:pt idx="1786">
                  <c:v>2.8485242562376296</c:v>
                </c:pt>
                <c:pt idx="1787">
                  <c:v>2.7951888978849837</c:v>
                </c:pt>
                <c:pt idx="1788">
                  <c:v>2.741037543973408</c:v>
                </c:pt>
                <c:pt idx="1789">
                  <c:v>2.6860893422766496</c:v>
                </c:pt>
                <c:pt idx="1790">
                  <c:v>2.6303636660705649</c:v>
                </c:pt>
                <c:pt idx="1791">
                  <c:v>2.5738801074030375</c:v>
                </c:pt>
                <c:pt idx="1792">
                  <c:v>2.5166584703041122</c:v>
                </c:pt>
                <c:pt idx="1793">
                  <c:v>2.4587187639395536</c:v>
                </c:pt>
                <c:pt idx="1794">
                  <c:v>2.4000811957096699</c:v>
                </c:pt>
                <c:pt idx="1795">
                  <c:v>2.3407661642959394</c:v>
                </c:pt>
                <c:pt idx="1796">
                  <c:v>2.2807942526577176</c:v>
                </c:pt>
                <c:pt idx="1797">
                  <c:v>2.2201862209816046</c:v>
                </c:pt>
                <c:pt idx="1798">
                  <c:v>2.1589629995853143</c:v>
                </c:pt>
                <c:pt idx="1799">
                  <c:v>2.0971456817794203</c:v>
                </c:pt>
                <c:pt idx="1800">
                  <c:v>2.0347555166882008</c:v>
                </c:pt>
                <c:pt idx="1801">
                  <c:v>1.971813902032979</c:v>
                </c:pt>
                <c:pt idx="1802">
                  <c:v>1.9083423768798466</c:v>
                </c:pt>
                <c:pt idx="1803">
                  <c:v>1.8443626143543734</c:v>
                </c:pt>
                <c:pt idx="1804">
                  <c:v>1.7798964143256977</c:v>
                </c:pt>
                <c:pt idx="1805">
                  <c:v>1.7149656960626074</c:v>
                </c:pt>
                <c:pt idx="1806">
                  <c:v>1.649592490863514</c:v>
                </c:pt>
                <c:pt idx="1807">
                  <c:v>1.5837989346637977</c:v>
                </c:pt>
                <c:pt idx="1808">
                  <c:v>1.5176072606217164</c:v>
                </c:pt>
                <c:pt idx="1809">
                  <c:v>1.4510397916863838</c:v>
                </c:pt>
                <c:pt idx="1810">
                  <c:v>1.3841189331497039</c:v>
                </c:pt>
                <c:pt idx="1811">
                  <c:v>1.3168671651849058</c:v>
                </c:pt>
                <c:pt idx="1812">
                  <c:v>1.2493070353740845</c:v>
                </c:pt>
                <c:pt idx="1813">
                  <c:v>1.1814611512273752</c:v>
                </c:pt>
                <c:pt idx="1814">
                  <c:v>1.1133521726957998</c:v>
                </c:pt>
                <c:pt idx="1815">
                  <c:v>1.0450028046807935</c:v>
                </c:pt>
                <c:pt idx="1816">
                  <c:v>0.97643578954244703</c:v>
                </c:pt>
                <c:pt idx="1817">
                  <c:v>0.90767389960908029</c:v>
                </c:pt>
                <c:pt idx="1818">
                  <c:v>0.8387399296905661</c:v>
                </c:pt>
                <c:pt idx="1819">
                  <c:v>0.76965668959782552</c:v>
                </c:pt>
                <c:pt idx="1820">
                  <c:v>0.70044699667091914</c:v>
                </c:pt>
                <c:pt idx="1821">
                  <c:v>0.6311336683183032</c:v>
                </c:pt>
                <c:pt idx="1822">
                  <c:v>0.56173951456926596</c:v>
                </c:pt>
                <c:pt idx="1823">
                  <c:v>0.4922873306424943</c:v>
                </c:pt>
                <c:pt idx="1824">
                  <c:v>0.42279988953275743</c:v>
                </c:pt>
                <c:pt idx="1825">
                  <c:v>0.35329993461825798</c:v>
                </c:pt>
                <c:pt idx="1826">
                  <c:v>0.28381017229097388</c:v>
                </c:pt>
                <c:pt idx="1827">
                  <c:v>0.21435326461254089</c:v>
                </c:pt>
                <c:pt idx="1828">
                  <c:v>0.14495182199743359</c:v>
                </c:pt>
                <c:pt idx="1829">
                  <c:v>7.5628395926894645E-2</c:v>
                </c:pt>
                <c:pt idx="1830">
                  <c:v>6.4054716945763888E-3</c:v>
                </c:pt>
                <c:pt idx="1831">
                  <c:v>-6.2694538812678946E-2</c:v>
                </c:pt>
                <c:pt idx="1832">
                  <c:v>-0.13164930429722727</c:v>
                </c:pt>
                <c:pt idx="1833">
                  <c:v>-0.20043658119370961</c:v>
                </c:pt>
                <c:pt idx="1834">
                  <c:v>-0.26903422077063288</c:v>
                </c:pt>
                <c:pt idx="1835">
                  <c:v>-0.33742017618801157</c:v>
                </c:pt>
                <c:pt idx="1836">
                  <c:v>-0.40557250950944129</c:v>
                </c:pt>
                <c:pt idx="1837">
                  <c:v>-0.47346939866528931</c:v>
                </c:pt>
                <c:pt idx="1838">
                  <c:v>-0.54108914436616906</c:v>
                </c:pt>
                <c:pt idx="1839">
                  <c:v>-0.60841017696342503</c:v>
                </c:pt>
                <c:pt idx="1840">
                  <c:v>-0.67541106325507572</c:v>
                </c:pt>
                <c:pt idx="1841">
                  <c:v>-0.74207051323490825</c:v>
                </c:pt>
                <c:pt idx="1842">
                  <c:v>-0.80836738678267206</c:v>
                </c:pt>
                <c:pt idx="1843">
                  <c:v>-0.87428070029313942</c:v>
                </c:pt>
                <c:pt idx="1844">
                  <c:v>-0.9397896332423753</c:v>
                </c:pt>
                <c:pt idx="1845">
                  <c:v>-1.0048735346886579</c:v>
                </c:pt>
                <c:pt idx="1846">
                  <c:v>-1.0695119297064415</c:v>
                </c:pt>
                <c:pt idx="1847">
                  <c:v>-1.1336845257512282</c:v>
                </c:pt>
                <c:pt idx="1848">
                  <c:v>-1.1973712189534138</c:v>
                </c:pt>
                <c:pt idx="1849">
                  <c:v>-1.2605521003391942</c:v>
                </c:pt>
                <c:pt idx="1850">
                  <c:v>-1.323207461976645</c:v>
                </c:pt>
                <c:pt idx="1851">
                  <c:v>-1.3853178030449667</c:v>
                </c:pt>
                <c:pt idx="1852">
                  <c:v>-1.4468638358254144</c:v>
                </c:pt>
                <c:pt idx="1853">
                  <c:v>-1.507826491611614</c:v>
                </c:pt>
                <c:pt idx="1854">
                  <c:v>-1.568186926537839</c:v>
                </c:pt>
                <c:pt idx="1855">
                  <c:v>-1.6279265273233605</c:v>
                </c:pt>
                <c:pt idx="1856">
                  <c:v>-1.6870269169311816</c:v>
                </c:pt>
                <c:pt idx="1857">
                  <c:v>-1.7454699601393109</c:v>
                </c:pt>
                <c:pt idx="1858">
                  <c:v>-1.8032377690234207</c:v>
                </c:pt>
                <c:pt idx="1859">
                  <c:v>-1.8603127083483084</c:v>
                </c:pt>
                <c:pt idx="1860">
                  <c:v>-1.9166774008677323</c:v>
                </c:pt>
                <c:pt idx="1861">
                  <c:v>-1.9723147325300929</c:v>
                </c:pt>
                <c:pt idx="1862">
                  <c:v>-2.0272078575889605</c:v>
                </c:pt>
                <c:pt idx="1863">
                  <c:v>-2.0813402036167732</c:v>
                </c:pt>
                <c:pt idx="1864">
                  <c:v>-2.134695476420295</c:v>
                </c:pt>
                <c:pt idx="1865">
                  <c:v>-2.1872576648562627</c:v>
                </c:pt>
                <c:pt idx="1866">
                  <c:v>-2.2390110455462873</c:v>
                </c:pt>
                <c:pt idx="1867">
                  <c:v>-2.289940187488793</c:v>
                </c:pt>
                <c:pt idx="1868">
                  <c:v>-2.3400299565677276</c:v>
                </c:pt>
                <c:pt idx="1869">
                  <c:v>-2.3892655199558943</c:v>
                </c:pt>
                <c:pt idx="1870">
                  <c:v>-2.4376323504121173</c:v>
                </c:pt>
                <c:pt idx="1871">
                  <c:v>-2.4851162304709007</c:v>
                </c:pt>
                <c:pt idx="1872">
                  <c:v>-2.5317032565234139</c:v>
                </c:pt>
                <c:pt idx="1873">
                  <c:v>-2.5773798427885772</c:v>
                </c:pt>
                <c:pt idx="1874">
                  <c:v>-2.6221327251735267</c:v>
                </c:pt>
                <c:pt idx="1875">
                  <c:v>-2.6659489650216548</c:v>
                </c:pt>
                <c:pt idx="1876">
                  <c:v>-2.7088159527481253</c:v>
                </c:pt>
                <c:pt idx="1877">
                  <c:v>-2.7507214113611247</c:v>
                </c:pt>
                <c:pt idx="1878">
                  <c:v>-2.791653399868312</c:v>
                </c:pt>
                <c:pt idx="1879">
                  <c:v>-2.8316003165674291</c:v>
                </c:pt>
                <c:pt idx="1880">
                  <c:v>-2.8705509022202405</c:v>
                </c:pt>
                <c:pt idx="1881">
                  <c:v>-2.9084942431089642</c:v>
                </c:pt>
                <c:pt idx="1882">
                  <c:v>-2.9454197739743364</c:v>
                </c:pt>
                <c:pt idx="1883">
                  <c:v>-2.9813172808348707</c:v>
                </c:pt>
                <c:pt idx="1884">
                  <c:v>-3.0161769036860013</c:v>
                </c:pt>
                <c:pt idx="1885">
                  <c:v>-3.0499891390791847</c:v>
                </c:pt>
                <c:pt idx="1886">
                  <c:v>-3.0827448425797512</c:v>
                </c:pt>
                <c:pt idx="1887">
                  <c:v>-3.1144352311032057</c:v>
                </c:pt>
                <c:pt idx="1888">
                  <c:v>-3.1450518851293747</c:v>
                </c:pt>
                <c:pt idx="1889">
                  <c:v>-3.174586750793889</c:v>
                </c:pt>
                <c:pt idx="1890">
                  <c:v>-3.2030321418564855</c:v>
                </c:pt>
                <c:pt idx="1891">
                  <c:v>-3.2303807415459587</c:v>
                </c:pt>
                <c:pt idx="1892">
                  <c:v>-3.2566256042808752</c:v>
                </c:pt>
                <c:pt idx="1893">
                  <c:v>-3.2817601572663486</c:v>
                </c:pt>
                <c:pt idx="1894">
                  <c:v>-3.30577820196606</c:v>
                </c:pt>
                <c:pt idx="1895">
                  <c:v>-3.3286739154495311</c:v>
                </c:pt>
                <c:pt idx="1896">
                  <c:v>-3.3504418516143826</c:v>
                </c:pt>
                <c:pt idx="1897">
                  <c:v>-3.3710769422833704</c:v>
                </c:pt>
                <c:pt idx="1898">
                  <c:v>-3.3905744981760773</c:v>
                </c:pt>
                <c:pt idx="1899">
                  <c:v>-3.4089302097552592</c:v>
                </c:pt>
                <c:pt idx="1900">
                  <c:v>-3.426140147947625</c:v>
                </c:pt>
                <c:pt idx="1901">
                  <c:v>-3.4422007647391912</c:v>
                </c:pt>
                <c:pt idx="1902">
                  <c:v>-3.4571088936451848</c:v>
                </c:pt>
                <c:pt idx="1903">
                  <c:v>-3.4708617500545476</c:v>
                </c:pt>
                <c:pt idx="1904">
                  <c:v>-3.4834569314492163</c:v>
                </c:pt>
                <c:pt idx="1905">
                  <c:v>-3.4948924174982681</c:v>
                </c:pt>
                <c:pt idx="1906">
                  <c:v>-3.5051665700271513</c:v>
                </c:pt>
                <c:pt idx="1907">
                  <c:v>-3.5142781328622896</c:v>
                </c:pt>
                <c:pt idx="1908">
                  <c:v>-3.5222262315512229</c:v>
                </c:pt>
                <c:pt idx="1909">
                  <c:v>-3.5290103729587043</c:v>
                </c:pt>
                <c:pt idx="1910">
                  <c:v>-3.5346304447390708</c:v>
                </c:pt>
                <c:pt idx="1911">
                  <c:v>-3.5390867146852529</c:v>
                </c:pt>
                <c:pt idx="1912">
                  <c:v>-3.5423798299549194</c:v>
                </c:pt>
                <c:pt idx="1913">
                  <c:v>-3.5445108161741974</c:v>
                </c:pt>
                <c:pt idx="1914">
                  <c:v>-3.5454810764194549</c:v>
                </c:pt>
                <c:pt idx="1915">
                  <c:v>-3.5452923900777646</c:v>
                </c:pt>
                <c:pt idx="1916">
                  <c:v>-3.5439469115865783</c:v>
                </c:pt>
                <c:pt idx="1917">
                  <c:v>-3.5414471690532774</c:v>
                </c:pt>
                <c:pt idx="1918">
                  <c:v>-3.5377960627552554</c:v>
                </c:pt>
                <c:pt idx="1919">
                  <c:v>-3.5329968635212268</c:v>
                </c:pt>
                <c:pt idx="1920">
                  <c:v>-3.5270532109945365</c:v>
                </c:pt>
                <c:pt idx="1921">
                  <c:v>-3.5199691117792038</c:v>
                </c:pt>
                <c:pt idx="1922">
                  <c:v>-3.5117489374695774</c:v>
                </c:pt>
                <c:pt idx="1923">
                  <c:v>-3.502397422564381</c:v>
                </c:pt>
                <c:pt idx="1924">
                  <c:v>-3.4919196622661106</c:v>
                </c:pt>
                <c:pt idx="1925">
                  <c:v>-3.4803211101666642</c:v>
                </c:pt>
                <c:pt idx="1926">
                  <c:v>-3.4676075758201783</c:v>
                </c:pt>
                <c:pt idx="1927">
                  <c:v>-3.4537852222040599</c:v>
                </c:pt>
                <c:pt idx="1928">
                  <c:v>-3.4388605630692868</c:v>
                </c:pt>
                <c:pt idx="1929">
                  <c:v>-3.4228404601809221</c:v>
                </c:pt>
                <c:pt idx="1930">
                  <c:v>-3.4057321204501489</c:v>
                </c:pt>
                <c:pt idx="1931">
                  <c:v>-3.3875430929587087</c:v>
                </c:pt>
                <c:pt idx="1932">
                  <c:v>-3.3682812658771142</c:v>
                </c:pt>
                <c:pt idx="1933">
                  <c:v>-3.3479548632777232</c:v>
                </c:pt>
                <c:pt idx="1934">
                  <c:v>-3.3265724418439442</c:v>
                </c:pt>
                <c:pt idx="1935">
                  <c:v>-3.3041428874768033</c:v>
                </c:pt>
                <c:pt idx="1936">
                  <c:v>-3.2806754118002406</c:v>
                </c:pt>
                <c:pt idx="1937">
                  <c:v>-3.2561795485663256</c:v>
                </c:pt>
                <c:pt idx="1938">
                  <c:v>-3.2306651499618941</c:v>
                </c:pt>
                <c:pt idx="1939">
                  <c:v>-3.2041423828178939</c:v>
                </c:pt>
                <c:pt idx="1940">
                  <c:v>-3.1766217247228843</c:v>
                </c:pt>
                <c:pt idx="1941">
                  <c:v>-3.1481139600421284</c:v>
                </c:pt>
                <c:pt idx="1942">
                  <c:v>-3.1186301758437431</c:v>
                </c:pt>
                <c:pt idx="1943">
                  <c:v>-3.0881817577333996</c:v>
                </c:pt>
                <c:pt idx="1944">
                  <c:v>-3.0567803855991622</c:v>
                </c:pt>
                <c:pt idx="1945">
                  <c:v>-3.0244380292678521</c:v>
                </c:pt>
                <c:pt idx="1946">
                  <c:v>-2.9911669440747342</c:v>
                </c:pt>
                <c:pt idx="1947">
                  <c:v>-2.9569796663479564</c:v>
                </c:pt>
                <c:pt idx="1948">
                  <c:v>-2.9218890088094502</c:v>
                </c:pt>
                <c:pt idx="1949">
                  <c:v>-2.8859080558939132</c:v>
                </c:pt>
                <c:pt idx="1950">
                  <c:v>-2.8490501589876289</c:v>
                </c:pt>
                <c:pt idx="1951">
                  <c:v>-2.8113289315885566</c:v>
                </c:pt>
                <c:pt idx="1952">
                  <c:v>-2.7727582443899408</c:v>
                </c:pt>
                <c:pt idx="1953">
                  <c:v>-2.733352220288511</c:v>
                </c:pt>
                <c:pt idx="1954">
                  <c:v>-2.6931252293196102</c:v>
                </c:pt>
                <c:pt idx="1955">
                  <c:v>-2.6520918835207103</c:v>
                </c:pt>
                <c:pt idx="1956">
                  <c:v>-2.6102670317252441</c:v>
                </c:pt>
                <c:pt idx="1957">
                  <c:v>-2.5676657542885284</c:v>
                </c:pt>
                <c:pt idx="1958">
                  <c:v>-2.5243033577477414</c:v>
                </c:pt>
                <c:pt idx="1959">
                  <c:v>-2.4801953694174692</c:v>
                </c:pt>
                <c:pt idx="1960">
                  <c:v>-2.4353575319233505</c:v>
                </c:pt>
                <c:pt idx="1961">
                  <c:v>-2.3898057976749163</c:v>
                </c:pt>
                <c:pt idx="1962">
                  <c:v>-2.3435563232802004</c:v>
                </c:pt>
                <c:pt idx="1963">
                  <c:v>-2.2966254639036885</c:v>
                </c:pt>
                <c:pt idx="1964">
                  <c:v>-2.2490297675696711</c:v>
                </c:pt>
                <c:pt idx="1965">
                  <c:v>-2.200785969412911</c:v>
                </c:pt>
                <c:pt idx="1966">
                  <c:v>-2.1519109858787226</c:v>
                </c:pt>
                <c:pt idx="1967">
                  <c:v>-2.1024219088741569</c:v>
                </c:pt>
                <c:pt idx="1968">
                  <c:v>-2.0523359998726707</c:v>
                </c:pt>
                <c:pt idx="1969">
                  <c:v>-2.0016706839739995</c:v>
                </c:pt>
                <c:pt idx="1970">
                  <c:v>-1.950443543921377</c:v>
                </c:pt>
                <c:pt idx="1971">
                  <c:v>-1.8986723140780963</c:v>
                </c:pt>
                <c:pt idx="1972">
                  <c:v>-1.8463748743654738</c:v>
                </c:pt>
                <c:pt idx="1973">
                  <c:v>-1.7935692441642206</c:v>
                </c:pt>
                <c:pt idx="1974">
                  <c:v>-1.740273576181419</c:v>
                </c:pt>
                <c:pt idx="1975">
                  <c:v>-1.6865061502848495</c:v>
                </c:pt>
                <c:pt idx="1976">
                  <c:v>-1.6322853673071573</c:v>
                </c:pt>
                <c:pt idx="1977">
                  <c:v>-1.5776297428216175</c:v>
                </c:pt>
                <c:pt idx="1978">
                  <c:v>-1.5225579008917174</c:v>
                </c:pt>
                <c:pt idx="1979">
                  <c:v>-1.4670885677965904</c:v>
                </c:pt>
                <c:pt idx="1980">
                  <c:v>-1.4112405657345513</c:v>
                </c:pt>
                <c:pt idx="1981">
                  <c:v>-1.3550328065063488</c:v>
                </c:pt>
                <c:pt idx="1982">
                  <c:v>-1.2984842851811185</c:v>
                </c:pt>
                <c:pt idx="1983">
                  <c:v>-1.2416140737460564</c:v>
                </c:pt>
                <c:pt idx="1984">
                  <c:v>-1.1844413147428052</c:v>
                </c:pt>
                <c:pt idx="1985">
                  <c:v>-1.1269852148921684</c:v>
                </c:pt>
                <c:pt idx="1986">
                  <c:v>-1.0692650387094156</c:v>
                </c:pt>
                <c:pt idx="1987">
                  <c:v>-1.0113001021122283</c:v>
                </c:pt>
                <c:pt idx="1988">
                  <c:v>-0.9531097660235528</c:v>
                </c:pt>
                <c:pt idx="1989">
                  <c:v>-0.89471342997094727</c:v>
                </c:pt>
                <c:pt idx="1990">
                  <c:v>-0.83613052568545698</c:v>
                </c:pt>
                <c:pt idx="1991">
                  <c:v>-0.77738051070097292</c:v>
                </c:pt>
                <c:pt idx="1992">
                  <c:v>-0.7184828619570871</c:v>
                </c:pt>
                <c:pt idx="1993">
                  <c:v>-0.65945706940703053</c:v>
                </c:pt>
                <c:pt idx="1994">
                  <c:v>-0.60032262963293148</c:v>
                </c:pt>
                <c:pt idx="1995">
                  <c:v>-0.54109903947041438</c:v>
                </c:pt>
                <c:pt idx="1996">
                  <c:v>-0.48180578964476894</c:v>
                </c:pt>
                <c:pt idx="1997">
                  <c:v>-0.422462358420235</c:v>
                </c:pt>
                <c:pt idx="1998">
                  <c:v>-0.36308820526540075</c:v>
                </c:pt>
                <c:pt idx="1999">
                  <c:v>-0.30370276453559775</c:v>
                </c:pt>
                <c:pt idx="2000">
                  <c:v>-0.24432543917526939</c:v>
                </c:pt>
                <c:pt idx="2001">
                  <c:v>-0.18497559444182607</c:v>
                </c:pt>
                <c:pt idx="2002">
                  <c:v>-0.12567255165315749</c:v>
                </c:pt>
                <c:pt idx="2003">
                  <c:v>-6.6435581960754095E-2</c:v>
                </c:pt>
                <c:pt idx="2004">
                  <c:v>-7.283900150562044E-3</c:v>
                </c:pt>
                <c:pt idx="2005">
                  <c:v>5.1763341526778424E-2</c:v>
                </c:pt>
                <c:pt idx="2006">
                  <c:v>0.11068705949402716</c:v>
                </c:pt>
                <c:pt idx="2007">
                  <c:v>0.16946824495184593</c:v>
                </c:pt>
                <c:pt idx="2008">
                  <c:v>0.22808796994796526</c:v>
                </c:pt>
                <c:pt idx="2009">
                  <c:v>0.28652739340911698</c:v>
                </c:pt>
                <c:pt idx="2010">
                  <c:v>0.3447677671335117</c:v>
                </c:pt>
                <c:pt idx="2011">
                  <c:v>0.40279044174232181</c:v>
                </c:pt>
                <c:pt idx="2012">
                  <c:v>0.46057687258802293</c:v>
                </c:pt>
                <c:pt idx="2013">
                  <c:v>0.51810862561809223</c:v>
                </c:pt>
                <c:pt idx="2014">
                  <c:v>0.57536738319190373</c:v>
                </c:pt>
                <c:pt idx="2015">
                  <c:v>0.63233494984903471</c:v>
                </c:pt>
                <c:pt idx="2016">
                  <c:v>0.6889932580273711</c:v>
                </c:pt>
                <c:pt idx="2017">
                  <c:v>0.74532437372924953</c:v>
                </c:pt>
                <c:pt idx="2018">
                  <c:v>0.80131050213357768</c:v>
                </c:pt>
                <c:pt idx="2019">
                  <c:v>0.85693399315252516</c:v>
                </c:pt>
                <c:pt idx="2020">
                  <c:v>0.91217734693080921</c:v>
                </c:pt>
                <c:pt idx="2021">
                  <c:v>0.9670232192862156</c:v>
                </c:pt>
                <c:pt idx="2022">
                  <c:v>1.0214544270893735</c:v>
                </c:pt>
                <c:pt idx="2023">
                  <c:v>1.0754539535811618</c:v>
                </c:pt>
                <c:pt idx="2024">
                  <c:v>1.1290049536263065</c:v>
                </c:pt>
                <c:pt idx="2025">
                  <c:v>1.1820907589015726</c:v>
                </c:pt>
                <c:pt idx="2026">
                  <c:v>1.2346948830166931</c:v>
                </c:pt>
                <c:pt idx="2027">
                  <c:v>1.2868010265667942</c:v>
                </c:pt>
                <c:pt idx="2028">
                  <c:v>1.3383930821145433</c:v>
                </c:pt>
                <c:pt idx="2029">
                  <c:v>1.3894551391008514</c:v>
                </c:pt>
                <c:pt idx="2030">
                  <c:v>1.4399714886822226</c:v>
                </c:pt>
                <c:pt idx="2031">
                  <c:v>1.4899266284937538</c:v>
                </c:pt>
                <c:pt idx="2032">
                  <c:v>1.5393052673358261</c:v>
                </c:pt>
                <c:pt idx="2033">
                  <c:v>1.5880923297837983</c:v>
                </c:pt>
                <c:pt idx="2034">
                  <c:v>1.6362729607186672</c:v>
                </c:pt>
                <c:pt idx="2035">
                  <c:v>1.6838325297777696</c:v>
                </c:pt>
                <c:pt idx="2036">
                  <c:v>1.7307566357239768</c:v>
                </c:pt>
                <c:pt idx="2037">
                  <c:v>1.7770311107324082</c:v>
                </c:pt>
                <c:pt idx="2038">
                  <c:v>1.8226420245930113</c:v>
                </c:pt>
                <c:pt idx="2039">
                  <c:v>1.8675756888282031</c:v>
                </c:pt>
                <c:pt idx="2040">
                  <c:v>1.9118186607238881</c:v>
                </c:pt>
                <c:pt idx="2041">
                  <c:v>1.9553577472733386</c:v>
                </c:pt>
                <c:pt idx="2042">
                  <c:v>1.9981800090321942</c:v>
                </c:pt>
                <c:pt idx="2043">
                  <c:v>2.0402727638838503</c:v>
                </c:pt>
                <c:pt idx="2044">
                  <c:v>2.0816235907139702</c:v>
                </c:pt>
                <c:pt idx="2045">
                  <c:v>2.1222203329933329</c:v>
                </c:pt>
                <c:pt idx="2046">
                  <c:v>2.1620511022676929</c:v>
                </c:pt>
                <c:pt idx="2047">
                  <c:v>2.2011042815539179</c:v>
                </c:pt>
                <c:pt idx="2048">
                  <c:v>2.2393685286413829</c:v>
                </c:pt>
                <c:pt idx="2049">
                  <c:v>2.2768327792977132</c:v>
                </c:pt>
                <c:pt idx="2050">
                  <c:v>2.3134862503780114</c:v>
                </c:pt>
                <c:pt idx="2051">
                  <c:v>2.3493184428367413</c:v>
                </c:pt>
                <c:pt idx="2052">
                  <c:v>2.3843191446413812</c:v>
                </c:pt>
                <c:pt idx="2053">
                  <c:v>2.4184784335872704</c:v>
                </c:pt>
                <c:pt idx="2054">
                  <c:v>2.4517866800126464</c:v>
                </c:pt>
                <c:pt idx="2055">
                  <c:v>2.4842345494133702</c:v>
                </c:pt>
                <c:pt idx="2056">
                  <c:v>2.5158130049565077</c:v>
                </c:pt>
                <c:pt idx="2057">
                  <c:v>2.5465133098924193</c:v>
                </c:pt>
                <c:pt idx="2058">
                  <c:v>2.5763270298642733</c:v>
                </c:pt>
                <c:pt idx="2059">
                  <c:v>2.6052460351149112</c:v>
                </c:pt>
                <c:pt idx="2060">
                  <c:v>2.633262502590179</c:v>
                </c:pt>
                <c:pt idx="2061">
                  <c:v>2.6603689179384653</c:v>
                </c:pt>
                <c:pt idx="2062">
                  <c:v>2.6865580774057842</c:v>
                </c:pt>
                <c:pt idx="2063">
                  <c:v>2.711823089626102</c:v>
                </c:pt>
                <c:pt idx="2064">
                  <c:v>2.7361573773064225</c:v>
                </c:pt>
                <c:pt idx="2065">
                  <c:v>2.75955467880646</c:v>
                </c:pt>
                <c:pt idx="2066">
                  <c:v>2.7820090496122285</c:v>
                </c:pt>
                <c:pt idx="2067">
                  <c:v>2.8035148637036418</c:v>
                </c:pt>
                <c:pt idx="2068">
                  <c:v>2.8240668148155716</c:v>
                </c:pt>
                <c:pt idx="2069">
                  <c:v>2.8436599175923667</c:v>
                </c:pt>
                <c:pt idx="2070">
                  <c:v>2.8622895086354689</c:v>
                </c:pt>
                <c:pt idx="2071">
                  <c:v>2.8799512474440858</c:v>
                </c:pt>
                <c:pt idx="2072">
                  <c:v>2.8966411172487558</c:v>
                </c:pt>
                <c:pt idx="2073">
                  <c:v>2.9123554257377897</c:v>
                </c:pt>
                <c:pt idx="2074">
                  <c:v>2.9270908056764839</c:v>
                </c:pt>
                <c:pt idx="2075">
                  <c:v>2.940844215419061</c:v>
                </c:pt>
                <c:pt idx="2076">
                  <c:v>2.9536129393134885</c:v>
                </c:pt>
                <c:pt idx="2077">
                  <c:v>2.965394587999155</c:v>
                </c:pt>
                <c:pt idx="2078">
                  <c:v>2.9761870985974812</c:v>
                </c:pt>
                <c:pt idx="2079">
                  <c:v>2.9859887347956526</c:v>
                </c:pt>
                <c:pt idx="2080">
                  <c:v>2.9947980868235922</c:v>
                </c:pt>
                <c:pt idx="2081">
                  <c:v>3.0026140713244343</c:v>
                </c:pt>
                <c:pt idx="2082">
                  <c:v>3.0094359311186674</c:v>
                </c:pt>
                <c:pt idx="2083">
                  <c:v>3.015263234862227</c:v>
                </c:pt>
                <c:pt idx="2084">
                  <c:v>3.0200958765988979</c:v>
                </c:pt>
                <c:pt idx="2085">
                  <c:v>3.0239340752072996</c:v>
                </c:pt>
                <c:pt idx="2086">
                  <c:v>3.0267783737428591</c:v>
                </c:pt>
                <c:pt idx="2087">
                  <c:v>3.0286296386751421</c:v>
                </c:pt>
                <c:pt idx="2088">
                  <c:v>3.029489059021039</c:v>
                </c:pt>
                <c:pt idx="2089">
                  <c:v>3.0293581453742138</c:v>
                </c:pt>
                <c:pt idx="2090">
                  <c:v>3.0282387288313588</c:v>
                </c:pt>
                <c:pt idx="2091">
                  <c:v>3.026132959815778</c:v>
                </c:pt>
                <c:pt idx="2092">
                  <c:v>3.0230433067988796</c:v>
                </c:pt>
                <c:pt idx="2093">
                  <c:v>3.0189725549201474</c:v>
                </c:pt>
                <c:pt idx="2094">
                  <c:v>3.0139238045062791</c:v>
                </c:pt>
                <c:pt idx="2095">
                  <c:v>3.0079004694901057</c:v>
                </c:pt>
                <c:pt idx="2096">
                  <c:v>3.0009062757300193</c:v>
                </c:pt>
                <c:pt idx="2097">
                  <c:v>2.9929452592306163</c:v>
                </c:pt>
                <c:pt idx="2098">
                  <c:v>2.9840217642653388</c:v>
                </c:pt>
                <c:pt idx="2099">
                  <c:v>2.9741404414018748</c:v>
                </c:pt>
                <c:pt idx="2100">
                  <c:v>2.9633062454312005</c:v>
                </c:pt>
                <c:pt idx="2101">
                  <c:v>2.9515244332009876</c:v>
                </c:pt>
                <c:pt idx="2102">
                  <c:v>2.9388005613544128</c:v>
                </c:pt>
                <c:pt idx="2103">
                  <c:v>2.9251404839751562</c:v>
                </c:pt>
                <c:pt idx="2104">
                  <c:v>2.9105503501396059</c:v>
                </c:pt>
                <c:pt idx="2105">
                  <c:v>2.8950366013771602</c:v>
                </c:pt>
                <c:pt idx="2106">
                  <c:v>2.8786059690396981</c:v>
                </c:pt>
                <c:pt idx="2107">
                  <c:v>2.8612654715811709</c:v>
                </c:pt>
                <c:pt idx="2108">
                  <c:v>2.8430224117484815</c:v>
                </c:pt>
                <c:pt idx="2109">
                  <c:v>2.8238843736845198</c:v>
                </c:pt>
                <c:pt idx="2110">
                  <c:v>2.803859219944695</c:v>
                </c:pt>
                <c:pt idx="2111">
                  <c:v>2.7829550884279315</c:v>
                </c:pt>
                <c:pt idx="2112">
                  <c:v>2.7611803892233762</c:v>
                </c:pt>
                <c:pt idx="2113">
                  <c:v>2.738543801373901</c:v>
                </c:pt>
                <c:pt idx="2114">
                  <c:v>2.7150542695577289</c:v>
                </c:pt>
                <c:pt idx="2115">
                  <c:v>2.6907210006893183</c:v>
                </c:pt>
                <c:pt idx="2116">
                  <c:v>2.6655534604408162</c:v>
                </c:pt>
                <c:pt idx="2117">
                  <c:v>2.6395613696853126</c:v>
                </c:pt>
                <c:pt idx="2118">
                  <c:v>2.6127547008632472</c:v>
                </c:pt>
                <c:pt idx="2119">
                  <c:v>2.5851436742732488</c:v>
                </c:pt>
                <c:pt idx="2120">
                  <c:v>2.5567387542888285</c:v>
                </c:pt>
                <c:pt idx="2121">
                  <c:v>2.5275506455021408</c:v>
                </c:pt>
                <c:pt idx="2122">
                  <c:v>2.4975902887964012</c:v>
                </c:pt>
                <c:pt idx="2123">
                  <c:v>2.4668688573482185</c:v>
                </c:pt>
                <c:pt idx="2124">
                  <c:v>2.4353977525614154</c:v>
                </c:pt>
                <c:pt idx="2125">
                  <c:v>2.4031885999335012</c:v>
                </c:pt>
                <c:pt idx="2126">
                  <c:v>2.3702532448567326</c:v>
                </c:pt>
                <c:pt idx="2127">
                  <c:v>2.3366037483547895</c:v>
                </c:pt>
                <c:pt idx="2128">
                  <c:v>2.302252382756838</c:v>
                </c:pt>
                <c:pt idx="2129">
                  <c:v>2.2672116273104921</c:v>
                </c:pt>
                <c:pt idx="2130">
                  <c:v>2.2314941637350199</c:v>
                </c:pt>
                <c:pt idx="2131">
                  <c:v>2.195112871716657</c:v>
                </c:pt>
                <c:pt idx="2132">
                  <c:v>2.1580808243472829</c:v>
                </c:pt>
                <c:pt idx="2133">
                  <c:v>2.1204112835084312</c:v>
                </c:pt>
                <c:pt idx="2134">
                  <c:v>2.0821176952017417</c:v>
                </c:pt>
                <c:pt idx="2135">
                  <c:v>2.043213684827959</c:v>
                </c:pt>
                <c:pt idx="2136">
                  <c:v>2.0037130524158004</c:v>
                </c:pt>
                <c:pt idx="2137">
                  <c:v>1.9636297678025432</c:v>
                </c:pt>
                <c:pt idx="2138">
                  <c:v>1.9229779657677279</c:v>
                </c:pt>
                <c:pt idx="2139">
                  <c:v>1.881771941121974</c:v>
                </c:pt>
                <c:pt idx="2140">
                  <c:v>1.8400261437523364</c:v>
                </c:pt>
                <c:pt idx="2141">
                  <c:v>1.7977551736261137</c:v>
                </c:pt>
                <c:pt idx="2142">
                  <c:v>1.7549737757544412</c:v>
                </c:pt>
                <c:pt idx="2143">
                  <c:v>1.7116968351179709</c:v>
                </c:pt>
                <c:pt idx="2144">
                  <c:v>1.6679393715557658</c:v>
                </c:pt>
                <c:pt idx="2145">
                  <c:v>1.6237165346195943</c:v>
                </c:pt>
                <c:pt idx="2146">
                  <c:v>1.5790435983949924</c:v>
                </c:pt>
                <c:pt idx="2147">
                  <c:v>1.5339359562911994</c:v>
                </c:pt>
                <c:pt idx="2148">
                  <c:v>1.4884091158014592</c:v>
                </c:pt>
                <c:pt idx="2149">
                  <c:v>1.4424786932356664</c:v>
                </c:pt>
                <c:pt idx="2150">
                  <c:v>1.3961604084267472</c:v>
                </c:pt>
                <c:pt idx="2151">
                  <c:v>1.3494700794131602</c:v>
                </c:pt>
                <c:pt idx="2152">
                  <c:v>1.3024236170986669</c:v>
                </c:pt>
                <c:pt idx="2153">
                  <c:v>1.2550370198916316</c:v>
                </c:pt>
                <c:pt idx="2154">
                  <c:v>1.2073263683252433</c:v>
                </c:pt>
                <c:pt idx="2155">
                  <c:v>1.1593078196608255</c:v>
                </c:pt>
                <c:pt idx="2156">
                  <c:v>1.1109976024757444</c:v>
                </c:pt>
                <c:pt idx="2157">
                  <c:v>1.0624120112379434</c:v>
                </c:pt>
                <c:pt idx="2158">
                  <c:v>1.0135674008684845</c:v>
                </c:pt>
                <c:pt idx="2159">
                  <c:v>0.96448018129455604</c:v>
                </c:pt>
                <c:pt idx="2160">
                  <c:v>0.91516681199406125</c:v>
                </c:pt>
                <c:pt idx="2161">
                  <c:v>0.86564379653409673</c:v>
                </c:pt>
                <c:pt idx="2162">
                  <c:v>0.81592767710469072</c:v>
                </c:pt>
                <c:pt idx="2163">
                  <c:v>0.76603502904999732</c:v>
                </c:pt>
                <c:pt idx="2164">
                  <c:v>0.71598245539843153</c:v>
                </c:pt>
                <c:pt idx="2165">
                  <c:v>0.66578658139376523</c:v>
                </c:pt>
                <c:pt idx="2166">
                  <c:v>0.6154640490286668</c:v>
                </c:pt>
                <c:pt idx="2167">
                  <c:v>0.56503151158274811</c:v>
                </c:pt>
                <c:pt idx="2168">
                  <c:v>0.51450562816686651</c:v>
                </c:pt>
                <c:pt idx="2169">
                  <c:v>0.46390305827530015</c:v>
                </c:pt>
                <c:pt idx="2170">
                  <c:v>0.41324045634753509</c:v>
                </c:pt>
                <c:pt idx="2171">
                  <c:v>0.36253446634169934</c:v>
                </c:pt>
                <c:pt idx="2172">
                  <c:v>0.31180171632110182</c:v>
                </c:pt>
                <c:pt idx="2173">
                  <c:v>0.26105881305585193</c:v>
                </c:pt>
                <c:pt idx="2174">
                  <c:v>0.21032233664099831</c:v>
                </c:pt>
                <c:pt idx="2175">
                  <c:v>0.15960883513319352</c:v>
                </c:pt>
                <c:pt idx="2176">
                  <c:v>0.10893481920757857</c:v>
                </c:pt>
                <c:pt idx="2177">
                  <c:v>5.8316756836439346E-2</c:v>
                </c:pt>
                <c:pt idx="2178">
                  <c:v>7.7710679913091862E-3</c:v>
                </c:pt>
                <c:pt idx="2179">
                  <c:v>-4.2685880629515331E-2</c:v>
                </c:pt>
                <c:pt idx="2180">
                  <c:v>-9.3037780846668597E-2</c:v>
                </c:pt>
                <c:pt idx="2181">
                  <c:v>-0.14326838821671981</c:v>
                </c:pt>
                <c:pt idx="2182">
                  <c:v>-0.19336152721914956</c:v>
                </c:pt>
                <c:pt idx="2183">
                  <c:v>-0.24330109641124875</c:v>
                </c:pt>
                <c:pt idx="2184">
                  <c:v>-0.29307107354974576</c:v>
                </c:pt>
                <c:pt idx="2185">
                  <c:v>-0.34265552067702187</c:v>
                </c:pt>
                <c:pt idx="2186">
                  <c:v>-0.39203858917102469</c:v>
                </c:pt>
                <c:pt idx="2187">
                  <c:v>-0.44120452475660998</c:v>
                </c:pt>
                <c:pt idx="2188">
                  <c:v>-0.49013767247717682</c:v>
                </c:pt>
                <c:pt idx="2189">
                  <c:v>-0.53882248162479518</c:v>
                </c:pt>
                <c:pt idx="2190">
                  <c:v>-0.58724351062759395</c:v>
                </c:pt>
                <c:pt idx="2191">
                  <c:v>-0.63538543189249452</c:v>
                </c:pt>
                <c:pt idx="2192">
                  <c:v>-0.68323303660220802</c:v>
                </c:pt>
                <c:pt idx="2193">
                  <c:v>-0.73077123946449551</c:v>
                </c:pt>
                <c:pt idx="2194">
                  <c:v>-0.77798508341292238</c:v>
                </c:pt>
                <c:pt idx="2195">
                  <c:v>-0.82485974425697794</c:v>
                </c:pt>
                <c:pt idx="2196">
                  <c:v>-0.87138053528057113</c:v>
                </c:pt>
                <c:pt idx="2197">
                  <c:v>-0.91753291178723573</c:v>
                </c:pt>
                <c:pt idx="2198">
                  <c:v>-0.96330247559095883</c:v>
                </c:pt>
                <c:pt idx="2199">
                  <c:v>-1.0086749794508811</c:v>
                </c:pt>
                <c:pt idx="2200">
                  <c:v>-1.0536363314489214</c:v>
                </c:pt>
                <c:pt idx="2201">
                  <c:v>-1.0981725993085105</c:v>
                </c:pt>
                <c:pt idx="2202">
                  <c:v>-1.1422700146537859</c:v>
                </c:pt>
                <c:pt idx="2203">
                  <c:v>-1.185914977207325</c:v>
                </c:pt>
                <c:pt idx="2204">
                  <c:v>-1.2290940589255615</c:v>
                </c:pt>
                <c:pt idx="2205">
                  <c:v>-1.2717940080704171</c:v>
                </c:pt>
                <c:pt idx="2206">
                  <c:v>-1.3140017532162025</c:v>
                </c:pt>
                <c:pt idx="2207">
                  <c:v>-1.3557044071902655</c:v>
                </c:pt>
                <c:pt idx="2208">
                  <c:v>-1.3968892709464866</c:v>
                </c:pt>
                <c:pt idx="2209">
                  <c:v>-1.4375438373702574</c:v>
                </c:pt>
                <c:pt idx="2210">
                  <c:v>-1.4776557950141995</c:v>
                </c:pt>
                <c:pt idx="2211">
                  <c:v>-1.5172130317629355</c:v>
                </c:pt>
                <c:pt idx="2212">
                  <c:v>-1.5562036384264522</c:v>
                </c:pt>
                <c:pt idx="2213">
                  <c:v>-1.5946159122605674</c:v>
                </c:pt>
                <c:pt idx="2214">
                  <c:v>-1.6324383604138213</c:v>
                </c:pt>
                <c:pt idx="2215">
                  <c:v>-1.6696597032994913</c:v>
                </c:pt>
                <c:pt idx="2216">
                  <c:v>-1.7062688778920034</c:v>
                </c:pt>
                <c:pt idx="2217">
                  <c:v>-1.7422550409465933</c:v>
                </c:pt>
                <c:pt idx="2218">
                  <c:v>-1.777607572141656</c:v>
                </c:pt>
                <c:pt idx="2219">
                  <c:v>-1.812316077142357</c:v>
                </c:pt>
                <c:pt idx="2220">
                  <c:v>-1.846370390585186</c:v>
                </c:pt>
                <c:pt idx="2221">
                  <c:v>-1.8797605789822476</c:v>
                </c:pt>
                <c:pt idx="2222">
                  <c:v>-1.9124769435447533</c:v>
                </c:pt>
                <c:pt idx="2223">
                  <c:v>-1.944510022924691</c:v>
                </c:pt>
                <c:pt idx="2224">
                  <c:v>-1.9758505958741293</c:v>
                </c:pt>
                <c:pt idx="2225">
                  <c:v>-2.0064896838212563</c:v>
                </c:pt>
                <c:pt idx="2226">
                  <c:v>-2.0364185533627528</c:v>
                </c:pt>
                <c:pt idx="2227">
                  <c:v>-2.0656287186713933</c:v>
                </c:pt>
                <c:pt idx="2228">
                  <c:v>-2.0941119438186955</c:v>
                </c:pt>
                <c:pt idx="2229">
                  <c:v>-2.1218602450116815</c:v>
                </c:pt>
                <c:pt idx="2230">
                  <c:v>-2.1488658927434248</c:v>
                </c:pt>
                <c:pt idx="2231">
                  <c:v>-2.1751214138566137</c:v>
                </c:pt>
                <c:pt idx="2232">
                  <c:v>-2.2006195935197819</c:v>
                </c:pt>
                <c:pt idx="2233">
                  <c:v>-2.2253534771155947</c:v>
                </c:pt>
                <c:pt idx="2234">
                  <c:v>-2.2493163720408851</c:v>
                </c:pt>
                <c:pt idx="2235">
                  <c:v>-2.2725018494178801</c:v>
                </c:pt>
                <c:pt idx="2236">
                  <c:v>-2.2949037457161974</c:v>
                </c:pt>
                <c:pt idx="2237">
                  <c:v>-2.3165161642853844</c:v>
                </c:pt>
                <c:pt idx="2238">
                  <c:v>-2.3373334767975971</c:v>
                </c:pt>
                <c:pt idx="2239">
                  <c:v>-2.3573503246000218</c:v>
                </c:pt>
                <c:pt idx="2240">
                  <c:v>-2.37656161997691</c:v>
                </c:pt>
                <c:pt idx="2241">
                  <c:v>-2.3949625473208287</c:v>
                </c:pt>
                <c:pt idx="2242">
                  <c:v>-2.4125485642130626</c:v>
                </c:pt>
                <c:pt idx="2243">
                  <c:v>-2.4293154024128789</c:v>
                </c:pt>
                <c:pt idx="2244">
                  <c:v>-2.4452590687554547</c:v>
                </c:pt>
                <c:pt idx="2245">
                  <c:v>-2.4603758459584668</c:v>
                </c:pt>
                <c:pt idx="2246">
                  <c:v>-2.4746622933371882</c:v>
                </c:pt>
                <c:pt idx="2247">
                  <c:v>-2.4881152474279724</c:v>
                </c:pt>
                <c:pt idx="2248">
                  <c:v>-2.5007318225201569</c:v>
                </c:pt>
                <c:pt idx="2249">
                  <c:v>-2.5125094110963295</c:v>
                </c:pt>
                <c:pt idx="2250">
                  <c:v>-2.5234456841810373</c:v>
                </c:pt>
                <c:pt idx="2251">
                  <c:v>-2.5335385915979387</c:v>
                </c:pt>
                <c:pt idx="2252">
                  <c:v>-2.5427863621354607</c:v>
                </c:pt>
                <c:pt idx="2253">
                  <c:v>-2.5511875036211573</c:v>
                </c:pt>
                <c:pt idx="2254">
                  <c:v>-2.5587408029048313</c:v>
                </c:pt>
                <c:pt idx="2255">
                  <c:v>-2.5654453257506256</c:v>
                </c:pt>
                <c:pt idx="2256">
                  <c:v>-2.5713004166382811</c:v>
                </c:pt>
                <c:pt idx="2257">
                  <c:v>-2.5763056984737673</c:v>
                </c:pt>
                <c:pt idx="2258">
                  <c:v>-2.5804610722095696</c:v>
                </c:pt>
                <c:pt idx="2259">
                  <c:v>-2.5837667163749298</c:v>
                </c:pt>
                <c:pt idx="2260">
                  <c:v>-2.5862230865163132</c:v>
                </c:pt>
                <c:pt idx="2261">
                  <c:v>-2.5878309145484759</c:v>
                </c:pt>
                <c:pt idx="2262">
                  <c:v>-2.5885912080165094</c:v>
                </c:pt>
                <c:pt idx="2263">
                  <c:v>-2.5885052492692573</c:v>
                </c:pt>
                <c:pt idx="2264">
                  <c:v>-2.5875745945445199</c:v>
                </c:pt>
                <c:pt idx="2265">
                  <c:v>-2.5858010729665319</c:v>
                </c:pt>
                <c:pt idx="2266">
                  <c:v>-2.5831867854561752</c:v>
                </c:pt>
                <c:pt idx="2267">
                  <c:v>-2.5797341035544514</c:v>
                </c:pt>
                <c:pt idx="2268">
                  <c:v>-2.5754456681597495</c:v>
                </c:pt>
                <c:pt idx="2269">
                  <c:v>-2.5703243881794871</c:v>
                </c:pt>
                <c:pt idx="2270">
                  <c:v>-2.5643734390967095</c:v>
                </c:pt>
                <c:pt idx="2271">
                  <c:v>-2.5575962614522574</c:v>
                </c:pt>
                <c:pt idx="2272">
                  <c:v>-2.5499965592431915</c:v>
                </c:pt>
                <c:pt idx="2273">
                  <c:v>-2.5415782982380897</c:v>
                </c:pt>
                <c:pt idx="2274">
                  <c:v>-2.5323457042099782</c:v>
                </c:pt>
                <c:pt idx="2275">
                  <c:v>-2.5223032610875675</c:v>
                </c:pt>
                <c:pt idx="2276">
                  <c:v>-2.5114557090255838</c:v>
                </c:pt>
                <c:pt idx="2277">
                  <c:v>-2.49980804239493</c:v>
                </c:pt>
                <c:pt idx="2278">
                  <c:v>-2.4873655076935766</c:v>
                </c:pt>
                <c:pt idx="2279">
                  <c:v>-2.4741336013788251</c:v>
                </c:pt>
                <c:pt idx="2280">
                  <c:v>-2.4601180676219907</c:v>
                </c:pt>
                <c:pt idx="2281">
                  <c:v>-2.4453248959862468</c:v>
                </c:pt>
                <c:pt idx="2282">
                  <c:v>-2.4297603190286061</c:v>
                </c:pt>
                <c:pt idx="2283">
                  <c:v>-2.4134308098268646</c:v>
                </c:pt>
                <c:pt idx="2284">
                  <c:v>-2.3963430794325715</c:v>
                </c:pt>
                <c:pt idx="2285">
                  <c:v>-2.378504074250861</c:v>
                </c:pt>
                <c:pt idx="2286">
                  <c:v>-2.3599209733483053</c:v>
                </c:pt>
                <c:pt idx="2287">
                  <c:v>-2.3406011856895539</c:v>
                </c:pt>
                <c:pt idx="2288">
                  <c:v>-2.3205523473040355</c:v>
                </c:pt>
                <c:pt idx="2289">
                  <c:v>-2.2997823183836128</c:v>
                </c:pt>
                <c:pt idx="2290">
                  <c:v>-2.2782991803123558</c:v>
                </c:pt>
                <c:pt idx="2291">
                  <c:v>-2.256111232629423</c:v>
                </c:pt>
                <c:pt idx="2292">
                  <c:v>-2.2332269899262909</c:v>
                </c:pt>
                <c:pt idx="2293">
                  <c:v>-2.209655178679315</c:v>
                </c:pt>
                <c:pt idx="2294">
                  <c:v>-2.1854047340190053</c:v>
                </c:pt>
                <c:pt idx="2295">
                  <c:v>-2.1604847964368297</c:v>
                </c:pt>
                <c:pt idx="2296">
                  <c:v>-2.1349047084310957</c:v>
                </c:pt>
                <c:pt idx="2297">
                  <c:v>-2.1086740110928872</c:v>
                </c:pt>
                <c:pt idx="2298">
                  <c:v>-2.0818024406333993</c:v>
                </c:pt>
                <c:pt idx="2299">
                  <c:v>-2.0542999248537659</c:v>
                </c:pt>
                <c:pt idx="2300">
                  <c:v>-2.0261765795588325</c:v>
                </c:pt>
                <c:pt idx="2301">
                  <c:v>-1.9974427049159758</c:v>
                </c:pt>
                <c:pt idx="2302">
                  <c:v>-1.9681087817604079</c:v>
                </c:pt>
                <c:pt idx="2303">
                  <c:v>-1.938185467848015</c:v>
                </c:pt>
                <c:pt idx="2304">
                  <c:v>-1.9076835940574386</c:v>
                </c:pt>
                <c:pt idx="2305">
                  <c:v>-1.8766141605423414</c:v>
                </c:pt>
                <c:pt idx="2306">
                  <c:v>-1.8449883328354824</c:v>
                </c:pt>
                <c:pt idx="2307">
                  <c:v>-1.8128174379057398</c:v>
                </c:pt>
                <c:pt idx="2308">
                  <c:v>-1.7801129601696646</c:v>
                </c:pt>
                <c:pt idx="2309">
                  <c:v>-1.7468865374587836</c:v>
                </c:pt>
                <c:pt idx="2310">
                  <c:v>-1.7131499569442077</c:v>
                </c:pt>
                <c:pt idx="2311">
                  <c:v>-1.6789151510196525</c:v>
                </c:pt>
                <c:pt idx="2312">
                  <c:v>-1.6441941931447543</c:v>
                </c:pt>
                <c:pt idx="2313">
                  <c:v>-1.6089992936496555</c:v>
                </c:pt>
                <c:pt idx="2314">
                  <c:v>-1.5733427955026251</c:v>
                </c:pt>
                <c:pt idx="2315">
                  <c:v>-1.5372371700418854</c:v>
                </c:pt>
                <c:pt idx="2316">
                  <c:v>-1.5006950126733911</c:v>
                </c:pt>
                <c:pt idx="2317">
                  <c:v>-1.4637290385357904</c:v>
                </c:pt>
                <c:pt idx="2318">
                  <c:v>-1.4263520781342469</c:v>
                </c:pt>
                <c:pt idx="2319">
                  <c:v>-1.3885770729442655</c:v>
                </c:pt>
                <c:pt idx="2320">
                  <c:v>-1.3504170709875316</c:v>
                </c:pt>
                <c:pt idx="2321">
                  <c:v>-1.3118852223807329</c:v>
                </c:pt>
                <c:pt idx="2322">
                  <c:v>-1.2729947748592585</c:v>
                </c:pt>
                <c:pt idx="2323">
                  <c:v>-1.2337590692769527</c:v>
                </c:pt>
                <c:pt idx="2324">
                  <c:v>-1.1941915350837564</c:v>
                </c:pt>
                <c:pt idx="2325">
                  <c:v>-1.1543056857825056</c:v>
                </c:pt>
                <c:pt idx="2326">
                  <c:v>-1.114115114366597</c:v>
                </c:pt>
                <c:pt idx="2327">
                  <c:v>-1.0736334887398029</c:v>
                </c:pt>
                <c:pt idx="2328">
                  <c:v>-1.0328745471199852</c:v>
                </c:pt>
                <c:pt idx="2329">
                  <c:v>-0.99185209342822866</c:v>
                </c:pt>
                <c:pt idx="2330">
                  <c:v>-0.95057999266478932</c:v>
                </c:pt>
                <c:pt idx="2331">
                  <c:v>-0.90907216627337428</c:v>
                </c:pt>
                <c:pt idx="2332">
                  <c:v>-0.8673425874955244</c:v>
                </c:pt>
                <c:pt idx="2333">
                  <c:v>-0.82540527671637165</c:v>
                </c:pt>
                <c:pt idx="2334">
                  <c:v>-0.7832742968035209</c:v>
                </c:pt>
                <c:pt idx="2335">
                  <c:v>-0.7409637484403323</c:v>
                </c:pt>
                <c:pt idx="2336">
                  <c:v>-0.69848776545536928</c:v>
                </c:pt>
                <c:pt idx="2337">
                  <c:v>-0.65586051014953073</c:v>
                </c:pt>
                <c:pt idx="2338">
                  <c:v>-0.61309616862226324</c:v>
                </c:pt>
                <c:pt idx="2339">
                  <c:v>-0.5702089460983597</c:v>
                </c:pt>
                <c:pt idx="2340">
                  <c:v>-0.52721306225710707</c:v>
                </c:pt>
                <c:pt idx="2341">
                  <c:v>-0.48412274656504922</c:v>
                </c:pt>
                <c:pt idx="2342">
                  <c:v>-0.44095223361408736</c:v>
                </c:pt>
                <c:pt idx="2343">
                  <c:v>-0.39771575846615231</c:v>
                </c:pt>
                <c:pt idx="2344">
                  <c:v>-0.35442755200632114</c:v>
                </c:pt>
                <c:pt idx="2345">
                  <c:v>-0.31110183630550076</c:v>
                </c:pt>
                <c:pt idx="2346">
                  <c:v>-0.26775281999463069</c:v>
                </c:pt>
                <c:pt idx="2347">
                  <c:v>-0.22439469365129119</c:v>
                </c:pt>
                <c:pt idx="2348">
                  <c:v>-0.18104162520078676</c:v>
                </c:pt>
                <c:pt idx="2349">
                  <c:v>-0.13770775533280857</c:v>
                </c:pt>
                <c:pt idx="2350">
                  <c:v>-9.4407192935366424E-2</c:v>
                </c:pt>
                <c:pt idx="2351">
                  <c:v>-5.1154010547174868E-2</c:v>
                </c:pt>
                <c:pt idx="2352">
                  <c:v>-7.9622398303025935E-3</c:v>
                </c:pt>
                <c:pt idx="2353">
                  <c:v>3.515413293584773E-2</c:v>
                </c:pt>
                <c:pt idx="2354">
                  <c:v>7.8181171337339123E-2</c:v>
                </c:pt>
                <c:pt idx="2355">
                  <c:v>0.12110499328446815</c:v>
                </c:pt>
                <c:pt idx="2356">
                  <c:v>0.16391177544449648</c:v>
                </c:pt>
                <c:pt idx="2357">
                  <c:v>0.20658775764731849</c:v>
                </c:pt>
                <c:pt idx="2358">
                  <c:v>0.24911924726245732</c:v>
                </c:pt>
                <c:pt idx="2359">
                  <c:v>0.29149262354627964</c:v>
                </c:pt>
                <c:pt idx="2360">
                  <c:v>0.33369434195771341</c:v>
                </c:pt>
                <c:pt idx="2361">
                  <c:v>0.3757109384414859</c:v>
                </c:pt>
                <c:pt idx="2362">
                  <c:v>0.41752903367708766</c:v>
                </c:pt>
                <c:pt idx="2363">
                  <c:v>0.45913533729274392</c:v>
                </c:pt>
                <c:pt idx="2364">
                  <c:v>0.5005166520424934</c:v>
                </c:pt>
                <c:pt idx="2365">
                  <c:v>0.54165987794544457</c:v>
                </c:pt>
                <c:pt idx="2366">
                  <c:v>0.58255201638571419</c:v>
                </c:pt>
                <c:pt idx="2367">
                  <c:v>0.6231801741720413</c:v>
                </c:pt>
                <c:pt idx="2368">
                  <c:v>0.66353156755549725</c:v>
                </c:pt>
                <c:pt idx="2369">
                  <c:v>0.70359352620431637</c:v>
                </c:pt>
                <c:pt idx="2370">
                  <c:v>0.74335349713442345</c:v>
                </c:pt>
                <c:pt idx="2371">
                  <c:v>0.78279904859479599</c:v>
                </c:pt>
                <c:pt idx="2372">
                  <c:v>0.8219178739059273</c:v>
                </c:pt>
                <c:pt idx="2373">
                  <c:v>0.86069779525078838</c:v>
                </c:pt>
                <c:pt idx="2374">
                  <c:v>0.8991267674167146</c:v>
                </c:pt>
                <c:pt idx="2375">
                  <c:v>0.93719288148742219</c:v>
                </c:pt>
                <c:pt idx="2376">
                  <c:v>0.97488436848371995</c:v>
                </c:pt>
                <c:pt idx="2377">
                  <c:v>1.0121896029520363</c:v>
                </c:pt>
                <c:pt idx="2378">
                  <c:v>1.0490971064996943</c:v>
                </c:pt>
                <c:pt idx="2379">
                  <c:v>1.0855955512755773</c:v>
                </c:pt>
                <c:pt idx="2380">
                  <c:v>1.1216737633956801</c:v>
                </c:pt>
                <c:pt idx="2381">
                  <c:v>1.1573207263119902</c:v>
                </c:pt>
                <c:pt idx="2382">
                  <c:v>1.1925255841240388</c:v>
                </c:pt>
                <c:pt idx="2383">
                  <c:v>1.2272776448319598</c:v>
                </c:pt>
                <c:pt idx="2384">
                  <c:v>1.2615663835303113</c:v>
                </c:pt>
                <c:pt idx="2385">
                  <c:v>1.2953814455414518</c:v>
                </c:pt>
                <c:pt idx="2386">
                  <c:v>1.3287126494877806</c:v>
                </c:pt>
                <c:pt idx="2387">
                  <c:v>1.3615499903018395</c:v>
                </c:pt>
                <c:pt idx="2388">
                  <c:v>1.3938836421734386</c:v>
                </c:pt>
                <c:pt idx="2389">
                  <c:v>1.4257039614329556</c:v>
                </c:pt>
                <c:pt idx="2390">
                  <c:v>1.457001489369991</c:v>
                </c:pt>
                <c:pt idx="2391">
                  <c:v>1.4877669549865016</c:v>
                </c:pt>
                <c:pt idx="2392">
                  <c:v>1.5179912776838222</c:v>
                </c:pt>
                <c:pt idx="2393">
                  <c:v>1.5476655698825645</c:v>
                </c:pt>
                <c:pt idx="2394">
                  <c:v>1.5767811395748661</c:v>
                </c:pt>
                <c:pt idx="2395">
                  <c:v>1.605329492808105</c:v>
                </c:pt>
                <c:pt idx="2396">
                  <c:v>1.6333023360996759</c:v>
                </c:pt>
                <c:pt idx="2397">
                  <c:v>1.6606915787817293</c:v>
                </c:pt>
                <c:pt idx="2398">
                  <c:v>1.6874893352756697</c:v>
                </c:pt>
                <c:pt idx="2399">
                  <c:v>1.7136879272954968</c:v>
                </c:pt>
                <c:pt idx="2400">
                  <c:v>1.7392798859796081</c:v>
                </c:pt>
                <c:pt idx="2401">
                  <c:v>1.7642579539503054</c:v>
                </c:pt>
                <c:pt idx="2402">
                  <c:v>1.7886150873006208</c:v>
                </c:pt>
                <c:pt idx="2403">
                  <c:v>1.8123444575078069</c:v>
                </c:pt>
                <c:pt idx="2404">
                  <c:v>1.835439453273217</c:v>
                </c:pt>
                <c:pt idx="2405">
                  <c:v>1.8578936822877776</c:v>
                </c:pt>
                <c:pt idx="2406">
                  <c:v>1.8797009729229444</c:v>
                </c:pt>
                <c:pt idx="2407">
                  <c:v>1.9008553758464837</c:v>
                </c:pt>
                <c:pt idx="2408">
                  <c:v>1.9213511655628686</c:v>
                </c:pt>
                <c:pt idx="2409">
                  <c:v>1.9411828418777575</c:v>
                </c:pt>
                <c:pt idx="2410">
                  <c:v>1.9603451312863418</c:v>
                </c:pt>
                <c:pt idx="2411">
                  <c:v>1.9788329882851496</c:v>
                </c:pt>
                <c:pt idx="2412">
                  <c:v>1.9966415966071351</c:v>
                </c:pt>
                <c:pt idx="2413">
                  <c:v>2.0137663703796775</c:v>
                </c:pt>
                <c:pt idx="2414">
                  <c:v>2.0302029552052621</c:v>
                </c:pt>
                <c:pt idx="2415">
                  <c:v>2.0459472291646961</c:v>
                </c:pt>
                <c:pt idx="2416">
                  <c:v>2.0609953037426596</c:v>
                </c:pt>
                <c:pt idx="2417">
                  <c:v>2.0753435246753451</c:v>
                </c:pt>
                <c:pt idx="2418">
                  <c:v>2.0889884727201635</c:v>
                </c:pt>
                <c:pt idx="2419">
                  <c:v>2.1019269643472955</c:v>
                </c:pt>
                <c:pt idx="2420">
                  <c:v>2.1141560523531258</c:v>
                </c:pt>
                <c:pt idx="2421">
                  <c:v>2.1256730263954107</c:v>
                </c:pt>
                <c:pt idx="2422">
                  <c:v>2.136475413450134</c:v>
                </c:pt>
                <c:pt idx="2423">
                  <c:v>2.1465609781901223</c:v>
                </c:pt>
                <c:pt idx="2424">
                  <c:v>2.1559277232854019</c:v>
                </c:pt>
                <c:pt idx="2425">
                  <c:v>2.1645738896253039</c:v>
                </c:pt>
                <c:pt idx="2426">
                  <c:v>2.1724979564624363</c:v>
                </c:pt>
                <c:pt idx="2427">
                  <c:v>2.1796986414785793</c:v>
                </c:pt>
                <c:pt idx="2428">
                  <c:v>2.1861749007726732</c:v>
                </c:pt>
                <c:pt idx="2429">
                  <c:v>2.1919259287709907</c:v>
                </c:pt>
                <c:pt idx="2430">
                  <c:v>2.1969511580596732</c:v>
                </c:pt>
                <c:pt idx="2431">
                  <c:v>2.2012502591398633</c:v>
                </c:pt>
                <c:pt idx="2432">
                  <c:v>2.2048231401056131</c:v>
                </c:pt>
                <c:pt idx="2433">
                  <c:v>2.2076699462448319</c:v>
                </c:pt>
                <c:pt idx="2434">
                  <c:v>2.2097910595635386</c:v>
                </c:pt>
                <c:pt idx="2435">
                  <c:v>2.2111870982336979</c:v>
                </c:pt>
                <c:pt idx="2436">
                  <c:v>2.2118589159649962</c:v>
                </c:pt>
                <c:pt idx="2437">
                  <c:v>2.2118076013008592</c:v>
                </c:pt>
                <c:pt idx="2438">
                  <c:v>2.2110344768390968</c:v>
                </c:pt>
                <c:pt idx="2439">
                  <c:v>2.2095410983775676</c:v>
                </c:pt>
                <c:pt idx="2440">
                  <c:v>2.2073292539852667</c:v>
                </c:pt>
                <c:pt idx="2441">
                  <c:v>2.2044009629992898</c:v>
                </c:pt>
                <c:pt idx="2442">
                  <c:v>2.2007584749481159</c:v>
                </c:pt>
                <c:pt idx="2443">
                  <c:v>2.1964042684017167</c:v>
                </c:pt>
                <c:pt idx="2444">
                  <c:v>2.1913410497489672</c:v>
                </c:pt>
                <c:pt idx="2445">
                  <c:v>2.185571751902927</c:v>
                </c:pt>
                <c:pt idx="2446">
                  <c:v>2.1790995329345049</c:v>
                </c:pt>
                <c:pt idx="2447">
                  <c:v>2.1719277746351389</c:v>
                </c:pt>
                <c:pt idx="2448">
                  <c:v>2.1640600810089965</c:v>
                </c:pt>
                <c:pt idx="2449">
                  <c:v>2.1555002766954221</c:v>
                </c:pt>
                <c:pt idx="2450">
                  <c:v>2.1462524053221972</c:v>
                </c:pt>
                <c:pt idx="2451">
                  <c:v>2.1363207277903058</c:v>
                </c:pt>
                <c:pt idx="2452">
                  <c:v>2.1257097204908697</c:v>
                </c:pt>
                <c:pt idx="2453">
                  <c:v>2.1144240734549942</c:v>
                </c:pt>
                <c:pt idx="2454">
                  <c:v>2.1024686884372032</c:v>
                </c:pt>
                <c:pt idx="2455">
                  <c:v>2.0898486769332436</c:v>
                </c:pt>
                <c:pt idx="2456">
                  <c:v>2.076569358133018</c:v>
                </c:pt>
                <c:pt idx="2457">
                  <c:v>2.0626362568094043</c:v>
                </c:pt>
                <c:pt idx="2458">
                  <c:v>2.0480551011438082</c:v>
                </c:pt>
                <c:pt idx="2459">
                  <c:v>2.0328318204892626</c:v>
                </c:pt>
                <c:pt idx="2460">
                  <c:v>2.0169725430718599</c:v>
                </c:pt>
                <c:pt idx="2461">
                  <c:v>2.0004835936314787</c:v>
                </c:pt>
                <c:pt idx="2462">
                  <c:v>1.9833714910025959</c:v>
                </c:pt>
                <c:pt idx="2463">
                  <c:v>1.9656429456361668</c:v>
                </c:pt>
                <c:pt idx="2464">
                  <c:v>1.9473048570633382</c:v>
                </c:pt>
                <c:pt idx="2465">
                  <c:v>1.9283643113021576</c:v>
                </c:pt>
                <c:pt idx="2466">
                  <c:v>1.9088285782079961</c:v>
                </c:pt>
                <c:pt idx="2467">
                  <c:v>1.8887051087688329</c:v>
                </c:pt>
                <c:pt idx="2468">
                  <c:v>1.8680015323462169</c:v>
                </c:pt>
                <c:pt idx="2469">
                  <c:v>1.8467256538630723</c:v>
                </c:pt>
                <c:pt idx="2470">
                  <c:v>1.8248854509392352</c:v>
                </c:pt>
                <c:pt idx="2471">
                  <c:v>1.8024890709758499</c:v>
                </c:pt>
                <c:pt idx="2472">
                  <c:v>1.7795448281895028</c:v>
                </c:pt>
                <c:pt idx="2473">
                  <c:v>1.7560612005974163</c:v>
                </c:pt>
                <c:pt idx="2474">
                  <c:v>1.7320468269545006</c:v>
                </c:pt>
                <c:pt idx="2475">
                  <c:v>1.7075105036435756</c:v>
                </c:pt>
                <c:pt idx="2476">
                  <c:v>1.6824611815196453</c:v>
                </c:pt>
                <c:pt idx="2477">
                  <c:v>1.6569079627095569</c:v>
                </c:pt>
                <c:pt idx="2478">
                  <c:v>1.6308600973680065</c:v>
                </c:pt>
                <c:pt idx="2479">
                  <c:v>1.6043269803911502</c:v>
                </c:pt>
                <c:pt idx="2480">
                  <c:v>1.5773181480888134</c:v>
                </c:pt>
                <c:pt idx="2481">
                  <c:v>1.5498432748166093</c:v>
                </c:pt>
                <c:pt idx="2482">
                  <c:v>1.5219121695691191</c:v>
                </c:pt>
                <c:pt idx="2483">
                  <c:v>1.4935347725352455</c:v>
                </c:pt>
                <c:pt idx="2484">
                  <c:v>1.4647211516169074</c:v>
                </c:pt>
                <c:pt idx="2485">
                  <c:v>1.4354814989124387</c:v>
                </c:pt>
                <c:pt idx="2486">
                  <c:v>1.4058261271657297</c:v>
                </c:pt>
                <c:pt idx="2487">
                  <c:v>1.3757654661824783</c:v>
                </c:pt>
                <c:pt idx="2488">
                  <c:v>1.3453100592146015</c:v>
                </c:pt>
                <c:pt idx="2489">
                  <c:v>1.3144705593142012</c:v>
                </c:pt>
                <c:pt idx="2490">
                  <c:v>1.2832577256583249</c:v>
                </c:pt>
                <c:pt idx="2491">
                  <c:v>1.2516824198456888</c:v>
                </c:pt>
                <c:pt idx="2492">
                  <c:v>1.2197556021665841</c:v>
                </c:pt>
                <c:pt idx="2493">
                  <c:v>1.1874883278474269</c:v>
                </c:pt>
                <c:pt idx="2494">
                  <c:v>1.1548917432710253</c:v>
                </c:pt>
                <c:pt idx="2495">
                  <c:v>1.1219770821739996</c:v>
                </c:pt>
                <c:pt idx="2496">
                  <c:v>1.0887556618224403</c:v>
                </c:pt>
                <c:pt idx="2497">
                  <c:v>1.055238879167274</c:v>
                </c:pt>
                <c:pt idx="2498">
                  <c:v>1.0214382069806152</c:v>
                </c:pt>
                <c:pt idx="2499">
                  <c:v>0.98736518997430056</c:v>
                </c:pt>
                <c:pt idx="2500">
                  <c:v>0.95303144090188052</c:v>
                </c:pt>
                <c:pt idx="2501">
                  <c:v>0.91844863664556586</c:v>
                </c:pt>
                <c:pt idx="2502">
                  <c:v>0.88362851428923905</c:v>
                </c:pt>
                <c:pt idx="2503">
                  <c:v>0.84858286717891152</c:v>
                </c:pt>
                <c:pt idx="2504">
                  <c:v>0.81332354097200088</c:v>
                </c:pt>
                <c:pt idx="2505">
                  <c:v>0.77786242967654007</c:v>
                </c:pt>
                <c:pt idx="2506">
                  <c:v>0.7422114716818311</c:v>
                </c:pt>
                <c:pt idx="2507">
                  <c:v>0.70638264578183707</c:v>
                </c:pt>
                <c:pt idx="2508">
                  <c:v>0.67038796719251004</c:v>
                </c:pt>
                <c:pt idx="2509">
                  <c:v>0.63423948356435222</c:v>
                </c:pt>
                <c:pt idx="2510">
                  <c:v>0.5979492709917249</c:v>
                </c:pt>
                <c:pt idx="2511">
                  <c:v>0.5615294300199849</c:v>
                </c:pt>
                <c:pt idx="2512">
                  <c:v>0.52499208165194522</c:v>
                </c:pt>
                <c:pt idx="2513">
                  <c:v>0.48834936335473794</c:v>
                </c:pt>
                <c:pt idx="2514">
                  <c:v>0.45161342506858615</c:v>
                </c:pt>
                <c:pt idx="2515">
                  <c:v>0.41479642521876936</c:v>
                </c:pt>
                <c:pt idx="2516">
                  <c:v>0.37791052673196551</c:v>
                </c:pt>
                <c:pt idx="2517">
                  <c:v>0.34096789305824343</c:v>
                </c:pt>
                <c:pt idx="2518">
                  <c:v>0.30398068420019925</c:v>
                </c:pt>
                <c:pt idx="2519">
                  <c:v>0.26696105275030108</c:v>
                </c:pt>
                <c:pt idx="2520">
                  <c:v>0.22992113993789651</c:v>
                </c:pt>
                <c:pt idx="2521">
                  <c:v>0.19287307168693399</c:v>
                </c:pt>
                <c:pt idx="2522">
                  <c:v>0.15582895468587482</c:v>
                </c:pt>
                <c:pt idx="2523">
                  <c:v>0.11880087247103543</c:v>
                </c:pt>
                <c:pt idx="2524">
                  <c:v>8.1800881524502544E-2</c:v>
                </c:pt>
                <c:pt idx="2525">
                  <c:v>4.4841007387851912E-2</c:v>
                </c:pt>
                <c:pt idx="2526">
                  <c:v>7.933240793114112E-3</c:v>
                </c:pt>
                <c:pt idx="2527">
                  <c:v>-2.8910466187998481E-2</c:v>
                </c:pt>
                <c:pt idx="2528">
                  <c:v>-6.5678203975205851E-2</c:v>
                </c:pt>
                <c:pt idx="2529">
                  <c:v>-0.10235810929013248</c:v>
                </c:pt>
                <c:pt idx="2530">
                  <c:v>-0.13893836894462655</c:v>
                </c:pt>
                <c:pt idx="2531">
                  <c:v>-0.17540722360604893</c:v>
                </c:pt>
                <c:pt idx="2532">
                  <c:v>-0.21175297153795392</c:v>
                </c:pt>
                <c:pt idx="2533">
                  <c:v>-0.24796397231550441</c:v>
                </c:pt>
                <c:pt idx="2534">
                  <c:v>-0.28402865051395099</c:v>
                </c:pt>
                <c:pt idx="2535">
                  <c:v>-0.31993549936933496</c:v>
                </c:pt>
                <c:pt idx="2536">
                  <c:v>-0.3556730844100871</c:v>
                </c:pt>
                <c:pt idx="2537">
                  <c:v>-0.39123004705861214</c:v>
                </c:pt>
                <c:pt idx="2538">
                  <c:v>-0.42659510820144619</c:v>
                </c:pt>
                <c:pt idx="2539">
                  <c:v>-0.46175707172718433</c:v>
                </c:pt>
                <c:pt idx="2540">
                  <c:v>-0.49670482803070398</c:v>
                </c:pt>
                <c:pt idx="2541">
                  <c:v>-0.53142735748310688</c:v>
                </c:pt>
                <c:pt idx="2542">
                  <c:v>-0.56591373386581834</c:v>
                </c:pt>
                <c:pt idx="2543">
                  <c:v>-0.60015312776809249</c:v>
                </c:pt>
                <c:pt idx="2544">
                  <c:v>-0.63413480994670779</c:v>
                </c:pt>
                <c:pt idx="2545">
                  <c:v>-0.66784815464703307</c:v>
                </c:pt>
                <c:pt idx="2546">
                  <c:v>-0.70128264288418796</c:v>
                </c:pt>
                <c:pt idx="2547">
                  <c:v>-0.73442786568349405</c:v>
                </c:pt>
                <c:pt idx="2548">
                  <c:v>-0.76727352727915954</c:v>
                </c:pt>
                <c:pt idx="2549">
                  <c:v>-0.79980944827023137</c:v>
                </c:pt>
                <c:pt idx="2550">
                  <c:v>-0.83202556873287503</c:v>
                </c:pt>
                <c:pt idx="2551">
                  <c:v>-0.86391195128804732</c:v>
                </c:pt>
                <c:pt idx="2552">
                  <c:v>-0.89545878412357072</c:v>
                </c:pt>
                <c:pt idx="2553">
                  <c:v>-0.92665638396989236</c:v>
                </c:pt>
                <c:pt idx="2554">
                  <c:v>-0.95749519902839064</c:v>
                </c:pt>
                <c:pt idx="2555">
                  <c:v>-0.98796581185155585</c:v>
                </c:pt>
                <c:pt idx="2556">
                  <c:v>-1.0180589421740383</c:v>
                </c:pt>
                <c:pt idx="2557">
                  <c:v>-1.0477654496939854</c:v>
                </c:pt>
                <c:pt idx="2558">
                  <c:v>-1.0770763368034395</c:v>
                </c:pt>
                <c:pt idx="2559">
                  <c:v>-1.1059827512674174</c:v>
                </c:pt>
                <c:pt idx="2560">
                  <c:v>-1.1344759888505787</c:v>
                </c:pt>
                <c:pt idx="2561">
                  <c:v>-1.1625474958909738</c:v>
                </c:pt>
                <c:pt idx="2562">
                  <c:v>-1.1901888718198801</c:v>
                </c:pt>
                <c:pt idx="2563">
                  <c:v>-1.2173918716271888</c:v>
                </c:pt>
                <c:pt idx="2564">
                  <c:v>-1.2441484082714995</c:v>
                </c:pt>
                <c:pt idx="2565">
                  <c:v>-1.2704505550344543</c:v>
                </c:pt>
                <c:pt idx="2566">
                  <c:v>-1.2962905478182836</c:v>
                </c:pt>
                <c:pt idx="2567">
                  <c:v>-1.3216607873862971</c:v>
                </c:pt>
                <c:pt idx="2568">
                  <c:v>-1.3465538415454072</c:v>
                </c:pt>
                <c:pt idx="2569">
                  <c:v>-1.370962447270297</c:v>
                </c:pt>
                <c:pt idx="2570">
                  <c:v>-1.3948795127684421</c:v>
                </c:pt>
                <c:pt idx="2571">
                  <c:v>-1.4182981194855739</c:v>
                </c:pt>
                <c:pt idx="2572">
                  <c:v>-1.4412115240509229</c:v>
                </c:pt>
                <c:pt idx="2573">
                  <c:v>-1.4636131601618523</c:v>
                </c:pt>
                <c:pt idx="2574">
                  <c:v>-1.4854966404072558</c:v>
                </c:pt>
                <c:pt idx="2575">
                  <c:v>-1.5068557580292279</c:v>
                </c:pt>
                <c:pt idx="2576">
                  <c:v>-1.5276844886226393</c:v>
                </c:pt>
                <c:pt idx="2577">
                  <c:v>-1.5479769917721646</c:v>
                </c:pt>
                <c:pt idx="2578">
                  <c:v>-1.5677276126262185</c:v>
                </c:pt>
                <c:pt idx="2579">
                  <c:v>-1.5869308834075391</c:v>
                </c:pt>
                <c:pt idx="2580">
                  <c:v>-1.605581524859945</c:v>
                </c:pt>
                <c:pt idx="2581">
                  <c:v>-1.6236744476310068</c:v>
                </c:pt>
                <c:pt idx="2582">
                  <c:v>-1.6412047535902052</c:v>
                </c:pt>
                <c:pt idx="2583">
                  <c:v>-1.6581677370822703</c:v>
                </c:pt>
                <c:pt idx="2584">
                  <c:v>-1.6745588861154668</c:v>
                </c:pt>
                <c:pt idx="2585">
                  <c:v>-1.6903738834845516</c:v>
                </c:pt>
                <c:pt idx="2586">
                  <c:v>-1.7056086078280752</c:v>
                </c:pt>
                <c:pt idx="2587">
                  <c:v>-1.7202591346198843</c:v>
                </c:pt>
                <c:pt idx="2588">
                  <c:v>-1.7343217370945627</c:v>
                </c:pt>
                <c:pt idx="2589">
                  <c:v>-1.7477928871066979</c:v>
                </c:pt>
                <c:pt idx="2590">
                  <c:v>-1.76066925592375</c:v>
                </c:pt>
                <c:pt idx="2591">
                  <c:v>-1.7729477149523665</c:v>
                </c:pt>
                <c:pt idx="2592">
                  <c:v>-1.7846253363981055</c:v>
                </c:pt>
                <c:pt idx="2593">
                  <c:v>-1.7956993938584394</c:v>
                </c:pt>
                <c:pt idx="2594">
                  <c:v>-1.806167362848917</c:v>
                </c:pt>
                <c:pt idx="2595">
                  <c:v>-1.8160269212624929</c:v>
                </c:pt>
                <c:pt idx="2596">
                  <c:v>-1.8252759497619695</c:v>
                </c:pt>
                <c:pt idx="2597">
                  <c:v>-1.8339125321055652</c:v>
                </c:pt>
                <c:pt idx="2598">
                  <c:v>-1.8419349554055735</c:v>
                </c:pt>
                <c:pt idx="2599">
                  <c:v>-1.849341710320237</c:v>
                </c:pt>
                <c:pt idx="2600">
                  <c:v>-1.8561314911787588</c:v>
                </c:pt>
                <c:pt idx="2601">
                  <c:v>-1.8623031960397038</c:v>
                </c:pt>
                <c:pt idx="2602">
                  <c:v>-1.8678559266827364</c:v>
                </c:pt>
                <c:pt idx="2603">
                  <c:v>-1.8727889885339088</c:v>
                </c:pt>
                <c:pt idx="2604">
                  <c:v>-1.877101890524604</c:v>
                </c:pt>
                <c:pt idx="2605">
                  <c:v>-1.8807943448843285</c:v>
                </c:pt>
                <c:pt idx="2606">
                  <c:v>-1.8838662668675095</c:v>
                </c:pt>
                <c:pt idx="2607">
                  <c:v>-1.8863177744145336</c:v>
                </c:pt>
                <c:pt idx="2608">
                  <c:v>-1.8881491877472256</c:v>
                </c:pt>
                <c:pt idx="2609">
                  <c:v>-1.8893610288990628</c:v>
                </c:pt>
                <c:pt idx="2610">
                  <c:v>-1.8899540211803421</c:v>
                </c:pt>
                <c:pt idx="2611">
                  <c:v>-1.8899290885786391</c:v>
                </c:pt>
                <c:pt idx="2612">
                  <c:v>-1.8892873550948448</c:v>
                </c:pt>
                <c:pt idx="2613">
                  <c:v>-1.8880301440151108</c:v>
                </c:pt>
                <c:pt idx="2614">
                  <c:v>-1.886158977119081</c:v>
                </c:pt>
                <c:pt idx="2615">
                  <c:v>-1.8836755738247599</c:v>
                </c:pt>
                <c:pt idx="2616">
                  <c:v>-1.8805818502704137</c:v>
                </c:pt>
                <c:pt idx="2617">
                  <c:v>-1.8768799183339346</c:v>
                </c:pt>
                <c:pt idx="2618">
                  <c:v>-1.8725720845900775</c:v>
                </c:pt>
                <c:pt idx="2619">
                  <c:v>-1.8676608492060391</c:v>
                </c:pt>
                <c:pt idx="2620">
                  <c:v>-1.8621489047758537</c:v>
                </c:pt>
                <c:pt idx="2621">
                  <c:v>-1.8560391350940677</c:v>
                </c:pt>
                <c:pt idx="2622">
                  <c:v>-1.8493346138692424</c:v>
                </c:pt>
                <c:pt idx="2623">
                  <c:v>-1.8420386033777845</c:v>
                </c:pt>
                <c:pt idx="2624">
                  <c:v>-1.8341545530586785</c:v>
                </c:pt>
                <c:pt idx="2625">
                  <c:v>-1.8256860980496339</c:v>
                </c:pt>
                <c:pt idx="2626">
                  <c:v>-1.8166370576653048</c:v>
                </c:pt>
                <c:pt idx="2627">
                  <c:v>-1.8070114338181262</c:v>
                </c:pt>
                <c:pt idx="2628">
                  <c:v>-1.7968134093824057</c:v>
                </c:pt>
                <c:pt idx="2629">
                  <c:v>-1.7860473465023143</c:v>
                </c:pt>
                <c:pt idx="2630">
                  <c:v>-1.7747177848444016</c:v>
                </c:pt>
                <c:pt idx="2631">
                  <c:v>-1.7628294397953546</c:v>
                </c:pt>
                <c:pt idx="2632">
                  <c:v>-1.7503872006056169</c:v>
                </c:pt>
                <c:pt idx="2633">
                  <c:v>-1.7373961284796871</c:v>
                </c:pt>
                <c:pt idx="2634">
                  <c:v>-1.7238614546136473</c:v>
                </c:pt>
                <c:pt idx="2635">
                  <c:v>-1.7097885781808242</c:v>
                </c:pt>
                <c:pt idx="2636">
                  <c:v>-1.6951830642662282</c:v>
                </c:pt>
                <c:pt idx="2637">
                  <c:v>-1.6800506417506071</c:v>
                </c:pt>
                <c:pt idx="2638">
                  <c:v>-1.6643972011447967</c:v>
                </c:pt>
                <c:pt idx="2639">
                  <c:v>-1.6482287923752921</c:v>
                </c:pt>
                <c:pt idx="2640">
                  <c:v>-1.631551622521747</c:v>
                </c:pt>
                <c:pt idx="2641">
                  <c:v>-1.6143720535073167</c:v>
                </c:pt>
                <c:pt idx="2642">
                  <c:v>-1.5966965997425291</c:v>
                </c:pt>
                <c:pt idx="2643">
                  <c:v>-1.5785319257237744</c:v>
                </c:pt>
                <c:pt idx="2644">
                  <c:v>-1.5598848435870389</c:v>
                </c:pt>
                <c:pt idx="2645">
                  <c:v>-1.5407623106179495</c:v>
                </c:pt>
                <c:pt idx="2646">
                  <c:v>-1.5211714267188516</c:v>
                </c:pt>
                <c:pt idx="2647">
                  <c:v>-1.5011194318339953</c:v>
                </c:pt>
                <c:pt idx="2648">
                  <c:v>-1.4806137033336109</c:v>
                </c:pt>
                <c:pt idx="2649">
                  <c:v>-1.4596617533579135</c:v>
                </c:pt>
                <c:pt idx="2650">
                  <c:v>-1.438271226121802</c:v>
                </c:pt>
                <c:pt idx="2651">
                  <c:v>-1.4164498951814664</c:v>
                </c:pt>
                <c:pt idx="2652">
                  <c:v>-1.3942056606635944</c:v>
                </c:pt>
                <c:pt idx="2653">
                  <c:v>-1.3715465464583674</c:v>
                </c:pt>
                <c:pt idx="2654">
                  <c:v>-1.3484806973770231</c:v>
                </c:pt>
                <c:pt idx="2655">
                  <c:v>-1.3250163762751817</c:v>
                </c:pt>
                <c:pt idx="2656">
                  <c:v>-1.3011619611427805</c:v>
                </c:pt>
                <c:pt idx="2657">
                  <c:v>-1.2769259421617529</c:v>
                </c:pt>
                <c:pt idx="2658">
                  <c:v>-1.2523169187322636</c:v>
                </c:pt>
                <c:pt idx="2659">
                  <c:v>-1.2273435964688462</c:v>
                </c:pt>
                <c:pt idx="2660">
                  <c:v>-1.2020147841671589</c:v>
                </c:pt>
                <c:pt idx="2661">
                  <c:v>-1.1763393907426396</c:v>
                </c:pt>
                <c:pt idx="2662">
                  <c:v>-1.1503264221419036</c:v>
                </c:pt>
                <c:pt idx="2663">
                  <c:v>-1.1239849782281517</c:v>
                </c:pt>
                <c:pt idx="2664">
                  <c:v>-1.0973242496414861</c:v>
                </c:pt>
                <c:pt idx="2665">
                  <c:v>-1.07035351463533</c:v>
                </c:pt>
                <c:pt idx="2666">
                  <c:v>-1.0430821358898759</c:v>
                </c:pt>
                <c:pt idx="2667">
                  <c:v>-1.0155195573037754</c:v>
                </c:pt>
                <c:pt idx="2668">
                  <c:v>-0.9876753007651623</c:v>
                </c:pt>
                <c:pt idx="2669">
                  <c:v>-0.95955896290301324</c:v>
                </c:pt>
                <c:pt idx="2670">
                  <c:v>-0.93118021181991717</c:v>
                </c:pt>
                <c:pt idx="2671">
                  <c:v>-0.9025487838075219</c:v>
                </c:pt>
                <c:pt idx="2672">
                  <c:v>-0.87367448004558645</c:v>
                </c:pt>
                <c:pt idx="2673">
                  <c:v>-0.84456716328588555</c:v>
                </c:pt>
                <c:pt idx="2674">
                  <c:v>-0.81523675452190292</c:v>
                </c:pt>
                <c:pt idx="2675">
                  <c:v>-0.78569322964558541</c:v>
                </c:pt>
                <c:pt idx="2676">
                  <c:v>-0.75594661609226321</c:v>
                </c:pt>
                <c:pt idx="2677">
                  <c:v>-0.72600698947476106</c:v>
                </c:pt>
                <c:pt idx="2678">
                  <c:v>-0.69588447020780164</c:v>
                </c:pt>
                <c:pt idx="2679">
                  <c:v>-0.66558922012399191</c:v>
                </c:pt>
                <c:pt idx="2680">
                  <c:v>-0.63513143908232483</c:v>
                </c:pt>
                <c:pt idx="2681">
                  <c:v>-0.60452136157047265</c:v>
                </c:pt>
                <c:pt idx="2682">
                  <c:v>-0.57376925330179152</c:v>
                </c:pt>
                <c:pt idx="2683">
                  <c:v>-0.54288540780840722</c:v>
                </c:pt>
                <c:pt idx="2684">
                  <c:v>-0.5118801430312484</c:v>
                </c:pt>
                <c:pt idx="2685">
                  <c:v>-0.48076379790846024</c:v>
                </c:pt>
                <c:pt idx="2686">
                  <c:v>-0.44954672896288245</c:v>
                </c:pt>
                <c:pt idx="2687">
                  <c:v>-0.41823930689013433</c:v>
                </c:pt>
                <c:pt idx="2688">
                  <c:v>-0.38685191314815093</c:v>
                </c:pt>
                <c:pt idx="2689">
                  <c:v>-0.35539493654943605</c:v>
                </c:pt>
                <c:pt idx="2690">
                  <c:v>-0.32387876985694769</c:v>
                </c:pt>
                <c:pt idx="2691">
                  <c:v>-0.29231380638497617</c:v>
                </c:pt>
                <c:pt idx="2692">
                  <c:v>-0.26071043660584453</c:v>
                </c:pt>
                <c:pt idx="2693">
                  <c:v>-0.22907904476386268</c:v>
                </c:pt>
                <c:pt idx="2694">
                  <c:v>-0.1974300054971809</c:v>
                </c:pt>
                <c:pt idx="2695">
                  <c:v>-0.16577368046906477</c:v>
                </c:pt>
                <c:pt idx="2696">
                  <c:v>-0.13412041500940144</c:v>
                </c:pt>
                <c:pt idx="2697">
                  <c:v>-0.10248053476767686</c:v>
                </c:pt>
                <c:pt idx="2698">
                  <c:v>-7.0864342378295336E-2</c:v>
                </c:pt>
                <c:pt idx="2699">
                  <c:v>-3.9282114139569918E-2</c:v>
                </c:pt>
                <c:pt idx="2700">
                  <c:v>-7.7440967071691139E-3</c:v>
                </c:pt>
                <c:pt idx="2701">
                  <c:v>2.3739496196591832E-2</c:v>
                </c:pt>
                <c:pt idx="2702">
                  <c:v>5.5158487057016856E-2</c:v>
                </c:pt>
                <c:pt idx="2703">
                  <c:v>8.6502737823377779E-2</c:v>
                </c:pt>
                <c:pt idx="2704">
                  <c:v>0.11776215314658953</c:v>
                </c:pt>
                <c:pt idx="2705">
                  <c:v>0.1489266835970271</c:v>
                </c:pt>
                <c:pt idx="2706">
                  <c:v>0.17998632886166768</c:v>
                </c:pt>
                <c:pt idx="2707">
                  <c:v>0.21093114091930487</c:v>
                </c:pt>
                <c:pt idx="2708">
                  <c:v>0.24175122719303568</c:v>
                </c:pt>
                <c:pt idx="2709">
                  <c:v>0.27243675367887349</c:v>
                </c:pt>
                <c:pt idx="2710">
                  <c:v>0.30297794804977529</c:v>
                </c:pt>
                <c:pt idx="2711">
                  <c:v>0.33336510273369141</c:v>
                </c:pt>
                <c:pt idx="2712">
                  <c:v>0.36358857796511462</c:v>
                </c:pt>
                <c:pt idx="2713">
                  <c:v>0.39363880480885582</c:v>
                </c:pt>
                <c:pt idx="2714">
                  <c:v>0.42350628815537328</c:v>
                </c:pt>
                <c:pt idx="2715">
                  <c:v>0.45318160968647531</c:v>
                </c:pt>
                <c:pt idx="2716">
                  <c:v>0.48265543081067908</c:v>
                </c:pt>
                <c:pt idx="2717">
                  <c:v>0.51191849556716262</c:v>
                </c:pt>
                <c:pt idx="2718">
                  <c:v>0.54096163349767712</c:v>
                </c:pt>
                <c:pt idx="2719">
                  <c:v>0.56977576248513617</c:v>
                </c:pt>
                <c:pt idx="2720">
                  <c:v>0.59835189155843027</c:v>
                </c:pt>
                <c:pt idx="2721">
                  <c:v>0.62668112366230022</c:v>
                </c:pt>
                <c:pt idx="2722">
                  <c:v>0.65475465839168256</c:v>
                </c:pt>
                <c:pt idx="2723">
                  <c:v>0.68256379468945727</c:v>
                </c:pt>
                <c:pt idx="2724">
                  <c:v>0.71009993350696565</c:v>
                </c:pt>
                <c:pt idx="2725">
                  <c:v>0.73735458042635438</c:v>
                </c:pt>
                <c:pt idx="2726">
                  <c:v>0.76431934824419689</c:v>
                </c:pt>
                <c:pt idx="2727">
                  <c:v>0.79098595951523565</c:v>
                </c:pt>
                <c:pt idx="2728">
                  <c:v>0.81734624905588549</c:v>
                </c:pt>
                <c:pt idx="2729">
                  <c:v>0.84339216640645487</c:v>
                </c:pt>
                <c:pt idx="2730">
                  <c:v>0.86911577825159225</c:v>
                </c:pt>
                <c:pt idx="2731">
                  <c:v>0.894509270798024</c:v>
                </c:pt>
                <c:pt idx="2732">
                  <c:v>0.91956495210904887</c:v>
                </c:pt>
                <c:pt idx="2733">
                  <c:v>0.94427525439498761</c:v>
                </c:pt>
                <c:pt idx="2734">
                  <c:v>0.96863273625905966</c:v>
                </c:pt>
                <c:pt idx="2735">
                  <c:v>0.99263008489790894</c:v>
                </c:pt>
                <c:pt idx="2736">
                  <c:v>1.016260118256141</c:v>
                </c:pt>
                <c:pt idx="2737">
                  <c:v>1.0395157871343361</c:v>
                </c:pt>
                <c:pt idx="2738">
                  <c:v>1.0623901772499402</c:v>
                </c:pt>
                <c:pt idx="2739">
                  <c:v>1.0848765112503167</c:v>
                </c:pt>
                <c:pt idx="2740">
                  <c:v>1.1069681506775209</c:v>
                </c:pt>
                <c:pt idx="2741">
                  <c:v>1.1286585978841468</c:v>
                </c:pt>
                <c:pt idx="2742">
                  <c:v>1.1499414978998295</c:v>
                </c:pt>
                <c:pt idx="2743">
                  <c:v>1.170810640247768</c:v>
                </c:pt>
                <c:pt idx="2744">
                  <c:v>1.191259960710771</c:v>
                </c:pt>
                <c:pt idx="2745">
                  <c:v>1.2112835430464139</c:v>
                </c:pt>
                <c:pt idx="2746">
                  <c:v>1.2308756206508407</c:v>
                </c:pt>
                <c:pt idx="2747">
                  <c:v>1.2500305781706456</c:v>
                </c:pt>
                <c:pt idx="2748">
                  <c:v>1.2687429530625312</c:v>
                </c:pt>
                <c:pt idx="2749">
                  <c:v>1.2870074371002256</c:v>
                </c:pt>
                <c:pt idx="2750">
                  <c:v>1.304818877828386</c:v>
                </c:pt>
                <c:pt idx="2751">
                  <c:v>1.3221722799629556</c:v>
                </c:pt>
                <c:pt idx="2752">
                  <c:v>1.3390628067377686</c:v>
                </c:pt>
                <c:pt idx="2753">
                  <c:v>1.355485781196905</c:v>
                </c:pt>
                <c:pt idx="2754">
                  <c:v>1.3714366874325965</c:v>
                </c:pt>
                <c:pt idx="2755">
                  <c:v>1.3869111717683678</c:v>
                </c:pt>
                <c:pt idx="2756">
                  <c:v>1.40190504388702</c:v>
                </c:pt>
                <c:pt idx="2757">
                  <c:v>1.4164142779033067</c:v>
                </c:pt>
                <c:pt idx="2758">
                  <c:v>1.4304350133809711</c:v>
                </c:pt>
                <c:pt idx="2759">
                  <c:v>1.4439635562939901</c:v>
                </c:pt>
                <c:pt idx="2760">
                  <c:v>1.4569963799317469</c:v>
                </c:pt>
                <c:pt idx="2761">
                  <c:v>1.4695301257479301</c:v>
                </c:pt>
                <c:pt idx="2762">
                  <c:v>1.4815616041530477</c:v>
                </c:pt>
                <c:pt idx="2763">
                  <c:v>1.4930877952503776</c:v>
                </c:pt>
                <c:pt idx="2764">
                  <c:v>1.5041058495151665</c:v>
                </c:pt>
                <c:pt idx="2765">
                  <c:v>1.5146130884170195</c:v>
                </c:pt>
                <c:pt idx="2766">
                  <c:v>1.5246070049853335</c:v>
                </c:pt>
                <c:pt idx="2767">
                  <c:v>1.5340852643177501</c:v>
                </c:pt>
                <c:pt idx="2768">
                  <c:v>1.5430457040315113</c:v>
                </c:pt>
                <c:pt idx="2769">
                  <c:v>1.5514863346576673</c:v>
                </c:pt>
                <c:pt idx="2770">
                  <c:v>1.5594053399781698</c:v>
                </c:pt>
                <c:pt idx="2771">
                  <c:v>1.5668010773058119</c:v>
                </c:pt>
                <c:pt idx="2772">
                  <c:v>1.5736720777069952</c:v>
                </c:pt>
                <c:pt idx="2773">
                  <c:v>1.5800170461674101</c:v>
                </c:pt>
                <c:pt idx="2774">
                  <c:v>1.5858348617006339</c:v>
                </c:pt>
                <c:pt idx="2775">
                  <c:v>1.5911245773997511</c:v>
                </c:pt>
                <c:pt idx="2776">
                  <c:v>1.5958854204320427</c:v>
                </c:pt>
                <c:pt idx="2777">
                  <c:v>1.6001167919768997</c:v>
                </c:pt>
                <c:pt idx="2778">
                  <c:v>1.6038182671070045</c:v>
                </c:pt>
                <c:pt idx="2779">
                  <c:v>1.6069895946130264</c:v>
                </c:pt>
                <c:pt idx="2780">
                  <c:v>1.6096306967718983</c:v>
                </c:pt>
                <c:pt idx="2781">
                  <c:v>1.6117416690588995</c:v>
                </c:pt>
                <c:pt idx="2782">
                  <c:v>1.6133227798037273</c:v>
                </c:pt>
                <c:pt idx="2783">
                  <c:v>1.6143744697907778</c:v>
                </c:pt>
                <c:pt idx="2784">
                  <c:v>1.6148973518038525</c:v>
                </c:pt>
                <c:pt idx="2785">
                  <c:v>1.6148922101155578</c:v>
                </c:pt>
                <c:pt idx="2786">
                  <c:v>1.6143599999216476</c:v>
                </c:pt>
                <c:pt idx="2787">
                  <c:v>1.6133018467206082</c:v>
                </c:pt>
                <c:pt idx="2788">
                  <c:v>1.6117190456387678</c:v>
                </c:pt>
                <c:pt idx="2789">
                  <c:v>1.6096130607012746</c:v>
                </c:pt>
                <c:pt idx="2790">
                  <c:v>1.6069855240492605</c:v>
                </c:pt>
                <c:pt idx="2791">
                  <c:v>1.6038382351035354</c:v>
                </c:pt>
                <c:pt idx="2792">
                  <c:v>1.6001731596752136</c:v>
                </c:pt>
                <c:pt idx="2793">
                  <c:v>1.595992429023624</c:v>
                </c:pt>
                <c:pt idx="2794">
                  <c:v>1.5912983388619326</c:v>
                </c:pt>
                <c:pt idx="2795">
                  <c:v>1.5860933483108761</c:v>
                </c:pt>
                <c:pt idx="2796">
                  <c:v>1.5803800788010542</c:v>
                </c:pt>
                <c:pt idx="2797">
                  <c:v>1.5741613129242278</c:v>
                </c:pt>
                <c:pt idx="2798">
                  <c:v>1.567439993234103</c:v>
                </c:pt>
                <c:pt idx="2799">
                  <c:v>1.5602192209970451</c:v>
                </c:pt>
                <c:pt idx="2800">
                  <c:v>1.5525022548932703</c:v>
                </c:pt>
                <c:pt idx="2801">
                  <c:v>1.5442925096689948</c:v>
                </c:pt>
                <c:pt idx="2802">
                  <c:v>1.5355935547400958</c:v>
                </c:pt>
                <c:pt idx="2803">
                  <c:v>1.5264091127477721</c:v>
                </c:pt>
                <c:pt idx="2804">
                  <c:v>1.5167430580668519</c:v>
                </c:pt>
                <c:pt idx="2805">
                  <c:v>1.5065994152672366</c:v>
                </c:pt>
                <c:pt idx="2806">
                  <c:v>1.4959823575291302</c:v>
                </c:pt>
                <c:pt idx="2807">
                  <c:v>1.4848962050125802</c:v>
                </c:pt>
                <c:pt idx="2808">
                  <c:v>1.4733454231820409</c:v>
                </c:pt>
                <c:pt idx="2809">
                  <c:v>1.4613346210865046</c:v>
                </c:pt>
                <c:pt idx="2810">
                  <c:v>1.4488685495959062</c:v>
                </c:pt>
                <c:pt idx="2811">
                  <c:v>1.4359520995943622</c:v>
                </c:pt>
                <c:pt idx="2812">
                  <c:v>1.4225903001310571</c:v>
                </c:pt>
                <c:pt idx="2813">
                  <c:v>1.408788316529304</c:v>
                </c:pt>
                <c:pt idx="2814">
                  <c:v>1.3945514484545976</c:v>
                </c:pt>
                <c:pt idx="2815">
                  <c:v>1.3798851279422459</c:v>
                </c:pt>
                <c:pt idx="2816">
                  <c:v>1.3647949173854181</c:v>
                </c:pt>
                <c:pt idx="2817">
                  <c:v>1.3492865074842444</c:v>
                </c:pt>
                <c:pt idx="2818">
                  <c:v>1.3333657151567813</c:v>
                </c:pt>
                <c:pt idx="2819">
                  <c:v>1.3170384814124663</c:v>
                </c:pt>
                <c:pt idx="2820">
                  <c:v>1.3003108691890295</c:v>
                </c:pt>
                <c:pt idx="2821">
                  <c:v>1.2831890611534198</c:v>
                </c:pt>
                <c:pt idx="2822">
                  <c:v>1.2656793574676954</c:v>
                </c:pt>
                <c:pt idx="2823">
                  <c:v>1.2477881735205198</c:v>
                </c:pt>
                <c:pt idx="2824">
                  <c:v>1.2295220376252234</c:v>
                </c:pt>
                <c:pt idx="2825">
                  <c:v>1.2108875886851194</c:v>
                </c:pt>
                <c:pt idx="2826">
                  <c:v>1.1918915738269777</c:v>
                </c:pt>
                <c:pt idx="2827">
                  <c:v>1.1725408460033961</c:v>
                </c:pt>
                <c:pt idx="2828">
                  <c:v>1.152842361564991</c:v>
                </c:pt>
                <c:pt idx="2829">
                  <c:v>1.1328031778032488</c:v>
                </c:pt>
                <c:pt idx="2830">
                  <c:v>1.1124304504648537</c:v>
                </c:pt>
                <c:pt idx="2831">
                  <c:v>1.0917314312383166</c:v>
                </c:pt>
                <c:pt idx="2832">
                  <c:v>1.0707134652139083</c:v>
                </c:pt>
                <c:pt idx="2833">
                  <c:v>1.0493839883176408</c:v>
                </c:pt>
                <c:pt idx="2834">
                  <c:v>1.0277505247202887</c:v>
                </c:pt>
                <c:pt idx="2835">
                  <c:v>1.0058206842222108</c:v>
                </c:pt>
                <c:pt idx="2836">
                  <c:v>0.9836021596149882</c:v>
                </c:pt>
                <c:pt idx="2837">
                  <c:v>0.96110272402077002</c:v>
                </c:pt>
                <c:pt idx="2838">
                  <c:v>0.93833022821017942</c:v>
                </c:pt>
                <c:pt idx="2839">
                  <c:v>0.91529259789966755</c:v>
                </c:pt>
                <c:pt idx="2840">
                  <c:v>0.89199783102937058</c:v>
                </c:pt>
                <c:pt idx="2841">
                  <c:v>0.86845399502225462</c:v>
                </c:pt>
                <c:pt idx="2842">
                  <c:v>0.84466922402558553</c:v>
                </c:pt>
                <c:pt idx="2843">
                  <c:v>0.82065171613551247</c:v>
                </c:pt>
                <c:pt idx="2844">
                  <c:v>0.79640973060589448</c:v>
                </c:pt>
                <c:pt idx="2845">
                  <c:v>0.7719515850420976</c:v>
                </c:pt>
                <c:pt idx="2846">
                  <c:v>0.74728565258097135</c:v>
                </c:pt>
                <c:pt idx="2847">
                  <c:v>0.72242035905760038</c:v>
                </c:pt>
                <c:pt idx="2848">
                  <c:v>0.69736418016011681</c:v>
                </c:pt>
                <c:pt idx="2849">
                  <c:v>0.67212563857331042</c:v>
                </c:pt>
                <c:pt idx="2850">
                  <c:v>0.64671330111211855</c:v>
                </c:pt>
                <c:pt idx="2851">
                  <c:v>0.62113577584578861</c:v>
                </c:pt>
                <c:pt idx="2852">
                  <c:v>0.59540170921387869</c:v>
                </c:pt>
                <c:pt idx="2853">
                  <c:v>0.5695197831348332</c:v>
                </c:pt>
                <c:pt idx="2854">
                  <c:v>0.54349871210836032</c:v>
                </c:pt>
                <c:pt idx="2855">
                  <c:v>0.51734724031220625</c:v>
                </c:pt>
                <c:pt idx="2856">
                  <c:v>0.49107413869463845</c:v>
                </c:pt>
                <c:pt idx="2857">
                  <c:v>0.46468820206336947</c:v>
                </c:pt>
                <c:pt idx="2858">
                  <c:v>0.43819824617201192</c:v>
                </c:pt>
                <c:pt idx="2859">
                  <c:v>0.41161310480485624</c:v>
                </c:pt>
                <c:pt idx="2860">
                  <c:v>0.38494162686114153</c:v>
                </c:pt>
                <c:pt idx="2861">
                  <c:v>0.35819267343954175</c:v>
                </c:pt>
                <c:pt idx="2862">
                  <c:v>0.33137511492410637</c:v>
                </c:pt>
                <c:pt idx="2863">
                  <c:v>0.30449782807221898</c:v>
                </c:pt>
                <c:pt idx="2864">
                  <c:v>0.27756969310589463</c:v>
                </c:pt>
                <c:pt idx="2865">
                  <c:v>0.25059959080712396</c:v>
                </c:pt>
                <c:pt idx="2866">
                  <c:v>0.22359639961834438</c:v>
                </c:pt>
                <c:pt idx="2867">
                  <c:v>0.19656899274880352</c:v>
                </c:pt>
                <c:pt idx="2868">
                  <c:v>0.16952623528796334</c:v>
                </c:pt>
                <c:pt idx="2869">
                  <c:v>0.14247698132670278</c:v>
                </c:pt>
                <c:pt idx="2870">
                  <c:v>0.11543007108738355</c:v>
                </c:pt>
                <c:pt idx="2871">
                  <c:v>8.8394328063465394E-2</c:v>
                </c:pt>
                <c:pt idx="2872">
                  <c:v>6.1378556169959214E-2</c:v>
                </c:pt>
                <c:pt idx="2873">
                  <c:v>3.4391536905246309E-2</c:v>
                </c:pt>
                <c:pt idx="2874">
                  <c:v>7.442026525456163E-3</c:v>
                </c:pt>
                <c:pt idx="2875">
                  <c:v>-1.9461246767931473E-2</c:v>
                </c:pt>
                <c:pt idx="2876">
                  <c:v>-4.6309585626142784E-2</c:v>
                </c:pt>
                <c:pt idx="2877">
                  <c:v>-7.3094326336086091E-2</c:v>
                </c:pt>
                <c:pt idx="2878">
                  <c:v>-9.9806841587376877E-2</c:v>
                </c:pt>
                <c:pt idx="2879">
                  <c:v>-0.12643854322232673</c:v>
                </c:pt>
                <c:pt idx="2880">
                  <c:v>-0.15298088496839779</c:v>
                </c:pt>
                <c:pt idx="2881">
                  <c:v>-0.1794253651518945</c:v>
                </c:pt>
                <c:pt idx="2882">
                  <c:v>-0.20576352939227233</c:v>
                </c:pt>
                <c:pt idx="2883">
                  <c:v>-0.23198697327608159</c:v>
                </c:pt>
                <c:pt idx="2884">
                  <c:v>-0.25808734500987979</c:v>
                </c:pt>
                <c:pt idx="2885">
                  <c:v>-0.28405634805107288</c:v>
                </c:pt>
                <c:pt idx="2886">
                  <c:v>-0.30988574371602617</c:v>
                </c:pt>
                <c:pt idx="2887">
                  <c:v>-0.33556735376457009</c:v>
                </c:pt>
                <c:pt idx="2888">
                  <c:v>-0.36109306296011112</c:v>
                </c:pt>
                <c:pt idx="2889">
                  <c:v>-0.38645482160455474</c:v>
                </c:pt>
                <c:pt idx="2890">
                  <c:v>-0.41164464804727319</c:v>
                </c:pt>
                <c:pt idx="2891">
                  <c:v>-0.43665463116727865</c:v>
                </c:pt>
                <c:pt idx="2892">
                  <c:v>-0.46147693282799856</c:v>
                </c:pt>
                <c:pt idx="2893">
                  <c:v>-0.48610379030369183</c:v>
                </c:pt>
                <c:pt idx="2894">
                  <c:v>-0.51052751867693469</c:v>
                </c:pt>
                <c:pt idx="2895">
                  <c:v>-0.53474051320631266</c:v>
                </c:pt>
                <c:pt idx="2896">
                  <c:v>-0.55873525166381</c:v>
                </c:pt>
                <c:pt idx="2897">
                  <c:v>-0.5825042966408579</c:v>
                </c:pt>
                <c:pt idx="2898">
                  <c:v>-0.60604029782268787</c:v>
                </c:pt>
                <c:pt idx="2899">
                  <c:v>-0.62933599423004549</c:v>
                </c:pt>
                <c:pt idx="2900">
                  <c:v>-0.65238421642780287</c:v>
                </c:pt>
                <c:pt idx="2901">
                  <c:v>-0.67517788869961037</c:v>
                </c:pt>
                <c:pt idx="2902">
                  <c:v>-0.69771003118808728</c:v>
                </c:pt>
                <c:pt idx="2903">
                  <c:v>-0.71997376199980023</c:v>
                </c:pt>
                <c:pt idx="2904">
                  <c:v>-0.741962299274598</c:v>
                </c:pt>
                <c:pt idx="2905">
                  <c:v>-0.76366896321838118</c:v>
                </c:pt>
                <c:pt idx="2906">
                  <c:v>-0.78508717809903339</c:v>
                </c:pt>
                <c:pt idx="2907">
                  <c:v>-0.80621047420468495</c:v>
                </c:pt>
                <c:pt idx="2908">
                  <c:v>-0.82703248976393251</c:v>
                </c:pt>
                <c:pt idx="2909">
                  <c:v>-0.84754697282727354</c:v>
                </c:pt>
                <c:pt idx="2910">
                  <c:v>-0.86774778310935274</c:v>
                </c:pt>
                <c:pt idx="2911">
                  <c:v>-0.88762889379138599</c:v>
                </c:pt>
                <c:pt idx="2912">
                  <c:v>-0.90718439328336475</c:v>
                </c:pt>
                <c:pt idx="2913">
                  <c:v>-0.92640848694543532</c:v>
                </c:pt>
                <c:pt idx="2914">
                  <c:v>-0.94529549876796104</c:v>
                </c:pt>
                <c:pt idx="2915">
                  <c:v>-0.96383987300986829</c:v>
                </c:pt>
                <c:pt idx="2916">
                  <c:v>-0.98203617579481284</c:v>
                </c:pt>
                <c:pt idx="2917">
                  <c:v>-0.9998790966646266</c:v>
                </c:pt>
                <c:pt idx="2918">
                  <c:v>-1.0173634500897151</c:v>
                </c:pt>
                <c:pt idx="2919">
                  <c:v>-1.0344841769359154</c:v>
                </c:pt>
                <c:pt idx="2920">
                  <c:v>-1.0512363458875122</c:v>
                </c:pt>
                <c:pt idx="2921">
                  <c:v>-1.0676151548259314</c:v>
                </c:pt>
                <c:pt idx="2922">
                  <c:v>-1.0836159321637462</c:v>
                </c:pt>
                <c:pt idx="2923">
                  <c:v>-1.099234138133705</c:v>
                </c:pt>
                <c:pt idx="2924">
                  <c:v>-1.1144653660324322</c:v>
                </c:pt>
                <c:pt idx="2925">
                  <c:v>-1.1293053434183988</c:v>
                </c:pt>
                <c:pt idx="2926">
                  <c:v>-1.1437499332639456</c:v>
                </c:pt>
                <c:pt idx="2927">
                  <c:v>-1.1577951350609919</c:v>
                </c:pt>
                <c:pt idx="2928">
                  <c:v>-1.171437085880245</c:v>
                </c:pt>
                <c:pt idx="2929">
                  <c:v>-1.1846720613835608</c:v>
                </c:pt>
                <c:pt idx="2930">
                  <c:v>-1.1974964767892207</c:v>
                </c:pt>
                <c:pt idx="2931">
                  <c:v>-1.2099068877899402</c:v>
                </c:pt>
                <c:pt idx="2932">
                  <c:v>-1.2218999914233957</c:v>
                </c:pt>
                <c:pt idx="2933">
                  <c:v>-1.2334726268950005</c:v>
                </c:pt>
                <c:pt idx="2934">
                  <c:v>-1.2446217763528205</c:v>
                </c:pt>
                <c:pt idx="2935">
                  <c:v>-1.2553445656144144</c:v>
                </c:pt>
                <c:pt idx="2936">
                  <c:v>-1.2656382648455065</c:v>
                </c:pt>
                <c:pt idx="2937">
                  <c:v>-1.27550028919028</c:v>
                </c:pt>
                <c:pt idx="2938">
                  <c:v>-1.2849281993532558</c:v>
                </c:pt>
                <c:pt idx="2939">
                  <c:v>-1.2939197021325457</c:v>
                </c:pt>
                <c:pt idx="2940">
                  <c:v>-1.3024726509045428</c:v>
                </c:pt>
                <c:pt idx="2941">
                  <c:v>-1.3105850460598334</c:v>
                </c:pt>
                <c:pt idx="2942">
                  <c:v>-1.3182550353903679</c:v>
                </c:pt>
                <c:pt idx="2943">
                  <c:v>-1.3254809144278015</c:v>
                </c:pt>
                <c:pt idx="2944">
                  <c:v>-1.3322611267330333</c:v>
                </c:pt>
                <c:pt idx="2945">
                  <c:v>-1.3385942641368778</c:v>
                </c:pt>
                <c:pt idx="2946">
                  <c:v>-1.3444790669319404</c:v>
                </c:pt>
                <c:pt idx="2947">
                  <c:v>-1.3499144240156393</c:v>
                </c:pt>
                <c:pt idx="2948">
                  <c:v>-1.3548993729845327</c:v>
                </c:pt>
                <c:pt idx="2949">
                  <c:v>-1.3594331001798929</c:v>
                </c:pt>
                <c:pt idx="2950">
                  <c:v>-1.3635149406846687</c:v>
                </c:pt>
                <c:pt idx="2951">
                  <c:v>-1.3671443782719024</c:v>
                </c:pt>
                <c:pt idx="2952">
                  <c:v>-1.3703210453047141</c:v>
                </c:pt>
                <c:pt idx="2953">
                  <c:v>-1.3730447225879652</c:v>
                </c:pt>
                <c:pt idx="2954">
                  <c:v>-1.3753153391717374</c:v>
                </c:pt>
                <c:pt idx="2955">
                  <c:v>-1.3771329721067904</c:v>
                </c:pt>
                <c:pt idx="2956">
                  <c:v>-1.3784978461521447</c:v>
                </c:pt>
                <c:pt idx="2957">
                  <c:v>-1.3794103334349939</c:v>
                </c:pt>
                <c:pt idx="2958">
                  <c:v>-1.3798709530631224</c:v>
                </c:pt>
                <c:pt idx="2959">
                  <c:v>-1.3798803706900578</c:v>
                </c:pt>
                <c:pt idx="2960">
                  <c:v>-1.3794393980331743</c:v>
                </c:pt>
                <c:pt idx="2961">
                  <c:v>-1.3785489923449943</c:v>
                </c:pt>
                <c:pt idx="2962">
                  <c:v>-1.3772102558379438</c:v>
                </c:pt>
                <c:pt idx="2963">
                  <c:v>-1.375424435062836</c:v>
                </c:pt>
                <c:pt idx="2964">
                  <c:v>-1.3731929202413602</c:v>
                </c:pt>
                <c:pt idx="2965">
                  <c:v>-1.3705172445528968</c:v>
                </c:pt>
                <c:pt idx="2966">
                  <c:v>-1.3673990833759424</c:v>
                </c:pt>
                <c:pt idx="2967">
                  <c:v>-1.3638402534845164</c:v>
                </c:pt>
                <c:pt idx="2968">
                  <c:v>-1.359842712199848</c:v>
                </c:pt>
                <c:pt idx="2969">
                  <c:v>-1.3554085564977292</c:v>
                </c:pt>
                <c:pt idx="2970">
                  <c:v>-1.3505400220719062</c:v>
                </c:pt>
                <c:pt idx="2971">
                  <c:v>-1.3452394823538862</c:v>
                </c:pt>
                <c:pt idx="2972">
                  <c:v>-1.3395094474895322</c:v>
                </c:pt>
                <c:pt idx="2973">
                  <c:v>-1.3333525632729273</c:v>
                </c:pt>
                <c:pt idx="2974">
                  <c:v>-1.3267716100378548</c:v>
                </c:pt>
                <c:pt idx="2975">
                  <c:v>-1.319769501507394</c:v>
                </c:pt>
                <c:pt idx="2976">
                  <c:v>-1.3123492836020323</c:v>
                </c:pt>
                <c:pt idx="2977">
                  <c:v>-1.3045141332068009</c:v>
                </c:pt>
                <c:pt idx="2978">
                  <c:v>-1.2962673568978833</c:v>
                </c:pt>
                <c:pt idx="2979">
                  <c:v>-1.2876123896292089</c:v>
                </c:pt>
                <c:pt idx="2980">
                  <c:v>-1.2785527933794893</c:v>
                </c:pt>
                <c:pt idx="2981">
                  <c:v>-1.2690922557602553</c:v>
                </c:pt>
                <c:pt idx="2982">
                  <c:v>-1.2592345885854115</c:v>
                </c:pt>
                <c:pt idx="2983">
                  <c:v>-1.2489837264028345</c:v>
                </c:pt>
                <c:pt idx="2984">
                  <c:v>-1.2383437249885358</c:v>
                </c:pt>
                <c:pt idx="2985">
                  <c:v>-1.2273187598040078</c:v>
                </c:pt>
                <c:pt idx="2986">
                  <c:v>-1.2159131244172801</c:v>
                </c:pt>
                <c:pt idx="2987">
                  <c:v>-1.2041312288882973</c:v>
                </c:pt>
                <c:pt idx="2988">
                  <c:v>-1.1919775981191461</c:v>
                </c:pt>
                <c:pt idx="2989">
                  <c:v>-1.1794568701698176</c:v>
                </c:pt>
                <c:pt idx="2990">
                  <c:v>-1.1665737945400756</c:v>
                </c:pt>
                <c:pt idx="2991">
                  <c:v>-1.1533332304180508</c:v>
                </c:pt>
                <c:pt idx="2992">
                  <c:v>-1.1397401448961737</c:v>
                </c:pt>
                <c:pt idx="2993">
                  <c:v>-1.1257996111551438</c:v>
                </c:pt>
                <c:pt idx="2994">
                  <c:v>-1.1115168066165313</c:v>
                </c:pt>
                <c:pt idx="2995">
                  <c:v>-1.0968970110647209</c:v>
                </c:pt>
                <c:pt idx="2996">
                  <c:v>-1.0819456047387908</c:v>
                </c:pt>
                <c:pt idx="2997">
                  <c:v>-1.0666680663950732</c:v>
                </c:pt>
                <c:pt idx="2998">
                  <c:v>-1.0510699713410845</c:v>
                </c:pt>
                <c:pt idx="2999">
                  <c:v>-1.0351569894414732</c:v>
                </c:pt>
                <c:pt idx="3000">
                  <c:v>-1.0189348830966711</c:v>
                </c:pt>
                <c:pt idx="3001">
                  <c:v>-1.0024095051950483</c:v>
                </c:pt>
                <c:pt idx="3002">
                  <c:v>-0.98558679703920415</c:v>
                </c:pt>
                <c:pt idx="3003">
                  <c:v>-0.96847278624714506</c:v>
                </c:pt>
                <c:pt idx="3004">
                  <c:v>-0.95107358462910696</c:v>
                </c:pt>
                <c:pt idx="3005">
                  <c:v>-0.93339538604068339</c:v>
                </c:pt>
                <c:pt idx="3006">
                  <c:v>-0.91544446421307801</c:v>
                </c:pt>
                <c:pt idx="3007">
                  <c:v>-0.8972271705612318</c:v>
                </c:pt>
                <c:pt idx="3008">
                  <c:v>-0.87874993197053208</c:v>
                </c:pt>
                <c:pt idx="3009">
                  <c:v>-0.86001924856284639</c:v>
                </c:pt>
                <c:pt idx="3010">
                  <c:v>-0.84104169144275054</c:v>
                </c:pt>
                <c:pt idx="3011">
                  <c:v>-0.82182390042461795</c:v>
                </c:pt>
                <c:pt idx="3012">
                  <c:v>-0.80237258174143133</c:v>
                </c:pt>
                <c:pt idx="3013">
                  <c:v>-0.78269450573598531</c:v>
                </c:pt>
                <c:pt idx="3014">
                  <c:v>-0.76279650453537229</c:v>
                </c:pt>
                <c:pt idx="3015">
                  <c:v>-0.74268546970953198</c:v>
                </c:pt>
                <c:pt idx="3016">
                  <c:v>-0.72236834991459875</c:v>
                </c:pt>
                <c:pt idx="3017">
                  <c:v>-0.70185214852183331</c:v>
                </c:pt>
                <c:pt idx="3018">
                  <c:v>-0.68114392123304601</c:v>
                </c:pt>
                <c:pt idx="3019">
                  <c:v>-0.66025077368320317</c:v>
                </c:pt>
                <c:pt idx="3020">
                  <c:v>-0.63917985903110797</c:v>
                </c:pt>
                <c:pt idx="3021">
                  <c:v>-0.61793837553885389</c:v>
                </c:pt>
                <c:pt idx="3022">
                  <c:v>-0.59653356414096526</c:v>
                </c:pt>
                <c:pt idx="3023">
                  <c:v>-0.57497270600403128</c:v>
                </c:pt>
                <c:pt idx="3024">
                  <c:v>-0.55326312007758871</c:v>
                </c:pt>
                <c:pt idx="3025">
                  <c:v>-0.53141216063704733</c:v>
                </c:pt>
                <c:pt idx="3026">
                  <c:v>-0.50942721481960196</c:v>
                </c:pt>
                <c:pt idx="3027">
                  <c:v>-0.48731570015381581</c:v>
                </c:pt>
                <c:pt idx="3028">
                  <c:v>-0.46508506208379868</c:v>
                </c:pt>
                <c:pt idx="3029">
                  <c:v>-0.44274277148865748</c:v>
                </c:pt>
                <c:pt idx="3030">
                  <c:v>-0.42029632219821944</c:v>
                </c:pt>
                <c:pt idx="3031">
                  <c:v>-0.39775322850565675</c:v>
                </c:pt>
                <c:pt idx="3032">
                  <c:v>-0.37512102267806197</c:v>
                </c:pt>
                <c:pt idx="3033">
                  <c:v>-0.3524072524654781</c:v>
                </c:pt>
                <c:pt idx="3034">
                  <c:v>-0.32961947860950508</c:v>
                </c:pt>
                <c:pt idx="3035">
                  <c:v>-0.30676527235210405</c:v>
                </c:pt>
                <c:pt idx="3036">
                  <c:v>-0.28385221294552443</c:v>
                </c:pt>
                <c:pt idx="3037">
                  <c:v>-0.26088788516402656</c:v>
                </c:pt>
                <c:pt idx="3038">
                  <c:v>-0.23787987681839223</c:v>
                </c:pt>
                <c:pt idx="3039">
                  <c:v>-0.21483577627383332</c:v>
                </c:pt>
                <c:pt idx="3040">
                  <c:v>-0.19176316997234755</c:v>
                </c:pt>
                <c:pt idx="3041">
                  <c:v>-0.16866963995999421</c:v>
                </c:pt>
                <c:pt idx="3042">
                  <c:v>-0.14556276142020552</c:v>
                </c:pt>
                <c:pt idx="3043">
                  <c:v>-0.12245010021373037</c:v>
                </c:pt>
                <c:pt idx="3044">
                  <c:v>-9.9339210426115807E-2</c:v>
                </c:pt>
                <c:pt idx="3045">
                  <c:v>-7.6237631923370949E-2</c:v>
                </c:pt>
                <c:pt idx="3046">
                  <c:v>-5.3152887916776644E-2</c:v>
                </c:pt>
                <c:pt idx="3047">
                  <c:v>-3.0092482537482815E-2</c:v>
                </c:pt>
                <c:pt idx="3048">
                  <c:v>-7.0638984217226289E-3</c:v>
                </c:pt>
                <c:pt idx="3049">
                  <c:v>1.59254056925975E-2</c:v>
                </c:pt>
                <c:pt idx="3050">
                  <c:v>3.8867997357167304E-2</c:v>
                </c:pt>
                <c:pt idx="3051">
                  <c:v>6.1756472791652424E-2</c:v>
                </c:pt>
                <c:pt idx="3052">
                  <c:v>8.4583459248377554E-2</c:v>
                </c:pt>
                <c:pt idx="3053">
                  <c:v>0.10734161736270052</c:v>
                </c:pt>
                <c:pt idx="3054">
                  <c:v>0.13002364348815657</c:v>
                </c:pt>
                <c:pt idx="3055">
                  <c:v>0.15262227201578127</c:v>
                </c:pt>
                <c:pt idx="3056">
                  <c:v>0.17513027767676845</c:v>
                </c:pt>
                <c:pt idx="3057">
                  <c:v>0.19754047782793704</c:v>
                </c:pt>
                <c:pt idx="3058">
                  <c:v>0.21984573471897897</c:v>
                </c:pt>
                <c:pt idx="3059">
                  <c:v>0.24203895774110462</c:v>
                </c:pt>
                <c:pt idx="3060">
                  <c:v>0.26411310565614354</c:v>
                </c:pt>
                <c:pt idx="3061">
                  <c:v>0.28606118880560083</c:v>
                </c:pt>
                <c:pt idx="3062">
                  <c:v>0.30787627129880463</c:v>
                </c:pt>
                <c:pt idx="3063">
                  <c:v>0.32955147317960293</c:v>
                </c:pt>
                <c:pt idx="3064">
                  <c:v>0.35107997257083295</c:v>
                </c:pt>
                <c:pt idx="3065">
                  <c:v>0.37245500779609031</c:v>
                </c:pt>
                <c:pt idx="3066">
                  <c:v>0.39366987947784504</c:v>
                </c:pt>
                <c:pt idx="3067">
                  <c:v>0.41471795261157424</c:v>
                </c:pt>
                <c:pt idx="3068">
                  <c:v>0.43559265861504443</c:v>
                </c:pt>
                <c:pt idx="3069">
                  <c:v>0.456287497352306</c:v>
                </c:pt>
                <c:pt idx="3070">
                  <c:v>0.47679603913161067</c:v>
                </c:pt>
                <c:pt idx="3071">
                  <c:v>0.4971119266767754</c:v>
                </c:pt>
                <c:pt idx="3072">
                  <c:v>0.51722887707130805</c:v>
                </c:pt>
                <c:pt idx="3073">
                  <c:v>0.53714068367481949</c:v>
                </c:pt>
                <c:pt idx="3074">
                  <c:v>0.55684121801104036</c:v>
                </c:pt>
                <c:pt idx="3075">
                  <c:v>0.5763244316268874</c:v>
                </c:pt>
                <c:pt idx="3076">
                  <c:v>0.59558435792208597</c:v>
                </c:pt>
                <c:pt idx="3077">
                  <c:v>0.61461511394880719</c:v>
                </c:pt>
                <c:pt idx="3078">
                  <c:v>0.63341090218068874</c:v>
                </c:pt>
                <c:pt idx="3079">
                  <c:v>0.65196601225082174</c:v>
                </c:pt>
                <c:pt idx="3080">
                  <c:v>0.67027482265810978</c:v>
                </c:pt>
                <c:pt idx="3081">
                  <c:v>0.68833180244160874</c:v>
                </c:pt>
                <c:pt idx="3082">
                  <c:v>0.70613151282225173</c:v>
                </c:pt>
                <c:pt idx="3083">
                  <c:v>0.72366860881149642</c:v>
                </c:pt>
                <c:pt idx="3084">
                  <c:v>0.74093784078648584</c:v>
                </c:pt>
                <c:pt idx="3085">
                  <c:v>0.75793405603127029</c:v>
                </c:pt>
                <c:pt idx="3086">
                  <c:v>0.7746522002435563</c:v>
                </c:pt>
                <c:pt idx="3087">
                  <c:v>0.7910873190066543</c:v>
                </c:pt>
                <c:pt idx="3088">
                  <c:v>0.80723455922612797</c:v>
                </c:pt>
                <c:pt idx="3089">
                  <c:v>0.82308917053083852</c:v>
                </c:pt>
                <c:pt idx="3090">
                  <c:v>0.83864650663789553</c:v>
                </c:pt>
                <c:pt idx="3091">
                  <c:v>0.85390202668114723</c:v>
                </c:pt>
                <c:pt idx="3092">
                  <c:v>0.8688512965028945</c:v>
                </c:pt>
                <c:pt idx="3093">
                  <c:v>0.88348998990846572</c:v>
                </c:pt>
                <c:pt idx="3094">
                  <c:v>0.89781388988324062</c:v>
                </c:pt>
                <c:pt idx="3095">
                  <c:v>0.91181888977187764</c:v>
                </c:pt>
                <c:pt idx="3096">
                  <c:v>0.9255009944193513</c:v>
                </c:pt>
                <c:pt idx="3097">
                  <c:v>0.93885632127360219</c:v>
                </c:pt>
                <c:pt idx="3098">
                  <c:v>0.95188110144937454</c:v>
                </c:pt>
                <c:pt idx="3099">
                  <c:v>0.96457168075309785</c:v>
                </c:pt>
                <c:pt idx="3100">
                  <c:v>0.97692452066839819</c:v>
                </c:pt>
                <c:pt idx="3101">
                  <c:v>0.98893619930217846</c:v>
                </c:pt>
                <c:pt idx="3102">
                  <c:v>1.0006034122908489</c:v>
                </c:pt>
                <c:pt idx="3103">
                  <c:v>1.0119229736665964</c:v>
                </c:pt>
                <c:pt idx="3104">
                  <c:v>1.0228918166834193</c:v>
                </c:pt>
                <c:pt idx="3105">
                  <c:v>1.0335069946028015</c:v>
                </c:pt>
                <c:pt idx="3106">
                  <c:v>1.0437656814387546</c:v>
                </c:pt>
                <c:pt idx="3107">
                  <c:v>1.0536651726621433</c:v>
                </c:pt>
                <c:pt idx="3108">
                  <c:v>1.0632028858640368</c:v>
                </c:pt>
                <c:pt idx="3109">
                  <c:v>1.0723763613780828</c:v>
                </c:pt>
                <c:pt idx="3110">
                  <c:v>1.0811832628616347</c:v>
                </c:pt>
                <c:pt idx="3111">
                  <c:v>1.0896213778356103</c:v>
                </c:pt>
                <c:pt idx="3112">
                  <c:v>1.0976886181829191</c:v>
                </c:pt>
                <c:pt idx="3113">
                  <c:v>1.105383020605444</c:v>
                </c:pt>
                <c:pt idx="3114">
                  <c:v>1.1127027470394157</c:v>
                </c:pt>
                <c:pt idx="3115">
                  <c:v>1.1196460850291832</c:v>
                </c:pt>
                <c:pt idx="3116">
                  <c:v>1.1262114480593108</c:v>
                </c:pt>
                <c:pt idx="3117">
                  <c:v>1.132397375844965</c:v>
                </c:pt>
                <c:pt idx="3118">
                  <c:v>1.1382025345805828</c:v>
                </c:pt>
                <c:pt idx="3119">
                  <c:v>1.1436257171468107</c:v>
                </c:pt>
                <c:pt idx="3120">
                  <c:v>1.1486658432757064</c:v>
                </c:pt>
                <c:pt idx="3121">
                  <c:v>1.153321959674267</c:v>
                </c:pt>
                <c:pt idx="3122">
                  <c:v>1.1575932401062676</c:v>
                </c:pt>
                <c:pt idx="3123">
                  <c:v>1.1614789854324921</c:v>
                </c:pt>
                <c:pt idx="3124">
                  <c:v>1.1649786236094024</c:v>
                </c:pt>
                <c:pt idx="3125">
                  <c:v>1.1680917096463475</c:v>
                </c:pt>
                <c:pt idx="3126">
                  <c:v>1.1708179255213504</c:v>
                </c:pt>
                <c:pt idx="3127">
                  <c:v>1.1731570800556335</c:v>
                </c:pt>
                <c:pt idx="3128">
                  <c:v>1.1751091087469543</c:v>
                </c:pt>
                <c:pt idx="3129">
                  <c:v>1.1766740735619068</c:v>
                </c:pt>
                <c:pt idx="3130">
                  <c:v>1.1778521626873144</c:v>
                </c:pt>
                <c:pt idx="3131">
                  <c:v>1.1786436902408743</c:v>
                </c:pt>
                <c:pt idx="3132">
                  <c:v>1.1790490959412325</c:v>
                </c:pt>
                <c:pt idx="3133">
                  <c:v>1.1790689447376441</c:v>
                </c:pt>
                <c:pt idx="3134">
                  <c:v>1.1787039263994428</c:v>
                </c:pt>
                <c:pt idx="3135">
                  <c:v>1.177954855065505</c:v>
                </c:pt>
                <c:pt idx="3136">
                  <c:v>1.1768226687539374</c:v>
                </c:pt>
                <c:pt idx="3137">
                  <c:v>1.1753084288322189</c:v>
                </c:pt>
                <c:pt idx="3138">
                  <c:v>1.1734133194480352</c:v>
                </c:pt>
                <c:pt idx="3139">
                  <c:v>1.1711386469210727</c:v>
                </c:pt>
                <c:pt idx="3140">
                  <c:v>1.168485839096032</c:v>
                </c:pt>
                <c:pt idx="3141">
                  <c:v>1.1654564446571509</c:v>
                </c:pt>
                <c:pt idx="3142">
                  <c:v>1.1620521324045123</c:v>
                </c:pt>
                <c:pt idx="3143">
                  <c:v>1.1582746904924752</c:v>
                </c:pt>
                <c:pt idx="3144">
                  <c:v>1.1541260256305006</c:v>
                </c:pt>
                <c:pt idx="3145">
                  <c:v>1.1496081622467549</c:v>
                </c:pt>
                <c:pt idx="3146">
                  <c:v>1.1447232416147737</c:v>
                </c:pt>
                <c:pt idx="3147">
                  <c:v>1.1394735209435807</c:v>
                </c:pt>
                <c:pt idx="3148">
                  <c:v>1.1338613724316089</c:v>
                </c:pt>
                <c:pt idx="3149">
                  <c:v>1.1278892822848103</c:v>
                </c:pt>
                <c:pt idx="3150">
                  <c:v>1.1215598496992885</c:v>
                </c:pt>
                <c:pt idx="3151">
                  <c:v>1.114875785808946</c:v>
                </c:pt>
                <c:pt idx="3152">
                  <c:v>1.1078399125984504</c:v>
                </c:pt>
                <c:pt idx="3153">
                  <c:v>1.1004551617820171</c:v>
                </c:pt>
                <c:pt idx="3154">
                  <c:v>1.0927245736483731</c:v>
                </c:pt>
                <c:pt idx="3155">
                  <c:v>1.08465129587239</c:v>
                </c:pt>
                <c:pt idx="3156">
                  <c:v>1.0762385822938054</c:v>
                </c:pt>
                <c:pt idx="3157">
                  <c:v>1.0674897916635151</c:v>
                </c:pt>
                <c:pt idx="3158">
                  <c:v>1.058408386357842</c:v>
                </c:pt>
                <c:pt idx="3159">
                  <c:v>1.04899793106137</c:v>
                </c:pt>
                <c:pt idx="3160">
                  <c:v>1.0392620914187074</c:v>
                </c:pt>
                <c:pt idx="3161">
                  <c:v>1.0292046326557798</c:v>
                </c:pt>
                <c:pt idx="3162">
                  <c:v>1.018829418171064</c:v>
                </c:pt>
                <c:pt idx="3163">
                  <c:v>1.0081404080973588</c:v>
                </c:pt>
                <c:pt idx="3164">
                  <c:v>0.99714165783456543</c:v>
                </c:pt>
                <c:pt idx="3165">
                  <c:v>0.98583731655404438</c:v>
                </c:pt>
                <c:pt idx="3166">
                  <c:v>0.9742316256750243</c:v>
                </c:pt>
                <c:pt idx="3167">
                  <c:v>0.96232891731368575</c:v>
                </c:pt>
                <c:pt idx="3168">
                  <c:v>0.95013361270545038</c:v>
                </c:pt>
                <c:pt idx="3169">
                  <c:v>0.93765022060102088</c:v>
                </c:pt>
                <c:pt idx="3170">
                  <c:v>0.92488333563673109</c:v>
                </c:pt>
                <c:pt idx="3171">
                  <c:v>0.91183763667984286</c:v>
                </c:pt>
                <c:pt idx="3172">
                  <c:v>0.89851788514931763</c:v>
                </c:pt>
                <c:pt idx="3173">
                  <c:v>0.88492892331270157</c:v>
                </c:pt>
                <c:pt idx="3174">
                  <c:v>0.8710756725596559</c:v>
                </c:pt>
                <c:pt idx="3175">
                  <c:v>0.8569631316528048</c:v>
                </c:pt>
                <c:pt idx="3176">
                  <c:v>0.84259637495650808</c:v>
                </c:pt>
                <c:pt idx="3177">
                  <c:v>0.82798055064413967</c:v>
                </c:pt>
                <c:pt idx="3178">
                  <c:v>0.81312087888448381</c:v>
                </c:pt>
                <c:pt idx="3179">
                  <c:v>0.79802265000795636</c:v>
                </c:pt>
                <c:pt idx="3180">
                  <c:v>0.78269122265320468</c:v>
                </c:pt>
                <c:pt idx="3181">
                  <c:v>0.76713202189480023</c:v>
                </c:pt>
                <c:pt idx="3182">
                  <c:v>0.75135053735255675</c:v>
                </c:pt>
                <c:pt idx="3183">
                  <c:v>0.73535232128327621</c:v>
                </c:pt>
                <c:pt idx="3184">
                  <c:v>0.71914298665541965</c:v>
                </c:pt>
                <c:pt idx="3185">
                  <c:v>0.70272820520754153</c:v>
                </c:pt>
                <c:pt idx="3186">
                  <c:v>0.68611370549092676</c:v>
                </c:pt>
                <c:pt idx="3187">
                  <c:v>0.66930527089730885</c:v>
                </c:pt>
                <c:pt idx="3188">
                  <c:v>0.65230873767220865</c:v>
                </c:pt>
                <c:pt idx="3189">
                  <c:v>0.63512999291464967</c:v>
                </c:pt>
                <c:pt idx="3190">
                  <c:v>0.61777497256381952</c:v>
                </c:pt>
                <c:pt idx="3191">
                  <c:v>0.6002496593735015</c:v>
                </c:pt>
                <c:pt idx="3192">
                  <c:v>0.58256008087480904</c:v>
                </c:pt>
                <c:pt idx="3193">
                  <c:v>0.56471230732809419</c:v>
                </c:pt>
                <c:pt idx="3194">
                  <c:v>0.54671244966447097</c:v>
                </c:pt>
                <c:pt idx="3195">
                  <c:v>0.52856665741788444</c:v>
                </c:pt>
                <c:pt idx="3196">
                  <c:v>0.51028111664826736</c:v>
                </c:pt>
                <c:pt idx="3197">
                  <c:v>0.4918620478565669</c:v>
                </c:pt>
                <c:pt idx="3198">
                  <c:v>0.47331570389222483</c:v>
                </c:pt>
                <c:pt idx="3199">
                  <c:v>0.45464836785395635</c:v>
                </c:pt>
                <c:pt idx="3200">
                  <c:v>0.43586635098436938</c:v>
                </c:pt>
                <c:pt idx="3201">
                  <c:v>0.41697599055931223</c:v>
                </c:pt>
                <c:pt idx="3202">
                  <c:v>0.39798364777239553</c:v>
                </c:pt>
                <c:pt idx="3203">
                  <c:v>0.37889570561563291</c:v>
                </c:pt>
                <c:pt idx="3204">
                  <c:v>0.35971856675674485</c:v>
                </c:pt>
                <c:pt idx="3205">
                  <c:v>0.34045865141391901</c:v>
                </c:pt>
                <c:pt idx="3206">
                  <c:v>0.32112239522860375</c:v>
                </c:pt>
                <c:pt idx="3207">
                  <c:v>0.3017162471371852</c:v>
                </c:pt>
                <c:pt idx="3208">
                  <c:v>0.28224666724212288</c:v>
                </c:pt>
                <c:pt idx="3209">
                  <c:v>0.2627201246833385</c:v>
                </c:pt>
                <c:pt idx="3210">
                  <c:v>0.2431430955103849</c:v>
                </c:pt>
                <c:pt idx="3211">
                  <c:v>0.22352206055635407</c:v>
                </c:pt>
                <c:pt idx="3212">
                  <c:v>0.20386350331394168</c:v>
                </c:pt>
                <c:pt idx="3213">
                  <c:v>0.18417390781456347</c:v>
                </c:pt>
                <c:pt idx="3214">
                  <c:v>0.16445975651104058</c:v>
                </c:pt>
                <c:pt idx="3215">
                  <c:v>0.1447275281647008</c:v>
                </c:pt>
                <c:pt idx="3216">
                  <c:v>0.12498369573745419</c:v>
                </c:pt>
                <c:pt idx="3217">
                  <c:v>0.10523472428962173</c:v>
                </c:pt>
                <c:pt idx="3218">
                  <c:v>8.5487068884023715E-2</c:v>
                </c:pt>
                <c:pt idx="3219">
                  <c:v>6.574717249727012E-2</c:v>
                </c:pt>
                <c:pt idx="3220">
                  <c:v>4.6021463938643835E-2</c:v>
                </c:pt>
                <c:pt idx="3221">
                  <c:v>2.6316355777452023E-2</c:v>
                </c:pt>
                <c:pt idx="3222">
                  <c:v>6.6382422793343932E-3</c:v>
                </c:pt>
                <c:pt idx="3223">
                  <c:v>-1.3006502647649489E-2</c:v>
                </c:pt>
                <c:pt idx="3224">
                  <c:v>-3.2611527496626179E-2</c:v>
                </c:pt>
                <c:pt idx="3225">
                  <c:v>-5.2170505194458587E-2</c:v>
                </c:pt>
                <c:pt idx="3226">
                  <c:v>-7.1677135122766342E-2</c:v>
                </c:pt>
                <c:pt idx="3227">
                  <c:v>-9.1125145126508336E-2</c:v>
                </c:pt>
                <c:pt idx="3228">
                  <c:v>-0.11050829350977082</c:v>
                </c:pt>
                <c:pt idx="3229">
                  <c:v>-0.12982037101792615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85-42C3-9E44-110BBEACB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0346527"/>
        <c:axId val="794652175"/>
      </c:scatterChart>
      <c:valAx>
        <c:axId val="800346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652175"/>
        <c:crosses val="autoZero"/>
        <c:crossBetween val="midCat"/>
      </c:valAx>
      <c:valAx>
        <c:axId val="794652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346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6</xdr:row>
      <xdr:rowOff>16281</xdr:rowOff>
    </xdr:from>
    <xdr:to>
      <xdr:col>7</xdr:col>
      <xdr:colOff>888120</xdr:colOff>
      <xdr:row>13</xdr:row>
      <xdr:rowOff>66675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665" t="8080" r="63586" b="4041"/>
        <a:stretch/>
      </xdr:blipFill>
      <xdr:spPr>
        <a:xfrm>
          <a:off x="3124200" y="1397406"/>
          <a:ext cx="2735970" cy="1383894"/>
        </a:xfrm>
        <a:prstGeom prst="rect">
          <a:avLst/>
        </a:prstGeom>
        <a:ln w="22225">
          <a:solidFill>
            <a:schemeClr val="tx1"/>
          </a:solidFill>
        </a:ln>
      </xdr:spPr>
    </xdr:pic>
    <xdr:clientData/>
  </xdr:twoCellAnchor>
  <xdr:twoCellAnchor>
    <xdr:from>
      <xdr:col>1</xdr:col>
      <xdr:colOff>686885</xdr:colOff>
      <xdr:row>41</xdr:row>
      <xdr:rowOff>151628</xdr:rowOff>
    </xdr:from>
    <xdr:to>
      <xdr:col>7</xdr:col>
      <xdr:colOff>696408</xdr:colOff>
      <xdr:row>51</xdr:row>
      <xdr:rowOff>17201</xdr:rowOff>
    </xdr:to>
    <xdr:graphicFrame macro="">
      <xdr:nvGraphicFramePr>
        <xdr:cNvPr id="3" name="Undamped 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692235</xdr:colOff>
      <xdr:row>31</xdr:row>
      <xdr:rowOff>38385</xdr:rowOff>
    </xdr:from>
    <xdr:to>
      <xdr:col>7</xdr:col>
      <xdr:colOff>692235</xdr:colOff>
      <xdr:row>41</xdr:row>
      <xdr:rowOff>54952</xdr:rowOff>
    </xdr:to>
    <xdr:graphicFrame macro="">
      <xdr:nvGraphicFramePr>
        <xdr:cNvPr id="4" name="Damped 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64770</xdr:colOff>
      <xdr:row>27</xdr:row>
      <xdr:rowOff>15240</xdr:rowOff>
    </xdr:from>
    <xdr:to>
      <xdr:col>24</xdr:col>
      <xdr:colOff>586302</xdr:colOff>
      <xdr:row>29</xdr:row>
      <xdr:rowOff>1462</xdr:rowOff>
    </xdr:to>
    <xdr:pic>
      <xdr:nvPicPr>
        <xdr:cNvPr id="5" name="Picture 4" descr="See the source imag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69590" y="5227320"/>
          <a:ext cx="1131132" cy="3519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668215</xdr:colOff>
      <xdr:row>23</xdr:row>
      <xdr:rowOff>129540</xdr:rowOff>
    </xdr:from>
    <xdr:to>
      <xdr:col>7</xdr:col>
      <xdr:colOff>685800</xdr:colOff>
      <xdr:row>29</xdr:row>
      <xdr:rowOff>128954</xdr:rowOff>
    </xdr:to>
    <xdr:graphicFrame macro="">
      <xdr:nvGraphicFramePr>
        <xdr:cNvPr id="6" name="Deflecti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22</xdr:row>
          <xdr:rowOff>45720</xdr:rowOff>
        </xdr:from>
        <xdr:to>
          <xdr:col>7</xdr:col>
          <xdr:colOff>685800</xdr:colOff>
          <xdr:row>23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541020</xdr:colOff>
          <xdr:row>22</xdr:row>
          <xdr:rowOff>60960</xdr:rowOff>
        </xdr:from>
        <xdr:to>
          <xdr:col>6</xdr:col>
          <xdr:colOff>190500</xdr:colOff>
          <xdr:row>23</xdr:row>
          <xdr:rowOff>83820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Animate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60960</xdr:colOff>
      <xdr:row>40</xdr:row>
      <xdr:rowOff>38100</xdr:rowOff>
    </xdr:from>
    <xdr:to>
      <xdr:col>34</xdr:col>
      <xdr:colOff>77526</xdr:colOff>
      <xdr:row>49</xdr:row>
      <xdr:rowOff>129210</xdr:rowOff>
    </xdr:to>
    <xdr:graphicFrame macro="">
      <xdr:nvGraphicFramePr>
        <xdr:cNvPr id="10" name="Damped Chart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541020</xdr:colOff>
          <xdr:row>20</xdr:row>
          <xdr:rowOff>167640</xdr:rowOff>
        </xdr:from>
        <xdr:to>
          <xdr:col>6</xdr:col>
          <xdr:colOff>190500</xdr:colOff>
          <xdr:row>22</xdr:row>
          <xdr:rowOff>22860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Pause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19</xdr:row>
      <xdr:rowOff>0</xdr:rowOff>
    </xdr:from>
    <xdr:to>
      <xdr:col>14</xdr:col>
      <xdr:colOff>426311</xdr:colOff>
      <xdr:row>29</xdr:row>
      <xdr:rowOff>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7"/>
  <sheetViews>
    <sheetView showGridLines="0" tabSelected="1" view="pageBreakPreview" topLeftCell="A31" zoomScale="115" zoomScaleNormal="115" zoomScaleSheetLayoutView="115" zoomScalePageLayoutView="130" workbookViewId="0">
      <selection activeCell="H37" sqref="H37"/>
    </sheetView>
  </sheetViews>
  <sheetFormatPr defaultRowHeight="14.4" x14ac:dyDescent="0.3"/>
  <cols>
    <col min="1" max="1" width="5" customWidth="1"/>
    <col min="2" max="2" width="19.5546875" customWidth="1"/>
    <col min="3" max="3" width="16" bestFit="1" customWidth="1"/>
    <col min="5" max="5" width="9.6640625" bestFit="1" customWidth="1"/>
    <col min="6" max="6" width="10" bestFit="1" customWidth="1"/>
    <col min="8" max="8" width="21.88671875" customWidth="1"/>
    <col min="9" max="9" width="9.109375" customWidth="1"/>
    <col min="12" max="12" width="4.44140625" customWidth="1"/>
  </cols>
  <sheetData>
    <row r="1" spans="1:8" ht="33" customHeight="1" thickBot="1" x14ac:dyDescent="0.35">
      <c r="A1" s="2"/>
      <c r="B1" s="2"/>
      <c r="C1" s="2"/>
      <c r="D1" s="2"/>
      <c r="E1" s="2"/>
      <c r="F1" s="2"/>
      <c r="G1" s="2"/>
      <c r="H1" s="2"/>
    </row>
    <row r="2" spans="1:8" x14ac:dyDescent="0.3">
      <c r="A2" s="2"/>
      <c r="B2" s="16" t="s">
        <v>19</v>
      </c>
      <c r="C2" s="17"/>
      <c r="D2" s="17"/>
      <c r="E2" s="17"/>
      <c r="F2" s="20" t="s">
        <v>20</v>
      </c>
      <c r="G2" s="17" t="s">
        <v>72</v>
      </c>
      <c r="H2" s="18"/>
    </row>
    <row r="3" spans="1:8" x14ac:dyDescent="0.3">
      <c r="A3" s="2"/>
      <c r="B3" s="9" t="s">
        <v>21</v>
      </c>
      <c r="C3" s="11"/>
      <c r="D3" s="11"/>
      <c r="E3" s="11"/>
      <c r="F3" s="10" t="s">
        <v>22</v>
      </c>
      <c r="G3" s="10"/>
      <c r="H3" s="13"/>
    </row>
    <row r="4" spans="1:8" ht="15" thickBot="1" x14ac:dyDescent="0.35">
      <c r="A4" s="2"/>
      <c r="B4" s="19" t="s">
        <v>23</v>
      </c>
      <c r="C4" s="12"/>
      <c r="D4" s="12"/>
      <c r="E4" s="12"/>
      <c r="F4" s="15" t="s">
        <v>24</v>
      </c>
      <c r="G4" s="15"/>
      <c r="H4" s="14"/>
    </row>
    <row r="5" spans="1:8" x14ac:dyDescent="0.3">
      <c r="A5" s="2"/>
      <c r="B5" s="1"/>
      <c r="C5" s="2"/>
      <c r="D5" s="2"/>
      <c r="E5" s="2"/>
      <c r="F5" s="2"/>
      <c r="G5" s="2"/>
      <c r="H5" s="3"/>
    </row>
    <row r="6" spans="1:8" x14ac:dyDescent="0.3">
      <c r="A6" s="2"/>
      <c r="B6" s="1"/>
      <c r="C6" s="2"/>
      <c r="D6" s="2"/>
      <c r="E6" s="2"/>
      <c r="F6" s="2"/>
      <c r="G6" s="2"/>
      <c r="H6" s="3"/>
    </row>
    <row r="7" spans="1:8" x14ac:dyDescent="0.3">
      <c r="A7" s="2"/>
      <c r="B7" s="22" t="s">
        <v>33</v>
      </c>
      <c r="C7" s="27">
        <v>20</v>
      </c>
      <c r="D7" s="21" t="s">
        <v>3</v>
      </c>
      <c r="E7" s="4"/>
      <c r="F7" s="4"/>
      <c r="G7" s="2"/>
      <c r="H7" s="3"/>
    </row>
    <row r="8" spans="1:8" x14ac:dyDescent="0.3">
      <c r="A8" s="2"/>
      <c r="B8" s="22" t="s">
        <v>34</v>
      </c>
      <c r="C8" s="27">
        <v>0</v>
      </c>
      <c r="D8" s="21" t="s">
        <v>36</v>
      </c>
      <c r="E8" s="4"/>
      <c r="F8" s="4"/>
      <c r="G8" s="2"/>
      <c r="H8" s="3"/>
    </row>
    <row r="9" spans="1:8" x14ac:dyDescent="0.3">
      <c r="A9" s="2"/>
      <c r="B9" s="22" t="s">
        <v>35</v>
      </c>
      <c r="C9" s="27">
        <v>0</v>
      </c>
      <c r="D9" s="21" t="s">
        <v>9</v>
      </c>
      <c r="E9" s="4"/>
      <c r="F9" s="4"/>
      <c r="G9" s="2"/>
      <c r="H9" s="3"/>
    </row>
    <row r="10" spans="1:8" x14ac:dyDescent="0.3">
      <c r="A10" s="2"/>
      <c r="B10" s="22" t="s">
        <v>32</v>
      </c>
      <c r="C10" s="27">
        <v>0</v>
      </c>
      <c r="D10" s="21" t="s">
        <v>10</v>
      </c>
      <c r="E10" s="4"/>
      <c r="F10" s="4"/>
      <c r="G10" s="2"/>
      <c r="H10" s="3"/>
    </row>
    <row r="11" spans="1:8" x14ac:dyDescent="0.3">
      <c r="A11" s="2"/>
      <c r="B11" s="22" t="s">
        <v>12</v>
      </c>
      <c r="C11" s="27">
        <v>0.05</v>
      </c>
      <c r="D11" s="21"/>
      <c r="E11" s="4"/>
      <c r="F11" s="4"/>
      <c r="G11" s="2"/>
      <c r="H11" s="3"/>
    </row>
    <row r="12" spans="1:8" x14ac:dyDescent="0.3">
      <c r="A12" s="2"/>
      <c r="B12" s="22" t="s">
        <v>61</v>
      </c>
      <c r="C12" s="27">
        <v>500</v>
      </c>
      <c r="D12" s="21" t="s">
        <v>62</v>
      </c>
      <c r="E12" s="4"/>
      <c r="F12" s="4"/>
      <c r="G12" s="2"/>
      <c r="H12" s="3"/>
    </row>
    <row r="13" spans="1:8" ht="15.6" x14ac:dyDescent="0.3">
      <c r="A13" s="2"/>
      <c r="B13" s="22" t="s">
        <v>2</v>
      </c>
      <c r="C13" s="27">
        <v>200500</v>
      </c>
      <c r="D13" s="21" t="s">
        <v>25</v>
      </c>
      <c r="E13" s="4"/>
      <c r="F13" s="4"/>
      <c r="G13" s="2"/>
      <c r="H13" s="3"/>
    </row>
    <row r="14" spans="1:8" x14ac:dyDescent="0.3">
      <c r="A14" s="2"/>
      <c r="B14" s="22" t="s">
        <v>39</v>
      </c>
      <c r="C14" s="28" t="s">
        <v>44</v>
      </c>
      <c r="D14" s="21"/>
      <c r="E14" s="4"/>
      <c r="F14" s="4"/>
      <c r="G14" s="2"/>
      <c r="H14" s="3"/>
    </row>
    <row r="15" spans="1:8" x14ac:dyDescent="0.3">
      <c r="A15" s="2"/>
      <c r="B15" s="22" t="s">
        <v>0</v>
      </c>
      <c r="C15" s="27">
        <v>4000</v>
      </c>
      <c r="D15" s="21" t="s">
        <v>3</v>
      </c>
      <c r="E15" s="4"/>
      <c r="F15" s="4"/>
      <c r="G15" s="2"/>
      <c r="H15" s="3"/>
    </row>
    <row r="16" spans="1:8" x14ac:dyDescent="0.3">
      <c r="A16" s="2"/>
      <c r="B16" s="22" t="s">
        <v>1</v>
      </c>
      <c r="C16" s="27">
        <v>4000</v>
      </c>
      <c r="D16" s="21" t="s">
        <v>3</v>
      </c>
      <c r="E16" s="4"/>
      <c r="F16" s="5"/>
      <c r="G16" s="2"/>
      <c r="H16" s="3"/>
    </row>
    <row r="17" spans="1:8" x14ac:dyDescent="0.3">
      <c r="A17" s="2"/>
      <c r="B17" s="22" t="s">
        <v>4</v>
      </c>
      <c r="C17" s="29">
        <f>1/(b*a*((a+b)^2 - b^2 - a^2)/(6*E*I*(a+b)))</f>
        <v>163.34484375</v>
      </c>
      <c r="D17" s="21" t="s">
        <v>5</v>
      </c>
      <c r="E17" s="4"/>
      <c r="F17" s="4"/>
      <c r="G17" s="2"/>
      <c r="H17" s="3"/>
    </row>
    <row r="18" spans="1:8" x14ac:dyDescent="0.3">
      <c r="A18" s="2"/>
      <c r="B18" s="22" t="s">
        <v>31</v>
      </c>
      <c r="C18" s="29">
        <f>SQRT((C17*1000)/C12)/(2*PI())</f>
        <v>2.8766554286725685</v>
      </c>
      <c r="D18" s="21" t="s">
        <v>10</v>
      </c>
      <c r="E18" s="4"/>
      <c r="F18" s="4"/>
      <c r="G18" s="2"/>
      <c r="H18" s="3"/>
    </row>
    <row r="19" spans="1:8" x14ac:dyDescent="0.3">
      <c r="A19" s="2"/>
      <c r="B19" s="22" t="s">
        <v>17</v>
      </c>
      <c r="C19" s="29">
        <f>SQRT(1-zeta^2) * Wn</f>
        <v>2.8730573591860433</v>
      </c>
      <c r="D19" s="21" t="s">
        <v>10</v>
      </c>
      <c r="E19" s="4"/>
      <c r="F19" s="4"/>
      <c r="G19" s="2"/>
      <c r="H19" s="3"/>
    </row>
    <row r="20" spans="1:8" x14ac:dyDescent="0.3">
      <c r="A20" s="2"/>
      <c r="B20" s="22" t="s">
        <v>27</v>
      </c>
      <c r="C20" s="29">
        <f>MAX(Sheet2!C:C)</f>
        <v>20</v>
      </c>
      <c r="D20" s="23" t="s">
        <v>3</v>
      </c>
      <c r="E20" s="31"/>
      <c r="F20" s="2"/>
      <c r="G20" s="2"/>
      <c r="H20" s="3"/>
    </row>
    <row r="21" spans="1:8" x14ac:dyDescent="0.3">
      <c r="A21" s="2"/>
      <c r="B21" s="22" t="s">
        <v>26</v>
      </c>
      <c r="C21" s="29">
        <f>K*C20</f>
        <v>3266.8968749999999</v>
      </c>
      <c r="D21" s="23" t="s">
        <v>9</v>
      </c>
      <c r="E21" s="4"/>
      <c r="F21" s="2"/>
      <c r="G21" s="2"/>
      <c r="H21" s="3"/>
    </row>
    <row r="22" spans="1:8" x14ac:dyDescent="0.3">
      <c r="A22" s="2"/>
      <c r="B22" s="22" t="s">
        <v>29</v>
      </c>
      <c r="C22" s="29">
        <f>(C21*b/(a+b) * a)</f>
        <v>6533793.75</v>
      </c>
      <c r="D22" s="23" t="s">
        <v>30</v>
      </c>
      <c r="E22" s="4"/>
      <c r="F22" s="2"/>
      <c r="G22" s="2"/>
      <c r="H22" s="3"/>
    </row>
    <row r="23" spans="1:8" ht="15.6" x14ac:dyDescent="0.3">
      <c r="A23" s="2"/>
      <c r="B23" s="22" t="s">
        <v>28</v>
      </c>
      <c r="C23" s="29">
        <f>C22/Sx</f>
        <v>59.943061926605502</v>
      </c>
      <c r="D23" s="23" t="s">
        <v>25</v>
      </c>
      <c r="E23" s="2"/>
      <c r="F23" s="2"/>
      <c r="G23" s="2"/>
      <c r="H23" s="3"/>
    </row>
    <row r="24" spans="1:8" x14ac:dyDescent="0.3">
      <c r="A24" s="2"/>
      <c r="B24" s="1"/>
      <c r="C24" s="2"/>
      <c r="D24" s="2"/>
      <c r="E24" s="2"/>
      <c r="F24" s="2"/>
      <c r="G24" s="2"/>
      <c r="H24" s="3"/>
    </row>
    <row r="25" spans="1:8" x14ac:dyDescent="0.3">
      <c r="A25" s="2"/>
      <c r="B25" s="1"/>
      <c r="C25" s="2"/>
      <c r="D25" s="2"/>
      <c r="E25" s="2"/>
      <c r="F25" s="2"/>
      <c r="G25" s="2"/>
      <c r="H25" s="3"/>
    </row>
    <row r="26" spans="1:8" x14ac:dyDescent="0.3">
      <c r="A26" s="2"/>
      <c r="B26" s="1"/>
      <c r="C26" s="2"/>
      <c r="D26" s="2"/>
      <c r="E26" s="2"/>
      <c r="F26" s="2"/>
      <c r="G26" s="2"/>
      <c r="H26" s="3"/>
    </row>
    <row r="27" spans="1:8" x14ac:dyDescent="0.3">
      <c r="A27" s="2"/>
      <c r="B27" s="1"/>
      <c r="C27" s="2"/>
      <c r="D27" s="2"/>
      <c r="E27" s="2"/>
      <c r="F27" s="2"/>
      <c r="G27" s="2"/>
      <c r="H27" s="3"/>
    </row>
    <row r="28" spans="1:8" x14ac:dyDescent="0.3">
      <c r="A28" s="2"/>
      <c r="B28" s="1"/>
      <c r="C28" s="2"/>
      <c r="D28" s="2"/>
      <c r="E28" s="2"/>
      <c r="F28" s="2"/>
      <c r="G28" s="2"/>
      <c r="H28" s="3"/>
    </row>
    <row r="29" spans="1:8" x14ac:dyDescent="0.3">
      <c r="A29" s="2"/>
      <c r="B29" s="1"/>
      <c r="C29" s="2"/>
      <c r="D29" s="2"/>
      <c r="E29" s="2"/>
      <c r="F29" s="2"/>
      <c r="G29" s="2"/>
      <c r="H29" s="3"/>
    </row>
    <row r="30" spans="1:8" x14ac:dyDescent="0.3">
      <c r="A30" s="2"/>
      <c r="B30" s="1"/>
      <c r="C30" s="2"/>
      <c r="D30" s="2"/>
      <c r="E30" s="2"/>
      <c r="F30" s="2"/>
      <c r="G30" s="2"/>
      <c r="H30" s="3"/>
    </row>
    <row r="31" spans="1:8" ht="0.75" customHeight="1" x14ac:dyDescent="0.3">
      <c r="A31" s="2"/>
      <c r="B31" s="1"/>
      <c r="C31" s="2"/>
      <c r="D31" s="2"/>
      <c r="E31" s="2"/>
      <c r="F31" s="2"/>
      <c r="G31" s="2"/>
      <c r="H31" s="3"/>
    </row>
    <row r="32" spans="1:8" x14ac:dyDescent="0.3">
      <c r="A32" s="2"/>
      <c r="B32" s="1"/>
      <c r="C32" s="2"/>
      <c r="D32" s="2"/>
      <c r="E32" s="2"/>
      <c r="F32" s="2"/>
      <c r="G32" s="2"/>
      <c r="H32" s="3"/>
    </row>
    <row r="33" spans="1:8" x14ac:dyDescent="0.3">
      <c r="A33" s="2"/>
      <c r="B33" s="1"/>
      <c r="C33" s="2"/>
      <c r="D33" s="2"/>
      <c r="E33" s="2"/>
      <c r="F33" s="2"/>
      <c r="G33" s="2"/>
      <c r="H33" s="3"/>
    </row>
    <row r="34" spans="1:8" x14ac:dyDescent="0.3">
      <c r="A34" s="2"/>
      <c r="B34" s="1"/>
      <c r="C34" s="2"/>
      <c r="D34" s="2"/>
      <c r="E34" s="2"/>
      <c r="F34" s="2"/>
      <c r="G34" s="2"/>
      <c r="H34" s="3"/>
    </row>
    <row r="35" spans="1:8" x14ac:dyDescent="0.3">
      <c r="A35" s="2"/>
      <c r="B35" s="1"/>
      <c r="C35" s="2"/>
      <c r="D35" s="2"/>
      <c r="E35" s="2"/>
      <c r="F35" s="2"/>
      <c r="G35" s="2"/>
      <c r="H35" s="3"/>
    </row>
    <row r="36" spans="1:8" x14ac:dyDescent="0.3">
      <c r="A36" s="2"/>
      <c r="B36" s="1"/>
      <c r="C36" s="2"/>
      <c r="D36" s="2"/>
      <c r="E36" s="2"/>
      <c r="F36" s="2"/>
      <c r="G36" s="2"/>
      <c r="H36" s="3"/>
    </row>
    <row r="37" spans="1:8" x14ac:dyDescent="0.3">
      <c r="A37" s="2"/>
      <c r="B37" s="1"/>
      <c r="C37" s="2"/>
      <c r="D37" s="2"/>
      <c r="E37" s="2"/>
      <c r="F37" s="2"/>
      <c r="G37" s="2"/>
      <c r="H37" s="3"/>
    </row>
    <row r="38" spans="1:8" x14ac:dyDescent="0.3">
      <c r="A38" s="2"/>
      <c r="B38" s="1"/>
      <c r="C38" s="2"/>
      <c r="D38" s="2"/>
      <c r="E38" s="2"/>
      <c r="F38" s="2"/>
      <c r="G38" s="2"/>
      <c r="H38" s="3"/>
    </row>
    <row r="39" spans="1:8" x14ac:dyDescent="0.3">
      <c r="A39" s="2"/>
      <c r="B39" s="1"/>
      <c r="C39" s="2"/>
      <c r="D39" s="2"/>
      <c r="E39" s="2"/>
      <c r="F39" s="2"/>
      <c r="G39" s="2"/>
      <c r="H39" s="3"/>
    </row>
    <row r="40" spans="1:8" x14ac:dyDescent="0.3">
      <c r="A40" s="2"/>
      <c r="B40" s="1"/>
      <c r="C40" s="2"/>
      <c r="D40" s="2"/>
      <c r="E40" s="2"/>
      <c r="F40" s="2"/>
      <c r="G40" s="2"/>
      <c r="H40" s="3"/>
    </row>
    <row r="41" spans="1:8" x14ac:dyDescent="0.3">
      <c r="A41" s="2"/>
      <c r="B41" s="1"/>
      <c r="C41" s="2"/>
      <c r="D41" s="2"/>
      <c r="E41" s="2"/>
      <c r="F41" s="2"/>
      <c r="G41" s="2"/>
      <c r="H41" s="3"/>
    </row>
    <row r="42" spans="1:8" x14ac:dyDescent="0.3">
      <c r="A42" s="2"/>
      <c r="B42" s="1"/>
      <c r="C42" s="2"/>
      <c r="D42" s="2"/>
      <c r="E42" s="2"/>
      <c r="F42" s="2"/>
      <c r="G42" s="2"/>
      <c r="H42" s="3"/>
    </row>
    <row r="43" spans="1:8" x14ac:dyDescent="0.3">
      <c r="A43" s="2"/>
      <c r="B43" s="1"/>
      <c r="C43" s="2"/>
      <c r="D43" s="2"/>
      <c r="E43" s="2"/>
      <c r="F43" s="2"/>
      <c r="G43" s="2"/>
      <c r="H43" s="3"/>
    </row>
    <row r="44" spans="1:8" x14ac:dyDescent="0.3">
      <c r="A44" s="2"/>
      <c r="B44" s="1"/>
      <c r="C44" s="2"/>
      <c r="D44" s="2"/>
      <c r="E44" s="2"/>
      <c r="F44" s="2"/>
      <c r="G44" s="2"/>
      <c r="H44" s="3"/>
    </row>
    <row r="45" spans="1:8" x14ac:dyDescent="0.3">
      <c r="A45" s="2"/>
      <c r="B45" s="1"/>
      <c r="C45" s="2"/>
      <c r="D45" s="2"/>
      <c r="E45" s="2"/>
      <c r="F45" s="2"/>
      <c r="G45" s="2"/>
      <c r="H45" s="3"/>
    </row>
    <row r="46" spans="1:8" ht="15" customHeight="1" x14ac:dyDescent="0.3">
      <c r="A46" s="2"/>
      <c r="B46" s="1"/>
      <c r="C46" s="2"/>
      <c r="D46" s="2"/>
      <c r="E46" s="2"/>
      <c r="F46" s="2"/>
      <c r="G46" s="2"/>
      <c r="H46" s="3"/>
    </row>
    <row r="47" spans="1:8" ht="18.75" customHeight="1" x14ac:dyDescent="0.3">
      <c r="A47" s="2"/>
      <c r="B47" s="1"/>
      <c r="C47" s="2"/>
      <c r="D47" s="2"/>
      <c r="E47" s="2"/>
      <c r="F47" s="2"/>
      <c r="G47" s="2"/>
      <c r="H47" s="3"/>
    </row>
    <row r="48" spans="1:8" ht="17.25" customHeight="1" x14ac:dyDescent="0.3">
      <c r="A48" s="2"/>
      <c r="B48" s="1"/>
      <c r="C48" s="2"/>
      <c r="D48" s="2"/>
      <c r="E48" s="2"/>
      <c r="F48" s="2"/>
      <c r="G48" s="2"/>
      <c r="H48" s="3"/>
    </row>
    <row r="49" spans="1:8" ht="17.25" customHeight="1" x14ac:dyDescent="0.3">
      <c r="A49" s="2"/>
      <c r="B49" s="1"/>
      <c r="C49" s="2"/>
      <c r="D49" s="2"/>
      <c r="E49" s="2"/>
      <c r="F49" s="2"/>
      <c r="G49" s="2"/>
      <c r="H49" s="3"/>
    </row>
    <row r="50" spans="1:8" ht="16.5" customHeight="1" x14ac:dyDescent="0.3">
      <c r="A50" s="2"/>
      <c r="B50" s="1"/>
      <c r="C50" s="2"/>
      <c r="D50" s="2"/>
      <c r="E50" s="2"/>
      <c r="F50" s="2"/>
      <c r="G50" s="2"/>
      <c r="H50" s="3"/>
    </row>
    <row r="51" spans="1:8" x14ac:dyDescent="0.3">
      <c r="B51" s="1"/>
      <c r="C51" s="2"/>
      <c r="D51" s="2"/>
      <c r="E51" s="2"/>
      <c r="F51" s="2"/>
      <c r="G51" s="2"/>
      <c r="H51" s="3"/>
    </row>
    <row r="52" spans="1:8" x14ac:dyDescent="0.3">
      <c r="B52" s="1"/>
      <c r="C52" s="2"/>
      <c r="D52" s="2"/>
      <c r="E52" s="2"/>
      <c r="F52" s="2"/>
      <c r="G52" s="2"/>
      <c r="H52" s="3"/>
    </row>
    <row r="53" spans="1:8" ht="15" thickBot="1" x14ac:dyDescent="0.35">
      <c r="B53" s="6"/>
      <c r="C53" s="7"/>
      <c r="D53" s="7"/>
      <c r="E53" s="7"/>
      <c r="F53" s="7"/>
      <c r="G53" s="7"/>
      <c r="H53" s="8"/>
    </row>
    <row r="54" spans="1:8" x14ac:dyDescent="0.3">
      <c r="B54" s="32"/>
      <c r="C54" s="32"/>
      <c r="D54" s="32"/>
      <c r="E54" s="32"/>
      <c r="F54" s="32"/>
      <c r="G54" s="32"/>
      <c r="H54" s="32"/>
    </row>
    <row r="55" spans="1:8" x14ac:dyDescent="0.3">
      <c r="B55" s="32"/>
      <c r="C55" s="32"/>
      <c r="D55" s="32"/>
      <c r="E55" s="32"/>
      <c r="F55" s="32"/>
      <c r="G55" s="32"/>
      <c r="H55" s="32"/>
    </row>
    <row r="56" spans="1:8" x14ac:dyDescent="0.3">
      <c r="B56" s="32"/>
      <c r="C56" s="32"/>
      <c r="D56" s="32"/>
      <c r="E56" s="32"/>
      <c r="F56" s="32"/>
      <c r="G56" s="32"/>
      <c r="H56" s="32"/>
    </row>
    <row r="57" spans="1:8" x14ac:dyDescent="0.3">
      <c r="B57" s="32"/>
      <c r="C57" s="32"/>
      <c r="D57" s="32"/>
      <c r="E57" s="32"/>
      <c r="F57" s="32"/>
      <c r="G57" s="32"/>
      <c r="H57" s="32"/>
    </row>
  </sheetData>
  <pageMargins left="0.1" right="0.15" top="0.1" bottom="0.1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UpdateDeflection_Button">
                <anchor moveWithCells="1" sizeWithCells="1">
                  <from>
                    <xdr:col>6</xdr:col>
                    <xdr:colOff>327660</xdr:colOff>
                    <xdr:row>22</xdr:row>
                    <xdr:rowOff>45720</xdr:rowOff>
                  </from>
                  <to>
                    <xdr:col>7</xdr:col>
                    <xdr:colOff>685800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nimate">
                <anchor moveWithCells="1" sizeWithCells="1">
                  <from>
                    <xdr:col>4</xdr:col>
                    <xdr:colOff>541020</xdr:colOff>
                    <xdr:row>22</xdr:row>
                    <xdr:rowOff>60960</xdr:rowOff>
                  </from>
                  <to>
                    <xdr:col>6</xdr:col>
                    <xdr:colOff>190500</xdr:colOff>
                    <xdr:row>23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Main.Pause">
                <anchor moveWithCells="1" sizeWithCells="1">
                  <from>
                    <xdr:col>4</xdr:col>
                    <xdr:colOff>541020</xdr:colOff>
                    <xdr:row>20</xdr:row>
                    <xdr:rowOff>167640</xdr:rowOff>
                  </from>
                  <to>
                    <xdr:col>6</xdr:col>
                    <xdr:colOff>190500</xdr:colOff>
                    <xdr:row>22</xdr:row>
                    <xdr:rowOff>22860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Sheet3!$A$4:$A$21</xm:f>
          </x14:formula1>
          <xm:sqref>C14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3231"/>
  <sheetViews>
    <sheetView topLeftCell="A3202" zoomScale="85" zoomScaleNormal="85" workbookViewId="0">
      <selection activeCell="I36" sqref="I36"/>
    </sheetView>
  </sheetViews>
  <sheetFormatPr defaultRowHeight="14.4" x14ac:dyDescent="0.3"/>
  <cols>
    <col min="2" max="2" width="12" bestFit="1" customWidth="1"/>
    <col min="3" max="3" width="12.5546875" bestFit="1" customWidth="1"/>
    <col min="8" max="8" width="12.88671875" bestFit="1" customWidth="1"/>
    <col min="15" max="15" width="10.33203125" bestFit="1" customWidth="1"/>
    <col min="19" max="19" width="12.88671875" bestFit="1" customWidth="1"/>
  </cols>
  <sheetData>
    <row r="1" spans="1:19" x14ac:dyDescent="0.3">
      <c r="A1" t="s">
        <v>8</v>
      </c>
      <c r="B1" t="s">
        <v>18</v>
      </c>
      <c r="C1" t="s">
        <v>16</v>
      </c>
      <c r="D1" t="s">
        <v>71</v>
      </c>
      <c r="G1" t="s">
        <v>11</v>
      </c>
      <c r="H1">
        <f>Uo - H4</f>
        <v>20</v>
      </c>
      <c r="J1" t="s">
        <v>6</v>
      </c>
      <c r="K1" t="s">
        <v>7</v>
      </c>
      <c r="N1" t="s">
        <v>58</v>
      </c>
      <c r="O1">
        <f>VLOOKUP(Profile,Sheet3!A4:B21,2,FALSE)</f>
        <v>8690000</v>
      </c>
      <c r="R1" t="str">
        <f t="shared" ref="R1:R64" si="0">A1</f>
        <v>t (s)</v>
      </c>
      <c r="S1" t="str">
        <f t="shared" ref="S1:S64" si="1">C1</f>
        <v>u(t) Damped</v>
      </c>
    </row>
    <row r="2" spans="1:19" x14ac:dyDescent="0.3">
      <c r="A2">
        <v>0</v>
      </c>
      <c r="B2">
        <f>Uo*COS(2*PI()*Wn*Sheet2!A2) + (Vo/Wn - (Po*(w/Wn))/(K*(1-(w/Wn)^2)))*SIN(2*PI()*Wn*Sheet2!A2) +(Po*SIN(2*PI()*w*Sheet2!A2))/(K*(1-(w/Wn)^2))</f>
        <v>20</v>
      </c>
      <c r="C2">
        <f t="shared" ref="C2:C65" si="2">EXP(-zeta*Wn*A2*2*PI())*($H$1*COS(wnD*2*PI()*A2) + $H$2*SIN(wnD*2*PI()*A2)) + $H$3*SIN(w*2*PI()*A2) + $H$4*COS(w*2*PI()*A2)</f>
        <v>20</v>
      </c>
      <c r="D2">
        <f t="shared" ref="D2:D65" si="3">K*C2</f>
        <v>3266.8968749999999</v>
      </c>
      <c r="G2" t="s">
        <v>13</v>
      </c>
      <c r="H2">
        <f>(Vo + zeta*Wn*2*PI()*H1 - w*2*PI()*H3)/(wnD*2*PI())</f>
        <v>1.0012523486435179</v>
      </c>
      <c r="N2" t="s">
        <v>60</v>
      </c>
      <c r="O2">
        <f>VLOOKUP(Profile,Sheet3!A4:C21,3,FALSE)</f>
        <v>109000</v>
      </c>
      <c r="R2">
        <f t="shared" si="0"/>
        <v>0</v>
      </c>
      <c r="S2">
        <f t="shared" si="1"/>
        <v>20</v>
      </c>
    </row>
    <row r="3" spans="1:19" x14ac:dyDescent="0.3">
      <c r="A3">
        <v>1E-3</v>
      </c>
      <c r="B3">
        <f>Uo*COS(2*PI()*Wn*Sheet2!A3) + (Vo/Wn - (Po*(w/Wn))/(K*(1-(w/Wn)^2)))*SIN(2*PI()*Wn*Sheet2!A3) +(Po*SIN(2*PI()*w*Sheet2!A3))/(K*(1-(w/Wn)^2))</f>
        <v>19.996733192062493</v>
      </c>
      <c r="C3">
        <f t="shared" si="2"/>
        <v>19.996735159366516</v>
      </c>
      <c r="D3">
        <f t="shared" si="3"/>
        <v>3266.3635801168548</v>
      </c>
      <c r="G3" t="s">
        <v>14</v>
      </c>
      <c r="H3">
        <f>Po*(1-(w/Wn)^2) / (K*((1-(w/Wn)^2)^2 + (2*zeta*(w/Wn))^2))</f>
        <v>0</v>
      </c>
      <c r="R3">
        <f t="shared" si="0"/>
        <v>1E-3</v>
      </c>
      <c r="S3">
        <f t="shared" si="1"/>
        <v>19.996735159366516</v>
      </c>
    </row>
    <row r="4" spans="1:19" x14ac:dyDescent="0.3">
      <c r="A4">
        <v>2E-3</v>
      </c>
      <c r="B4">
        <f>Uo*COS(2*PI()*Wn*Sheet2!A4) + (Vo/Wn - (Po*(w/Wn))/(K*(1-(w/Wn)^2)))*SIN(2*PI()*Wn*Sheet2!A4) +(Po*SIN(2*PI()*w*Sheet2!A4))/(K*(1-(w/Wn)^2))</f>
        <v>19.986933835453375</v>
      </c>
      <c r="C4">
        <f t="shared" si="2"/>
        <v>19.986949565236689</v>
      </c>
      <c r="D4">
        <f t="shared" si="3"/>
        <v>3264.7651537727174</v>
      </c>
      <c r="G4" t="s">
        <v>15</v>
      </c>
      <c r="H4">
        <f>Po*(-2*zeta*(w/Wn)) / (K*((1-(w/Wn)^2)^2 + (2*zeta*(w/Wn))^2))</f>
        <v>0</v>
      </c>
      <c r="R4">
        <f t="shared" si="0"/>
        <v>2E-3</v>
      </c>
      <c r="S4">
        <f t="shared" si="1"/>
        <v>19.986949565236689</v>
      </c>
    </row>
    <row r="5" spans="1:19" x14ac:dyDescent="0.3">
      <c r="A5">
        <v>3.0000000000000001E-3</v>
      </c>
      <c r="B5">
        <f>Uo*COS(2*PI()*Wn*Sheet2!A5) + (Vo/Wn - (Po*(w/Wn))/(K*(1-(w/Wn)^2)))*SIN(2*PI()*Wn*Sheet2!A5) +(Po*SIN(2*PI()*w*Sheet2!A5))/(K*(1-(w/Wn)^2))</f>
        <v>19.970605131434247</v>
      </c>
      <c r="C5">
        <f t="shared" si="2"/>
        <v>19.970658186818465</v>
      </c>
      <c r="D5">
        <f t="shared" si="3"/>
        <v>3262.1040411105205</v>
      </c>
      <c r="R5">
        <f t="shared" si="0"/>
        <v>3.0000000000000001E-3</v>
      </c>
      <c r="S5">
        <f t="shared" si="1"/>
        <v>19.970658186818465</v>
      </c>
    </row>
    <row r="6" spans="1:19" x14ac:dyDescent="0.3">
      <c r="A6">
        <v>4.0000000000000001E-3</v>
      </c>
      <c r="B6">
        <f>Uo*COS(2*PI()*Wn*Sheet2!A6) + (Vo/Wn - (Po*(w/Wn))/(K*(1-(w/Wn)^2)))*SIN(2*PI()*Wn*Sheet2!A6) +(Po*SIN(2*PI()*w*Sheet2!A6))/(K*(1-(w/Wn)^2))</f>
        <v>19.947752414279098</v>
      </c>
      <c r="C6">
        <f t="shared" si="2"/>
        <v>19.947878089683286</v>
      </c>
      <c r="D6">
        <f t="shared" si="3"/>
        <v>3258.3830297033646</v>
      </c>
      <c r="R6">
        <f t="shared" si="0"/>
        <v>4.0000000000000001E-3</v>
      </c>
      <c r="S6">
        <f t="shared" si="1"/>
        <v>19.947878089683286</v>
      </c>
    </row>
    <row r="7" spans="1:19" x14ac:dyDescent="0.3">
      <c r="A7">
        <v>5.0000000000000001E-3</v>
      </c>
      <c r="B7">
        <f>Uo*COS(2*PI()*Wn*Sheet2!A7) + (Vo/Wn - (Po*(w/Wn))/(K*(1-(w/Wn)^2)))*SIN(2*PI()*Wn*Sheet2!A7) +(Po*SIN(2*PI()*w*Sheet2!A7))/(K*(1-(w/Wn)^2))</f>
        <v>19.918383149531707</v>
      </c>
      <c r="C7">
        <f t="shared" si="2"/>
        <v>19.918628426410425</v>
      </c>
      <c r="D7">
        <f t="shared" si="3"/>
        <v>3253.6052480263193</v>
      </c>
      <c r="R7">
        <f t="shared" si="0"/>
        <v>5.0000000000000001E-3</v>
      </c>
      <c r="S7">
        <f t="shared" si="1"/>
        <v>19.918628426410425</v>
      </c>
    </row>
    <row r="8" spans="1:19" x14ac:dyDescent="0.3">
      <c r="A8">
        <v>6.0000000000000001E-3</v>
      </c>
      <c r="B8">
        <f>Uo*COS(2*PI()*Wn*Sheet2!A8) + (Vo/Wn - (Po*(w/Wn))/(K*(1-(w/Wn)^2)))*SIN(2*PI()*Wn*Sheet2!A8) +(Po*SIN(2*PI()*w*Sheet2!A8))/(K*(1-(w/Wn)^2))</f>
        <v>19.882506931566791</v>
      </c>
      <c r="C8">
        <f t="shared" si="2"/>
        <v>19.882930426567139</v>
      </c>
      <c r="D8">
        <f t="shared" si="3"/>
        <v>3247.7741638197299</v>
      </c>
      <c r="R8">
        <f t="shared" si="0"/>
        <v>6.0000000000000001E-3</v>
      </c>
      <c r="S8">
        <f t="shared" si="1"/>
        <v>19.882930426567139</v>
      </c>
    </row>
    <row r="9" spans="1:19" x14ac:dyDescent="0.3">
      <c r="A9">
        <v>7.0000000000000001E-3</v>
      </c>
      <c r="B9">
        <f>Uo*COS(2*PI()*Wn*Sheet2!A9) + (Vo/Wn - (Po*(w/Wn))/(K*(1-(w/Wn)^2)))*SIN(2*PI()*Wn*Sheet2!A9) +(Po*SIN(2*PI()*w*Sheet2!A9))/(K*(1-(w/Wn)^2))</f>
        <v>19.840135480455718</v>
      </c>
      <c r="C9">
        <f t="shared" si="2"/>
        <v>19.840807386028931</v>
      </c>
      <c r="D9">
        <f t="shared" si="3"/>
        <v>3240.8935823447418</v>
      </c>
      <c r="R9">
        <f t="shared" si="0"/>
        <v>7.0000000000000001E-3</v>
      </c>
      <c r="S9">
        <f t="shared" si="1"/>
        <v>19.840807386028931</v>
      </c>
    </row>
    <row r="10" spans="1:19" x14ac:dyDescent="0.3">
      <c r="A10">
        <v>8.0000000000000002E-3</v>
      </c>
      <c r="B10">
        <f>Uo*COS(2*PI()*Wn*Sheet2!A10) + (Vo/Wn - (Po*(w/Wn))/(K*(1-(w/Wn)^2)))*SIN(2*PI()*Wn*Sheet2!A10) +(Po*SIN(2*PI()*w*Sheet2!A10))/(K*(1-(w/Wn)^2))</f>
        <v>19.791282638137762</v>
      </c>
      <c r="C10">
        <f t="shared" si="2"/>
        <v>19.792284655644739</v>
      </c>
      <c r="D10">
        <f t="shared" si="3"/>
        <v>3232.9676445318123</v>
      </c>
      <c r="R10">
        <f t="shared" si="0"/>
        <v>8.0000000000000002E-3</v>
      </c>
      <c r="S10">
        <f t="shared" si="1"/>
        <v>19.792284655644739</v>
      </c>
    </row>
    <row r="11" spans="1:19" x14ac:dyDescent="0.3">
      <c r="A11">
        <v>8.9999999999999993E-3</v>
      </c>
      <c r="B11">
        <f>Uo*COS(2*PI()*Wn*Sheet2!A11) + (Vo/Wn - (Po*(w/Wn))/(K*(1-(w/Wn)^2)))*SIN(2*PI()*Wn*Sheet2!A11) +(Po*SIN(2*PI()*w*Sheet2!A11))/(K*(1-(w/Wn)^2))</f>
        <v>19.735964363898233</v>
      </c>
      <c r="C11">
        <f t="shared" si="2"/>
        <v>19.737389629251851</v>
      </c>
      <c r="D11">
        <f t="shared" si="3"/>
        <v>3224.0008250230139</v>
      </c>
      <c r="R11">
        <f t="shared" si="0"/>
        <v>8.9999999999999993E-3</v>
      </c>
      <c r="S11">
        <f t="shared" si="1"/>
        <v>19.737389629251851</v>
      </c>
    </row>
    <row r="12" spans="1:19" x14ac:dyDescent="0.3">
      <c r="A12">
        <v>0.01</v>
      </c>
      <c r="B12">
        <f>Uo*COS(2*PI()*Wn*Sheet2!A12) + (Vo/Wn - (Po*(w/Wn))/(K*(1-(w/Wn)^2)))*SIN(2*PI()*Wn*Sheet2!A12) +(Po*SIN(2*PI()*w*Sheet2!A12))/(K*(1-(w/Wn)^2))</f>
        <v>19.674198729154867</v>
      </c>
      <c r="C12">
        <f t="shared" si="2"/>
        <v>19.676151731045685</v>
      </c>
      <c r="D12">
        <f t="shared" si="3"/>
        <v>3213.9979301089493</v>
      </c>
      <c r="R12">
        <f t="shared" si="0"/>
        <v>0.01</v>
      </c>
      <c r="S12">
        <f t="shared" si="1"/>
        <v>19.676151731045685</v>
      </c>
    </row>
    <row r="13" spans="1:19" x14ac:dyDescent="0.3">
      <c r="A13">
        <v>1.0999999999999999E-2</v>
      </c>
      <c r="B13">
        <f>Uo*COS(2*PI()*Wn*Sheet2!A13) + (Vo/Wn - (Po*(w/Wn))/(K*(1-(w/Wn)^2)))*SIN(2*PI()*Wn*Sheet2!A13) +(Po*SIN(2*PI()*w*Sheet2!A13))/(K*(1-(w/Wn)^2))</f>
        <v>19.606005911554249</v>
      </c>
      <c r="C13">
        <f t="shared" si="2"/>
        <v>19.608602402309668</v>
      </c>
      <c r="D13">
        <f t="shared" si="3"/>
        <v>3202.9640955611471</v>
      </c>
      <c r="R13">
        <f t="shared" si="0"/>
        <v>1.0999999999999999E-2</v>
      </c>
      <c r="S13">
        <f t="shared" si="1"/>
        <v>19.608602402309668</v>
      </c>
    </row>
    <row r="14" spans="1:19" x14ac:dyDescent="0.3">
      <c r="A14">
        <v>1.2E-2</v>
      </c>
      <c r="B14">
        <f>Uo*COS(2*PI()*Wn*Sheet2!A14) + (Vo/Wn - (Po*(w/Wn))/(K*(1-(w/Wn)^2)))*SIN(2*PI()*Wn*Sheet2!A14) +(Po*SIN(2*PI()*w*Sheet2!A14))/(K*(1-(w/Wn)^2))</f>
        <v>19.531408188380158</v>
      </c>
      <c r="C14">
        <f t="shared" si="2"/>
        <v>19.534775087510745</v>
      </c>
      <c r="D14">
        <f t="shared" si="3"/>
        <v>3190.904784360835</v>
      </c>
      <c r="R14">
        <f t="shared" si="0"/>
        <v>1.2E-2</v>
      </c>
      <c r="S14">
        <f t="shared" si="1"/>
        <v>19.534775087510745</v>
      </c>
    </row>
    <row r="15" spans="1:19" x14ac:dyDescent="0.3">
      <c r="A15">
        <v>1.2999999999999999E-2</v>
      </c>
      <c r="B15">
        <f>Uo*COS(2*PI()*Wn*Sheet2!A15) + (Vo/Wn - (Po*(w/Wn))/(K*(1-(w/Wn)^2)))*SIN(2*PI()*Wn*Sheet2!A15) +(Po*SIN(2*PI()*w*Sheet2!A15))/(K*(1-(w/Wn)^2))</f>
        <v>19.450429929276016</v>
      </c>
      <c r="C15">
        <f t="shared" si="2"/>
        <v>19.454705219766204</v>
      </c>
      <c r="D15">
        <f t="shared" si="3"/>
        <v>3177.8257843250199</v>
      </c>
      <c r="R15">
        <f t="shared" si="0"/>
        <v>1.2999999999999999E-2</v>
      </c>
      <c r="S15">
        <f t="shared" si="1"/>
        <v>19.454705219766204</v>
      </c>
    </row>
    <row r="16" spans="1:19" x14ac:dyDescent="0.3">
      <c r="A16">
        <v>1.4E-2</v>
      </c>
      <c r="B16">
        <f>Uo*COS(2*PI()*Wn*Sheet2!A16) + (Vo/Wn - (Po*(w/Wn))/(K*(1-(w/Wn)^2)))*SIN(2*PI()*Wn*Sheet2!A16) +(Po*SIN(2*PI()*w*Sheet2!A16))/(K*(1-(w/Wn)^2))</f>
        <v>19.363097588283786</v>
      </c>
      <c r="C16">
        <f t="shared" si="2"/>
        <v>19.368430205687638</v>
      </c>
      <c r="D16">
        <f t="shared" si="3"/>
        <v>3163.7332056308273</v>
      </c>
      <c r="R16">
        <f t="shared" si="0"/>
        <v>1.4E-2</v>
      </c>
      <c r="S16">
        <f t="shared" si="1"/>
        <v>19.368430205687638</v>
      </c>
    </row>
    <row r="17" spans="1:19" x14ac:dyDescent="0.3">
      <c r="A17">
        <v>1.4999999999999999E-2</v>
      </c>
      <c r="B17">
        <f>Uo*COS(2*PI()*Wn*Sheet2!A17) + (Vo/Wn - (Po*(w/Wn))/(K*(1-(w/Wn)^2)))*SIN(2*PI()*Wn*Sheet2!A17) +(Po*SIN(2*PI()*w*Sheet2!A17))/(K*(1-(w/Wn)^2))</f>
        <v>19.269439695201935</v>
      </c>
      <c r="C17">
        <f t="shared" si="2"/>
        <v>19.275989409608187</v>
      </c>
      <c r="D17">
        <f t="shared" si="3"/>
        <v>3148.6334782391041</v>
      </c>
      <c r="R17">
        <f t="shared" si="0"/>
        <v>1.4999999999999999E-2</v>
      </c>
      <c r="S17">
        <f t="shared" si="1"/>
        <v>19.275989409608187</v>
      </c>
    </row>
    <row r="18" spans="1:19" x14ac:dyDescent="0.3">
      <c r="A18">
        <v>1.6E-2</v>
      </c>
      <c r="B18">
        <f>Uo*COS(2*PI()*Wn*Sheet2!A18) + (Vo/Wn - (Po*(w/Wn))/(K*(1-(w/Wn)^2)))*SIN(2*PI()*Wn*Sheet2!A18) +(Po*SIN(2*PI()*w*Sheet2!A18))/(K*(1-(w/Wn)^2))</f>
        <v>19.169486846265322</v>
      </c>
      <c r="C18">
        <f t="shared" si="2"/>
        <v>19.177424137199289</v>
      </c>
      <c r="D18">
        <f t="shared" si="3"/>
        <v>3132.5333492182963</v>
      </c>
      <c r="R18">
        <f t="shared" si="0"/>
        <v>1.6E-2</v>
      </c>
      <c r="S18">
        <f t="shared" si="1"/>
        <v>19.177424137199289</v>
      </c>
    </row>
    <row r="19" spans="1:19" x14ac:dyDescent="0.3">
      <c r="A19">
        <v>1.7000000000000001E-2</v>
      </c>
      <c r="B19">
        <f>Uo*COS(2*PI()*Wn*Sheet2!A19) + (Vo/Wn - (Po*(w/Wn))/(K*(1-(w/Wn)^2)))*SIN(2*PI()*Wn*Sheet2!A19) +(Po*SIN(2*PI()*w*Sheet2!A19))/(K*(1-(w/Wn)^2))</f>
        <v>19.063271694149975</v>
      </c>
      <c r="C19">
        <f t="shared" si="2"/>
        <v>19.072777618483375</v>
      </c>
      <c r="D19">
        <f t="shared" si="3"/>
        <v>3115.4398799696637</v>
      </c>
      <c r="R19">
        <f t="shared" si="0"/>
        <v>1.7000000000000001E-2</v>
      </c>
      <c r="S19">
        <f t="shared" si="1"/>
        <v>19.072777618483375</v>
      </c>
    </row>
    <row r="20" spans="1:19" x14ac:dyDescent="0.3">
      <c r="A20">
        <v>1.7999999999999999E-2</v>
      </c>
      <c r="B20">
        <f>Uo*COS(2*PI()*Wn*Sheet2!A20) + (Vo/Wn - (Po*(w/Wn))/(K*(1-(w/Wn)^2)))*SIN(2*PI()*Wn*Sheet2!A20) +(Po*SIN(2*PI()*w*Sheet2!A20))/(K*(1-(w/Wn)^2))</f>
        <v>18.950828937306095</v>
      </c>
      <c r="C20">
        <f t="shared" si="2"/>
        <v>18.962094990249163</v>
      </c>
      <c r="D20">
        <f t="shared" si="3"/>
        <v>3097.3604433549071</v>
      </c>
      <c r="R20">
        <f t="shared" si="0"/>
        <v>1.7999999999999999E-2</v>
      </c>
      <c r="S20">
        <f t="shared" si="1"/>
        <v>18.962094990249163</v>
      </c>
    </row>
    <row r="21" spans="1:19" x14ac:dyDescent="0.3">
      <c r="A21">
        <v>1.9E-2</v>
      </c>
      <c r="B21">
        <f>Uo*COS(2*PI()*Wn*Sheet2!A21) + (Vo/Wn - (Po*(w/Wn))/(K*(1-(w/Wn)^2)))*SIN(2*PI()*Wn*Sheet2!A21) +(Po*SIN(2*PI()*w*Sheet2!A21))/(K*(1-(w/Wn)^2))</f>
        <v>18.832195308622744</v>
      </c>
      <c r="C21">
        <f t="shared" si="2"/>
        <v>18.845423277876385</v>
      </c>
      <c r="D21">
        <f t="shared" si="3"/>
        <v>3078.3027207273308</v>
      </c>
      <c r="R21">
        <f t="shared" si="0"/>
        <v>1.9E-2</v>
      </c>
      <c r="S21">
        <f t="shared" si="1"/>
        <v>18.845423277876385</v>
      </c>
    </row>
    <row r="22" spans="1:19" x14ac:dyDescent="0.3">
      <c r="A22">
        <v>0.02</v>
      </c>
      <c r="B22">
        <f>Uo*COS(2*PI()*Wn*Sheet2!A22) + (Vo/Wn - (Po*(w/Wn))/(K*(1-(w/Wn)^2)))*SIN(2*PI()*Wn*Sheet2!A22) +(Po*SIN(2*PI()*w*Sheet2!A22))/(K*(1-(w/Wn)^2))</f>
        <v>18.707409563427895</v>
      </c>
      <c r="C22">
        <f t="shared" si="2"/>
        <v>18.72281137657691</v>
      </c>
      <c r="D22">
        <f t="shared" si="3"/>
        <v>3058.2746988676777</v>
      </c>
      <c r="R22">
        <f t="shared" si="0"/>
        <v>0.02</v>
      </c>
      <c r="S22">
        <f t="shared" si="1"/>
        <v>18.72281137657691</v>
      </c>
    </row>
    <row r="23" spans="1:19" x14ac:dyDescent="0.3">
      <c r="A23">
        <v>2.1000000000000001E-2</v>
      </c>
      <c r="B23">
        <f>Uo*COS(2*PI()*Wn*Sheet2!A23) + (Vo/Wn - (Po*(w/Wn))/(K*(1-(w/Wn)^2)))*SIN(2*PI()*Wn*Sheet2!A23) +(Po*SIN(2*PI()*w*Sheet2!A23))/(K*(1-(w/Wn)^2))</f>
        <v>18.576512466827847</v>
      </c>
      <c r="C23">
        <f t="shared" si="2"/>
        <v>18.594310032059429</v>
      </c>
      <c r="D23">
        <f t="shared" si="3"/>
        <v>3037.2846668258048</v>
      </c>
      <c r="R23">
        <f t="shared" si="0"/>
        <v>2.1000000000000001E-2</v>
      </c>
      <c r="S23">
        <f t="shared" si="1"/>
        <v>18.594310032059429</v>
      </c>
    </row>
    <row r="24" spans="1:19" x14ac:dyDescent="0.3">
      <c r="A24">
        <v>2.1999999999999999E-2</v>
      </c>
      <c r="B24">
        <f>Uo*COS(2*PI()*Wn*Sheet2!A24) + (Vo/Wn - (Po*(w/Wn))/(K*(1-(w/Wn)^2)))*SIN(2*PI()*Wn*Sheet2!A24) +(Po*SIN(2*PI()*w*Sheet2!A24))/(K*(1-(w/Wn)^2))</f>
        <v>18.439546780390007</v>
      </c>
      <c r="C24">
        <f t="shared" si="2"/>
        <v>18.459971820625157</v>
      </c>
      <c r="D24">
        <f t="shared" si="3"/>
        <v>3015.3412126694193</v>
      </c>
      <c r="R24">
        <f t="shared" si="0"/>
        <v>2.1999999999999999E-2</v>
      </c>
      <c r="S24">
        <f t="shared" si="1"/>
        <v>18.459971820625157</v>
      </c>
    </row>
    <row r="25" spans="1:19" x14ac:dyDescent="0.3">
      <c r="A25">
        <v>2.3E-2</v>
      </c>
      <c r="B25">
        <f>Uo*COS(2*PI()*Wn*Sheet2!A25) + (Vo/Wn - (Po*(w/Wn))/(K*(1-(w/Wn)^2)))*SIN(2*PI()*Wn*Sheet2!A25) +(Po*SIN(2*PI()*w*Sheet2!A25))/(K*(1-(w/Wn)^2))</f>
        <v>18.296557248173549</v>
      </c>
      <c r="C25">
        <f t="shared" si="2"/>
        <v>18.319851128701906</v>
      </c>
      <c r="D25">
        <f t="shared" si="3"/>
        <v>2992.4532201410739</v>
      </c>
      <c r="R25">
        <f t="shared" si="0"/>
        <v>2.3E-2</v>
      </c>
      <c r="S25">
        <f t="shared" si="1"/>
        <v>18.319851128701906</v>
      </c>
    </row>
    <row r="26" spans="1:19" x14ac:dyDescent="0.3">
      <c r="A26">
        <v>2.4E-2</v>
      </c>
      <c r="B26">
        <f>Uo*COS(2*PI()*Wn*Sheet2!A26) + (Vo/Wn - (Po*(w/Wn))/(K*(1-(w/Wn)^2)))*SIN(2*PI()*Wn*Sheet2!A26) +(Po*SIN(2*PI()*w*Sheet2!A26))/(K*(1-(w/Wn)^2))</f>
        <v>18.147590582112347</v>
      </c>
      <c r="C26">
        <f t="shared" si="2"/>
        <v>18.174004131824386</v>
      </c>
      <c r="D26">
        <f t="shared" si="3"/>
        <v>2968.6298652247087</v>
      </c>
      <c r="R26">
        <f t="shared" si="0"/>
        <v>2.4E-2</v>
      </c>
      <c r="S26">
        <f t="shared" si="1"/>
        <v>18.174004131824386</v>
      </c>
    </row>
    <row r="27" spans="1:19" x14ac:dyDescent="0.3">
      <c r="A27">
        <v>2.5000000000000001E-2</v>
      </c>
      <c r="B27">
        <f>Uo*COS(2*PI()*Wn*Sheet2!A27) + (Vo/Wn - (Po*(w/Wn))/(K*(1-(w/Wn)^2)))*SIN(2*PI()*Wn*Sheet2!A27) +(Po*SIN(2*PI()*w*Sheet2!A27))/(K*(1-(w/Wn)^2))</f>
        <v>17.992695446755114</v>
      </c>
      <c r="C27">
        <f t="shared" si="2"/>
        <v>18.022488773068503</v>
      </c>
      <c r="D27">
        <f t="shared" si="3"/>
        <v>2943.8806126230038</v>
      </c>
      <c r="R27">
        <f t="shared" si="0"/>
        <v>2.5000000000000001E-2</v>
      </c>
      <c r="S27">
        <f t="shared" si="1"/>
        <v>18.022488773068503</v>
      </c>
    </row>
    <row r="28" spans="1:19" x14ac:dyDescent="0.3">
      <c r="A28">
        <v>2.5999999999999999E-2</v>
      </c>
      <c r="B28">
        <f>Uo*COS(2*PI()*Wn*Sheet2!A28) + (Vo/Wn - (Po*(w/Wn))/(K*(1-(w/Wn)^2)))*SIN(2*PI()*Wn*Sheet2!A28) +(Po*SIN(2*PI()*w*Sheet2!A28))/(K*(1-(w/Wn)^2))</f>
        <v>17.83192244336762</v>
      </c>
      <c r="C28">
        <f t="shared" si="2"/>
        <v>17.865364740947683</v>
      </c>
      <c r="D28">
        <f t="shared" si="3"/>
        <v>2918.2152121468584</v>
      </c>
      <c r="R28">
        <f t="shared" si="0"/>
        <v>2.5999999999999999E-2</v>
      </c>
      <c r="S28">
        <f t="shared" si="1"/>
        <v>17.865364740947683</v>
      </c>
    </row>
    <row r="29" spans="1:19" x14ac:dyDescent="0.3">
      <c r="A29">
        <v>2.7E-2</v>
      </c>
      <c r="B29">
        <f>Uo*COS(2*PI()*Wn*Sheet2!A29) + (Vo/Wn - (Po*(w/Wn))/(K*(1-(w/Wn)^2)))*SIN(2*PI()*Wn*Sheet2!A29) +(Po*SIN(2*PI()*w*Sheet2!A29))/(K*(1-(w/Wn)^2))</f>
        <v>17.665324093402223</v>
      </c>
      <c r="C29">
        <f t="shared" si="2"/>
        <v>17.702693446779445</v>
      </c>
      <c r="D29">
        <f t="shared" si="3"/>
        <v>2891.6436950183374</v>
      </c>
      <c r="R29">
        <f t="shared" si="0"/>
        <v>2.7E-2</v>
      </c>
      <c r="S29">
        <f t="shared" si="1"/>
        <v>17.702693446779445</v>
      </c>
    </row>
    <row r="30" spans="1:19" x14ac:dyDescent="0.3">
      <c r="A30">
        <v>2.8000000000000001E-2</v>
      </c>
      <c r="B30">
        <f>Uo*COS(2*PI()*Wn*Sheet2!A30) + (Vo/Wn - (Po*(w/Wn))/(K*(1-(w/Wn)^2)))*SIN(2*PI()*Wn*Sheet2!A30) +(Po*SIN(2*PI()*w*Sheet2!A30))/(K*(1-(w/Wn)^2))</f>
        <v>17.492954821340124</v>
      </c>
      <c r="C30">
        <f t="shared" si="2"/>
        <v>17.534538001530546</v>
      </c>
      <c r="D30">
        <f t="shared" si="3"/>
        <v>2864.1763700884444</v>
      </c>
      <c r="R30">
        <f t="shared" si="0"/>
        <v>2.8000000000000001E-2</v>
      </c>
      <c r="S30">
        <f t="shared" si="1"/>
        <v>17.534538001530546</v>
      </c>
    </row>
    <row r="31" spans="1:19" x14ac:dyDescent="0.3">
      <c r="A31">
        <v>2.9000000000000001E-2</v>
      </c>
      <c r="B31">
        <f>Uo*COS(2*PI()*Wn*Sheet2!A31) + (Vo/Wn - (Po*(w/Wn))/(K*(1-(w/Wn)^2)))*SIN(2*PI()*Wn*Sheet2!A31) +(Po*SIN(2*PI()*w*Sheet2!A31))/(K*(1-(w/Wn)^2))</f>
        <v>17.314870936911944</v>
      </c>
      <c r="C31">
        <f t="shared" si="2"/>
        <v>17.360963192149196</v>
      </c>
      <c r="D31">
        <f t="shared" si="3"/>
        <v>2835.8238199711118</v>
      </c>
      <c r="R31">
        <f t="shared" si="0"/>
        <v>2.9000000000000001E-2</v>
      </c>
      <c r="S31">
        <f t="shared" si="1"/>
        <v>17.360963192149196</v>
      </c>
    </row>
    <row r="32" spans="1:19" x14ac:dyDescent="0.3">
      <c r="A32">
        <v>0.03</v>
      </c>
      <c r="B32">
        <f>Uo*COS(2*PI()*Wn*Sheet2!A32) + (Vo/Wn - (Po*(w/Wn))/(K*(1-(w/Wn)^2)))*SIN(2*PI()*Wn*Sheet2!A32) +(Po*SIN(2*PI()*w*Sheet2!A32))/(K*(1-(w/Wn)^2))</f>
        <v>17.131130616702404</v>
      </c>
      <c r="C32">
        <f t="shared" si="2"/>
        <v>17.182035457392988</v>
      </c>
      <c r="D32">
        <f t="shared" si="3"/>
        <v>2806.5968970948175</v>
      </c>
      <c r="R32">
        <f t="shared" si="0"/>
        <v>0.03</v>
      </c>
      <c r="S32">
        <f t="shared" si="1"/>
        <v>17.182035457392988</v>
      </c>
    </row>
    <row r="33" spans="1:19" x14ac:dyDescent="0.3">
      <c r="A33">
        <v>3.1E-2</v>
      </c>
      <c r="B33">
        <f>Uo*COS(2*PI()*Wn*Sheet2!A33) + (Vo/Wn - (Po*(w/Wn))/(K*(1-(w/Wn)^2)))*SIN(2*PI()*Wn*Sheet2!A33) +(Po*SIN(2*PI()*w*Sheet2!A33))/(K*(1-(w/Wn)^2))</f>
        <v>16.941793885145145</v>
      </c>
      <c r="C33">
        <f t="shared" si="2"/>
        <v>16.997822863161371</v>
      </c>
      <c r="D33">
        <f t="shared" si="3"/>
        <v>2776.5067196732716</v>
      </c>
      <c r="R33">
        <f t="shared" si="0"/>
        <v>3.1E-2</v>
      </c>
      <c r="S33">
        <f t="shared" si="1"/>
        <v>16.997822863161371</v>
      </c>
    </row>
    <row r="34" spans="1:19" x14ac:dyDescent="0.3">
      <c r="A34">
        <v>3.2000000000000001E-2</v>
      </c>
      <c r="B34">
        <f>Uo*COS(2*PI()*Wn*Sheet2!A34) + (Vo/Wn - (Po*(w/Wn))/(K*(1-(w/Wn)^2)))*SIN(2*PI()*Wn*Sheet2!A34) +(Po*SIN(2*PI()*w*Sheet2!A34))/(K*(1-(w/Wn)^2))</f>
        <v>16.746922594913926</v>
      </c>
      <c r="C34">
        <f t="shared" si="2"/>
        <v>16.808395077341569</v>
      </c>
      <c r="D34">
        <f t="shared" si="3"/>
        <v>2745.5646675966277</v>
      </c>
      <c r="R34">
        <f t="shared" si="0"/>
        <v>3.2000000000000001E-2</v>
      </c>
      <c r="S34">
        <f t="shared" si="1"/>
        <v>16.808395077341569</v>
      </c>
    </row>
    <row r="35" spans="1:19" x14ac:dyDescent="0.3">
      <c r="A35">
        <v>3.3000000000000002E-2</v>
      </c>
      <c r="B35">
        <f>Uo*COS(2*PI()*Wn*Sheet2!A35) + (Vo/Wn - (Po*(w/Wn))/(K*(1-(w/Wn)^2)))*SIN(2*PI()*Wn*Sheet2!A35) +(Po*SIN(2*PI()*w*Sheet2!A35))/(K*(1-(w/Wn)^2))</f>
        <v>16.546580406716512</v>
      </c>
      <c r="C35">
        <f t="shared" si="2"/>
        <v>16.613823344177064</v>
      </c>
      <c r="D35">
        <f t="shared" si="3"/>
        <v>2713.7823782447049</v>
      </c>
      <c r="R35">
        <f t="shared" si="0"/>
        <v>3.3000000000000002E-2</v>
      </c>
      <c r="S35">
        <f t="shared" si="1"/>
        <v>16.613823344177064</v>
      </c>
    </row>
    <row r="36" spans="1:19" x14ac:dyDescent="0.3">
      <c r="A36">
        <v>3.4000000000000002E-2</v>
      </c>
      <c r="B36">
        <f>Uo*COS(2*PI()*Wn*Sheet2!A36) + (Vo/Wn - (Po*(w/Wn))/(K*(1-(w/Wn)^2)))*SIN(2*PI()*Wn*Sheet2!A36) +(Po*SIN(2*PI()*w*Sheet2!A36))/(K*(1-(w/Wn)^2))</f>
        <v>16.340832768497972</v>
      </c>
      <c r="C36">
        <f t="shared" si="2"/>
        <v>16.414180458167891</v>
      </c>
      <c r="D36">
        <f t="shared" si="3"/>
        <v>2681.1717422237375</v>
      </c>
      <c r="R36">
        <f t="shared" si="0"/>
        <v>3.4000000000000002E-2</v>
      </c>
      <c r="S36">
        <f t="shared" si="1"/>
        <v>16.414180458167891</v>
      </c>
    </row>
    <row r="37" spans="1:19" x14ac:dyDescent="0.3">
      <c r="A37">
        <v>3.5000000000000003E-2</v>
      </c>
      <c r="B37">
        <f>Uo*COS(2*PI()*Wn*Sheet2!A37) + (Vo/Wn - (Po*(w/Wn))/(K*(1-(w/Wn)^2)))*SIN(2*PI()*Wn*Sheet2!A37) +(Po*SIN(2*PI()*w*Sheet2!A37))/(K*(1-(w/Wn)^2))</f>
        <v>16.129746894060069</v>
      </c>
      <c r="C37">
        <f t="shared" si="2"/>
        <v>16.20954073751205</v>
      </c>
      <c r="D37">
        <f t="shared" si="3"/>
        <v>2647.7448990281655</v>
      </c>
      <c r="R37">
        <f t="shared" si="0"/>
        <v>3.5000000000000003E-2</v>
      </c>
      <c r="S37">
        <f t="shared" si="1"/>
        <v>16.20954073751205</v>
      </c>
    </row>
    <row r="38" spans="1:19" x14ac:dyDescent="0.3">
      <c r="A38">
        <v>3.5999999999999997E-2</v>
      </c>
      <c r="B38">
        <f>Uo*COS(2*PI()*Wn*Sheet2!A38) + (Vo/Wn - (Po*(w/Wn))/(K*(1-(w/Wn)^2)))*SIN(2*PI()*Wn*Sheet2!A38) +(Po*SIN(2*PI()*w*Sheet2!A38))/(K*(1-(w/Wn)^2))</f>
        <v>15.913391741103817</v>
      </c>
      <c r="C38">
        <f t="shared" si="2"/>
        <v>15.999979997097563</v>
      </c>
      <c r="D38">
        <f t="shared" si="3"/>
        <v>2613.514232629027</v>
      </c>
      <c r="R38">
        <f t="shared" si="0"/>
        <v>3.5999999999999997E-2</v>
      </c>
      <c r="S38">
        <f t="shared" si="1"/>
        <v>15.999979997097563</v>
      </c>
    </row>
    <row r="39" spans="1:19" x14ac:dyDescent="0.3">
      <c r="A39">
        <v>3.6999999999999998E-2</v>
      </c>
      <c r="B39">
        <f>Uo*COS(2*PI()*Wn*Sheet2!A39) + (Vo/Wn - (Po*(w/Wn))/(K*(1-(w/Wn)^2)))*SIN(2*PI()*Wn*Sheet2!A39) +(Po*SIN(2*PI()*w*Sheet2!A39))/(K*(1-(w/Wn)^2))</f>
        <v>15.691837988702309</v>
      </c>
      <c r="C39">
        <f t="shared" si="2"/>
        <v>15.785575521054831</v>
      </c>
      <c r="D39">
        <f t="shared" si="3"/>
        <v>2578.4923669905261</v>
      </c>
      <c r="R39">
        <f t="shared" si="0"/>
        <v>3.6999999999999998E-2</v>
      </c>
      <c r="S39">
        <f t="shared" si="1"/>
        <v>15.785575521054831</v>
      </c>
    </row>
    <row r="40" spans="1:19" x14ac:dyDescent="0.3">
      <c r="A40">
        <v>3.7999999999999999E-2</v>
      </c>
      <c r="B40">
        <f>Uo*COS(2*PI()*Wn*Sheet2!A40) + (Vo/Wn - (Po*(w/Wn))/(K*(1-(w/Wn)^2)))*SIN(2*PI()*Wn*Sheet2!A40) +(Po*SIN(2*PI()*w*Sheet2!A40))/(K*(1-(w/Wn)^2))</f>
        <v>15.465158014211243</v>
      </c>
      <c r="C40">
        <f t="shared" si="2"/>
        <v>15.566406034879016</v>
      </c>
      <c r="D40">
        <f t="shared" si="3"/>
        <v>2542.6921615163697</v>
      </c>
      <c r="R40">
        <f t="shared" si="0"/>
        <v>3.7999999999999999E-2</v>
      </c>
      <c r="S40">
        <f t="shared" si="1"/>
        <v>15.566406034879016</v>
      </c>
    </row>
    <row r="41" spans="1:19" x14ac:dyDescent="0.3">
      <c r="A41">
        <v>3.9E-2</v>
      </c>
      <c r="B41">
        <f>Uo*COS(2*PI()*Wn*Sheet2!A41) + (Vo/Wn - (Po*(w/Wn))/(K*(1-(w/Wn)^2)))*SIN(2*PI()*Wn*Sheet2!A41) +(Po*SIN(2*PI()*w*Sheet2!A41))/(K*(1-(w/Wn)^2))</f>
        <v>15.233425869624613</v>
      </c>
      <c r="C41">
        <f t="shared" si="2"/>
        <v>15.342551677132292</v>
      </c>
      <c r="D41">
        <f t="shared" si="3"/>
        <v>2506.1267064274748</v>
      </c>
      <c r="R41">
        <f t="shared" si="0"/>
        <v>3.9E-2</v>
      </c>
      <c r="S41">
        <f t="shared" si="1"/>
        <v>15.342551677132292</v>
      </c>
    </row>
    <row r="42" spans="1:19" x14ac:dyDescent="0.3">
      <c r="A42">
        <v>0.04</v>
      </c>
      <c r="B42">
        <f>Uo*COS(2*PI()*Wn*Sheet2!A42) + (Vo/Wn - (Po*(w/Wn))/(K*(1-(w/Wn)^2)))*SIN(2*PI()*Wn*Sheet2!A42) +(Po*SIN(2*PI()*w*Sheet2!A42))/(K*(1-(w/Wn)^2))</f>
        <v>14.996717257383347</v>
      </c>
      <c r="C42">
        <f t="shared" si="2"/>
        <v>15.114093970736004</v>
      </c>
      <c r="D42">
        <f t="shared" si="3"/>
        <v>2468.8093180726896</v>
      </c>
      <c r="R42">
        <f t="shared" si="0"/>
        <v>0.04</v>
      </c>
      <c r="S42">
        <f t="shared" si="1"/>
        <v>15.114093970736004</v>
      </c>
    </row>
    <row r="43" spans="1:19" x14ac:dyDescent="0.3">
      <c r="A43">
        <v>4.1000000000000002E-2</v>
      </c>
      <c r="B43">
        <f>Uo*COS(2*PI()*Wn*Sheet2!A43) + (Vo/Wn - (Po*(w/Wn))/(K*(1-(w/Wn)^2)))*SIN(2*PI()*Wn*Sheet2!A43) +(Po*SIN(2*PI()*w*Sheet2!A43))/(K*(1-(w/Wn)^2))</f>
        <v>14.755109505644784</v>
      </c>
      <c r="C43">
        <f t="shared" si="2"/>
        <v>14.881115793862872</v>
      </c>
      <c r="D43">
        <f t="shared" si="3"/>
        <v>2430.7535341741877</v>
      </c>
      <c r="R43">
        <f t="shared" si="0"/>
        <v>4.1000000000000002E-2</v>
      </c>
      <c r="S43">
        <f t="shared" si="1"/>
        <v>14.881115793862872</v>
      </c>
    </row>
    <row r="44" spans="1:19" x14ac:dyDescent="0.3">
      <c r="A44">
        <v>4.2000000000000003E-2</v>
      </c>
      <c r="B44">
        <f>Uo*COS(2*PI()*Wn*Sheet2!A44) + (Vo/Wn - (Po*(w/Wn))/(K*(1-(w/Wn)^2)))*SIN(2*PI()*Wn*Sheet2!A44) +(Po*SIN(2*PI()*w*Sheet2!A44))/(K*(1-(w/Wn)^2))</f>
        <v>14.508681543021034</v>
      </c>
      <c r="C44">
        <f t="shared" si="2"/>
        <v>14.643701350439361</v>
      </c>
      <c r="D44">
        <f t="shared" si="3"/>
        <v>2391.9731090091814</v>
      </c>
      <c r="R44">
        <f t="shared" si="0"/>
        <v>4.2000000000000003E-2</v>
      </c>
      <c r="S44">
        <f t="shared" si="1"/>
        <v>14.643701350439361</v>
      </c>
    </row>
    <row r="45" spans="1:19" x14ac:dyDescent="0.3">
      <c r="A45">
        <v>4.2999999999999997E-2</v>
      </c>
      <c r="B45">
        <f>Uo*COS(2*PI()*Wn*Sheet2!A45) + (Vo/Wn - (Po*(w/Wn))/(K*(1-(w/Wn)^2)))*SIN(2*PI()*Wn*Sheet2!A45) +(Po*SIN(2*PI()*w*Sheet2!A45))/(K*(1-(w/Wn)^2))</f>
        <v>14.257513872794533</v>
      </c>
      <c r="C45">
        <f t="shared" si="2"/>
        <v>14.401936140268672</v>
      </c>
      <c r="D45">
        <f t="shared" si="3"/>
        <v>2352.4820085296642</v>
      </c>
      <c r="R45">
        <f t="shared" si="0"/>
        <v>4.2999999999999997E-2</v>
      </c>
      <c r="S45">
        <f t="shared" si="1"/>
        <v>14.401936140268672</v>
      </c>
    </row>
    <row r="46" spans="1:19" x14ac:dyDescent="0.3">
      <c r="A46">
        <v>4.3999999999999997E-2</v>
      </c>
      <c r="B46">
        <f>Uo*COS(2*PI()*Wn*Sheet2!A46) + (Vo/Wn - (Po*(w/Wn))/(K*(1-(w/Wn)^2)))*SIN(2*PI()*Wn*Sheet2!A46) +(Po*SIN(2*PI()*w*Sheet2!A46))/(K*(1-(w/Wn)^2))</f>
        <v>14.001688546619153</v>
      </c>
      <c r="C46">
        <f t="shared" si="2"/>
        <v>14.15590692878467</v>
      </c>
      <c r="D46">
        <f t="shared" si="3"/>
        <v>2312.2944054218742</v>
      </c>
      <c r="R46">
        <f t="shared" si="0"/>
        <v>4.3999999999999997E-2</v>
      </c>
      <c r="S46">
        <f t="shared" si="1"/>
        <v>14.15590692878467</v>
      </c>
    </row>
    <row r="47" spans="1:19" x14ac:dyDescent="0.3">
      <c r="A47">
        <v>4.4999999999999998E-2</v>
      </c>
      <c r="B47">
        <f>Uo*COS(2*PI()*Wn*Sheet2!A47) + (Vo/Wn - (Po*(w/Wn))/(K*(1-(w/Wn)^2)))*SIN(2*PI()*Wn*Sheet2!A47) +(Po*SIN(2*PI()*w*Sheet2!A47))/(K*(1-(w/Wn)^2))</f>
        <v>13.741289137715514</v>
      </c>
      <c r="C47">
        <f t="shared" si="2"/>
        <v>13.9057017164474</v>
      </c>
      <c r="D47">
        <f t="shared" si="3"/>
        <v>2271.4246741072075</v>
      </c>
      <c r="R47">
        <f t="shared" si="0"/>
        <v>4.4999999999999998E-2</v>
      </c>
      <c r="S47">
        <f t="shared" si="1"/>
        <v>13.9057017164474</v>
      </c>
    </row>
    <row r="48" spans="1:19" x14ac:dyDescent="0.3">
      <c r="A48">
        <v>4.5999999999999999E-2</v>
      </c>
      <c r="B48">
        <f>Uo*COS(2*PI()*Wn*Sheet2!A48) + (Vo/Wn - (Po*(w/Wn))/(K*(1-(w/Wn)^2)))*SIN(2*PI()*Wn*Sheet2!A48) +(Po*SIN(2*PI()*w*Sheet2!A48))/(K*(1-(w/Wn)^2))</f>
        <v>13.476400713569202</v>
      </c>
      <c r="C48">
        <f t="shared" si="2"/>
        <v>13.651409707790744</v>
      </c>
      <c r="D48">
        <f t="shared" si="3"/>
        <v>2229.8873856863124</v>
      </c>
      <c r="R48">
        <f t="shared" si="0"/>
        <v>4.5999999999999999E-2</v>
      </c>
      <c r="S48">
        <f t="shared" si="1"/>
        <v>13.651409707790744</v>
      </c>
    </row>
    <row r="49" spans="1:19" x14ac:dyDescent="0.3">
      <c r="A49">
        <v>4.7E-2</v>
      </c>
      <c r="B49">
        <f>Uo*COS(2*PI()*Wn*Sheet2!A49) + (Vo/Wn - (Po*(w/Wn))/(K*(1-(w/Wn)^2)))*SIN(2*PI()*Wn*Sheet2!A49) +(Po*SIN(2*PI()*w*Sheet2!A49))/(K*(1-(w/Wn)^2))</f>
        <v>13.207109808140878</v>
      </c>
      <c r="C49">
        <f t="shared" si="2"/>
        <v>13.393121280132995</v>
      </c>
      <c r="D49">
        <f t="shared" si="3"/>
        <v>2187.6973028281241</v>
      </c>
      <c r="R49">
        <f t="shared" si="0"/>
        <v>4.7E-2</v>
      </c>
      <c r="S49">
        <f t="shared" si="1"/>
        <v>13.393121280132995</v>
      </c>
    </row>
    <row r="50" spans="1:19" x14ac:dyDescent="0.3">
      <c r="A50">
        <v>4.8000000000000001E-2</v>
      </c>
      <c r="B50">
        <f>Uo*COS(2*PI()*Wn*Sheet2!A50) + (Vo/Wn - (Po*(w/Wn))/(K*(1-(w/Wn)^2)))*SIN(2*PI()*Wn*Sheet2!A50) +(Po*SIN(2*PI()*w*Sheet2!A50))/(K*(1-(w/Wn)^2))</f>
        <v>12.933504393597275</v>
      </c>
      <c r="C50">
        <f t="shared" si="2"/>
        <v>13.130927951961132</v>
      </c>
      <c r="D50">
        <f t="shared" si="3"/>
        <v>2144.8693746055988</v>
      </c>
      <c r="R50">
        <f t="shared" si="0"/>
        <v>4.8000000000000001E-2</v>
      </c>
      <c r="S50">
        <f t="shared" si="1"/>
        <v>13.130927951961132</v>
      </c>
    </row>
    <row r="51" spans="1:19" x14ac:dyDescent="0.3">
      <c r="A51">
        <v>4.9000000000000002E-2</v>
      </c>
      <c r="B51">
        <f>Uo*COS(2*PI()*Wn*Sheet2!A51) + (Vo/Wn - (Po*(w/Wn))/(K*(1-(w/Wn)^2)))*SIN(2*PI()*Wn*Sheet2!A51) +(Po*SIN(2*PI()*w*Sheet2!A51))/(K*(1-(w/Wn)^2))</f>
        <v>12.655673851572393</v>
      </c>
      <c r="C51">
        <f t="shared" si="2"/>
        <v>12.864922350999763</v>
      </c>
      <c r="D51">
        <f t="shared" si="3"/>
        <v>2101.418731279939</v>
      </c>
      <c r="R51">
        <f t="shared" si="0"/>
        <v>4.9000000000000002E-2</v>
      </c>
      <c r="S51">
        <f t="shared" si="1"/>
        <v>12.864922350999763</v>
      </c>
    </row>
    <row r="52" spans="1:19" x14ac:dyDescent="0.3">
      <c r="A52">
        <v>0.05</v>
      </c>
      <c r="B52">
        <f>Uo*COS(2*PI()*Wn*Sheet2!A52) + (Vo/Wn - (Po*(w/Wn))/(K*(1-(w/Wn)^2)))*SIN(2*PI()*Wn*Sheet2!A52) +(Po*SIN(2*PI()*w*Sheet2!A52))/(K*(1-(w/Wn)^2))</f>
        <v>12.373708943968227</v>
      </c>
      <c r="C52">
        <f t="shared" si="2"/>
        <v>12.595198181975654</v>
      </c>
      <c r="D52">
        <f t="shared" si="3"/>
        <v>2057.3606790350973</v>
      </c>
      <c r="R52">
        <f t="shared" si="0"/>
        <v>0.05</v>
      </c>
      <c r="S52">
        <f t="shared" si="1"/>
        <v>12.595198181975654</v>
      </c>
    </row>
    <row r="53" spans="1:19" x14ac:dyDescent="0.3">
      <c r="A53">
        <v>5.0999999999999997E-2</v>
      </c>
      <c r="B53">
        <f>Uo*COS(2*PI()*Wn*Sheet2!A53) + (Vo/Wn - (Po*(w/Wn))/(K*(1-(w/Wn)^2)))*SIN(2*PI()*Wn*Sheet2!A53) +(Po*SIN(2*PI()*w*Sheet2!A53))/(K*(1-(w/Wn)^2))</f>
        <v>12.087701783304606</v>
      </c>
      <c r="C53">
        <f t="shared" si="2"/>
        <v>12.321850194088972</v>
      </c>
      <c r="D53">
        <f t="shared" si="3"/>
        <v>2012.7106946643703</v>
      </c>
      <c r="R53">
        <f t="shared" si="0"/>
        <v>5.0999999999999997E-2</v>
      </c>
      <c r="S53">
        <f t="shared" si="1"/>
        <v>12.321850194088972</v>
      </c>
    </row>
    <row r="54" spans="1:19" x14ac:dyDescent="0.3">
      <c r="A54">
        <v>5.1999999999999998E-2</v>
      </c>
      <c r="B54">
        <f>Uo*COS(2*PI()*Wn*Sheet2!A54) + (Vo/Wn - (Po*(w/Wn))/(K*(1-(w/Wn)^2)))*SIN(2*PI()*Wn*Sheet2!A54) +(Po*SIN(2*PI()*w*Sheet2!A54))/(K*(1-(w/Wn)^2))</f>
        <v>11.797745802627787</v>
      </c>
      <c r="C54">
        <f t="shared" si="2"/>
        <v>12.044974148202353</v>
      </c>
      <c r="D54">
        <f t="shared" si="3"/>
        <v>1967.4844202109027</v>
      </c>
      <c r="R54">
        <f t="shared" si="0"/>
        <v>5.1999999999999998E-2</v>
      </c>
      <c r="S54">
        <f t="shared" si="1"/>
        <v>12.044974148202353</v>
      </c>
    </row>
    <row r="55" spans="1:19" x14ac:dyDescent="0.3">
      <c r="A55">
        <v>5.2999999999999999E-2</v>
      </c>
      <c r="B55">
        <f>Uo*COS(2*PI()*Wn*Sheet2!A55) + (Vo/Wn - (Po*(w/Wn))/(K*(1-(w/Wn)^2)))*SIN(2*PI()*Wn*Sheet2!A55) +(Po*SIN(2*PI()*w*Sheet2!A55))/(K*(1-(w/Wn)^2))</f>
        <v>11.503935724987695</v>
      </c>
      <c r="C55">
        <f t="shared" si="2"/>
        <v>11.764666783759058</v>
      </c>
      <c r="D55">
        <f t="shared" si="3"/>
        <v>1921.6976575639383</v>
      </c>
      <c r="R55">
        <f t="shared" si="0"/>
        <v>5.2999999999999999E-2</v>
      </c>
      <c r="S55">
        <f t="shared" si="1"/>
        <v>11.764666783759058</v>
      </c>
    </row>
    <row r="56" spans="1:19" x14ac:dyDescent="0.3">
      <c r="A56">
        <v>5.3999999999999999E-2</v>
      </c>
      <c r="B56">
        <f>Uo*COS(2*PI()*Wn*Sheet2!A56) + (Vo/Wn - (Po*(w/Wn))/(K*(1-(w/Wn)^2)))*SIN(2*PI()*Wn*Sheet2!A56) +(Po*SIN(2*PI()*w*Sheet2!A56))/(K*(1-(w/Wn)^2))</f>
        <v>11.206367532493708</v>
      </c>
      <c r="C56">
        <f t="shared" si="2"/>
        <v>11.481025785441437</v>
      </c>
      <c r="D56">
        <f t="shared" si="3"/>
        <v>1875.3663630126525</v>
      </c>
      <c r="R56">
        <f t="shared" si="0"/>
        <v>5.3999999999999999E-2</v>
      </c>
      <c r="S56">
        <f t="shared" si="1"/>
        <v>11.481025785441437</v>
      </c>
    </row>
    <row r="57" spans="1:19" x14ac:dyDescent="0.3">
      <c r="A57">
        <v>5.5E-2</v>
      </c>
      <c r="B57">
        <f>Uo*COS(2*PI()*Wn*Sheet2!A57) + (Vo/Wn - (Po*(w/Wn))/(K*(1-(w/Wn)^2)))*SIN(2*PI()*Wn*Sheet2!A57) +(Po*SIN(2*PI()*w*Sheet2!A57))/(K*(1-(w/Wn)^2))</f>
        <v>10.905138434959142</v>
      </c>
      <c r="C57">
        <f t="shared" si="2"/>
        <v>11.194149749581111</v>
      </c>
      <c r="D57">
        <f t="shared" si="3"/>
        <v>1828.5066417594282</v>
      </c>
      <c r="R57">
        <f t="shared" si="0"/>
        <v>5.5E-2</v>
      </c>
      <c r="S57">
        <f t="shared" si="1"/>
        <v>11.194149749581111</v>
      </c>
    </row>
    <row r="58" spans="1:19" x14ac:dyDescent="0.3">
      <c r="A58">
        <v>5.6000000000000001E-2</v>
      </c>
      <c r="B58">
        <f>Uo*COS(2*PI()*Wn*Sheet2!A58) + (Vo/Wn - (Po*(w/Wn))/(K*(1-(w/Wn)^2)))*SIN(2*PI()*Wn*Sheet2!A58) +(Po*SIN(2*PI()*w*Sheet2!A58))/(K*(1-(w/Wn)^2))</f>
        <v>10.600346838144677</v>
      </c>
      <c r="C58">
        <f t="shared" si="2"/>
        <v>10.904138150332265</v>
      </c>
      <c r="D58">
        <f t="shared" si="3"/>
        <v>1781.1347423944378</v>
      </c>
      <c r="R58">
        <f t="shared" si="0"/>
        <v>5.6000000000000001E-2</v>
      </c>
      <c r="S58">
        <f t="shared" si="1"/>
        <v>10.904138150332265</v>
      </c>
    </row>
    <row r="59" spans="1:19" x14ac:dyDescent="0.3">
      <c r="A59">
        <v>5.7000000000000002E-2</v>
      </c>
      <c r="B59">
        <f>Uo*COS(2*PI()*Wn*Sheet2!A59) + (Vo/Wn - (Po*(w/Wn))/(K*(1-(w/Wn)^2)))*SIN(2*PI()*Wn*Sheet2!A59) +(Po*SIN(2*PI()*w*Sheet2!A59))/(K*(1-(w/Wn)^2))</f>
        <v>10.292092311611096</v>
      </c>
      <c r="C59">
        <f t="shared" si="2"/>
        <v>10.6110913056195</v>
      </c>
      <c r="D59">
        <f t="shared" si="3"/>
        <v>1733.2670513334006</v>
      </c>
      <c r="R59">
        <f t="shared" si="0"/>
        <v>5.7000000000000002E-2</v>
      </c>
      <c r="S59">
        <f t="shared" si="1"/>
        <v>10.6110913056195</v>
      </c>
    </row>
    <row r="60" spans="1:19" x14ac:dyDescent="0.3">
      <c r="A60">
        <v>5.8000000000000003E-2</v>
      </c>
      <c r="B60">
        <f>Uo*COS(2*PI()*Wn*Sheet2!A60) + (Vo/Wn - (Po*(w/Wn))/(K*(1-(w/Wn)^2)))*SIN(2*PI()*Wn*Sheet2!A60) +(Po*SIN(2*PI()*w*Sheet2!A60))/(K*(1-(w/Wn)^2))</f>
        <v>9.9804755561917951</v>
      </c>
      <c r="C60">
        <f t="shared" si="2"/>
        <v>10.315110342871789</v>
      </c>
      <c r="D60">
        <f t="shared" si="3"/>
        <v>1684.9200872204012</v>
      </c>
      <c r="R60">
        <f t="shared" si="0"/>
        <v>5.8000000000000003E-2</v>
      </c>
      <c r="S60">
        <f t="shared" si="1"/>
        <v>10.315110342871789</v>
      </c>
    </row>
    <row r="61" spans="1:19" x14ac:dyDescent="0.3">
      <c r="A61">
        <v>5.8999999999999997E-2</v>
      </c>
      <c r="B61">
        <f>Uo*COS(2*PI()*Wn*Sheet2!A61) + (Vo/Wn - (Po*(w/Wn))/(K*(1-(w/Wn)^2)))*SIN(2*PI()*Wn*Sheet2!A61) +(Po*SIN(2*PI()*w*Sheet2!A61))/(K*(1-(w/Wn)^2))</f>
        <v>9.6655983710957969</v>
      </c>
      <c r="C61">
        <f t="shared" si="2"/>
        <v>10.016297164554134</v>
      </c>
      <c r="D61">
        <f t="shared" si="3"/>
        <v>1636.110495297663</v>
      </c>
      <c r="R61">
        <f t="shared" si="0"/>
        <v>5.8999999999999997E-2</v>
      </c>
      <c r="S61">
        <f t="shared" si="1"/>
        <v>10.016297164554134</v>
      </c>
    </row>
    <row r="62" spans="1:19" x14ac:dyDescent="0.3">
      <c r="A62">
        <v>0.06</v>
      </c>
      <c r="B62">
        <f>Uo*COS(2*PI()*Wn*Sheet2!A62) + (Vo/Wn - (Po*(w/Wn))/(K*(1-(w/Wn)^2)))*SIN(2*PI()*Wn*Sheet2!A62) +(Po*SIN(2*PI()*w*Sheet2!A62))/(K*(1-(w/Wn)^2))</f>
        <v>9.3475636206518473</v>
      </c>
      <c r="C62">
        <f t="shared" si="2"/>
        <v>9.7147544135084249</v>
      </c>
      <c r="D62">
        <f t="shared" si="3"/>
        <v>1586.8550417441566</v>
      </c>
      <c r="R62">
        <f t="shared" si="0"/>
        <v>0.06</v>
      </c>
      <c r="S62">
        <f t="shared" si="1"/>
        <v>9.7147544135084249</v>
      </c>
    </row>
    <row r="63" spans="1:19" x14ac:dyDescent="0.3">
      <c r="A63">
        <v>6.0999999999999999E-2</v>
      </c>
      <c r="B63">
        <f>Uo*COS(2*PI()*Wn*Sheet2!A63) + (Vo/Wn - (Po*(w/Wn))/(K*(1-(w/Wn)^2)))*SIN(2*PI()*Wn*Sheet2!A63) +(Po*SIN(2*PI()*w*Sheet2!A63))/(K*(1-(w/Wn)^2))</f>
        <v>9.0264752007046614</v>
      </c>
      <c r="C63">
        <f t="shared" si="2"/>
        <v>9.4105854381153318</v>
      </c>
      <c r="D63">
        <f t="shared" si="3"/>
        <v>1537.1706079849741</v>
      </c>
      <c r="R63">
        <f t="shared" si="0"/>
        <v>6.0999999999999999E-2</v>
      </c>
      <c r="S63">
        <f t="shared" si="1"/>
        <v>9.4105854381153318</v>
      </c>
    </row>
    <row r="64" spans="1:19" x14ac:dyDescent="0.3">
      <c r="A64">
        <v>6.2E-2</v>
      </c>
      <c r="B64">
        <f>Uo*COS(2*PI()*Wn*Sheet2!A64) + (Vo/Wn - (Po*(w/Wn))/(K*(1-(w/Wn)^2)))*SIN(2*PI()*Wn*Sheet2!A64) +(Po*SIN(2*PI()*w*Sheet2!A64))/(K*(1-(w/Wn)^2))</f>
        <v>8.702438004674141</v>
      </c>
      <c r="C64">
        <f t="shared" si="2"/>
        <v>9.103894257288788</v>
      </c>
      <c r="D64">
        <f t="shared" si="3"/>
        <v>1487.0741849733593</v>
      </c>
      <c r="R64">
        <f t="shared" si="0"/>
        <v>6.2E-2</v>
      </c>
      <c r="S64">
        <f t="shared" si="1"/>
        <v>9.103894257288788</v>
      </c>
    </row>
    <row r="65" spans="1:19" x14ac:dyDescent="0.3">
      <c r="A65">
        <v>6.3E-2</v>
      </c>
      <c r="B65">
        <f>Uo*COS(2*PI()*Wn*Sheet2!A65) + (Vo/Wn - (Po*(w/Wn))/(K*(1-(w/Wn)^2)))*SIN(2*PI()*Wn*Sheet2!A65) +(Po*SIN(2*PI()*w*Sheet2!A65))/(K*(1-(w/Wn)^2))</f>
        <v>8.3755578892886859</v>
      </c>
      <c r="C65">
        <f t="shared" si="2"/>
        <v>8.7947855253147988</v>
      </c>
      <c r="D65">
        <f t="shared" si="3"/>
        <v>1436.5828674473075</v>
      </c>
      <c r="R65">
        <f t="shared" ref="R65:R128" si="4">A65</f>
        <v>6.3E-2</v>
      </c>
      <c r="S65">
        <f t="shared" ref="S65:S128" si="5">C65</f>
        <v>8.7947855253147988</v>
      </c>
    </row>
    <row r="66" spans="1:19" x14ac:dyDescent="0.3">
      <c r="A66">
        <v>6.4000000000000001E-2</v>
      </c>
      <c r="B66">
        <f>Uo*COS(2*PI()*Wn*Sheet2!A66) + (Vo/Wn - (Po*(w/Wn))/(K*(1-(w/Wn)^2)))*SIN(2*PI()*Wn*Sheet2!A66) +(Po*SIN(2*PI()*w*Sheet2!A66))/(K*(1-(w/Wn)^2))</f>
        <v>8.0459416400038535</v>
      </c>
      <c r="C66">
        <f t="shared" ref="C66:C129" si="6">EXP(-zeta*Wn*A66*2*PI())*($H$1*COS(wnD*2*PI()*A66) + $H$2*SIN(wnD*2*PI()*A66)) + $H$3*SIN(w*2*PI()*A66) + $H$4*COS(w*2*PI()*A66)</f>
        <v>8.4833644965464465</v>
      </c>
      <c r="D66">
        <f t="shared" ref="D66:D129" si="7">K*C66</f>
        <v>1385.7138481626766</v>
      </c>
      <c r="R66">
        <f t="shared" si="4"/>
        <v>6.4000000000000001E-2</v>
      </c>
      <c r="S66">
        <f t="shared" si="5"/>
        <v>8.4833644965464465</v>
      </c>
    </row>
    <row r="67" spans="1:19" x14ac:dyDescent="0.3">
      <c r="A67">
        <v>6.5000000000000002E-2</v>
      </c>
      <c r="B67">
        <f>Uo*COS(2*PI()*Wn*Sheet2!A67) + (Vo/Wn - (Po*(w/Wn))/(K*(1-(w/Wn)^2)))*SIN(2*PI()*Wn*Sheet2!A67) +(Po*SIN(2*PI()*w*Sheet2!A67))/(K*(1-(w/Wn)^2))</f>
        <v>7.7136969361175858</v>
      </c>
      <c r="C67">
        <f t="shared" si="6"/>
        <v>8.169736989966724</v>
      </c>
      <c r="D67">
        <f t="shared" si="7"/>
        <v>1334.4844121047099</v>
      </c>
      <c r="R67">
        <f t="shared" si="4"/>
        <v>6.5000000000000002E-2</v>
      </c>
      <c r="S67">
        <f t="shared" si="5"/>
        <v>8.169736989966724</v>
      </c>
    </row>
    <row r="68" spans="1:19" x14ac:dyDescent="0.3">
      <c r="A68">
        <v>6.6000000000000003E-2</v>
      </c>
      <c r="B68">
        <f>Uo*COS(2*PI()*Wn*Sheet2!A68) + (Vo/Wn - (Po*(w/Wn))/(K*(1-(w/Wn)^2)))*SIN(2*PI()*Wn*Sheet2!A68) +(Po*SIN(2*PI()*w*Sheet2!A68))/(K*(1-(w/Wn)^2))</f>
        <v>7.3789323155934783</v>
      </c>
      <c r="C68">
        <f t="shared" si="6"/>
        <v>7.8540093536311302</v>
      </c>
      <c r="D68">
        <f t="shared" si="7"/>
        <v>1282.9119306799155</v>
      </c>
      <c r="R68">
        <f t="shared" si="4"/>
        <v>6.6000000000000003E-2</v>
      </c>
      <c r="S68">
        <f t="shared" si="5"/>
        <v>7.8540093536311302</v>
      </c>
    </row>
    <row r="69" spans="1:19" x14ac:dyDescent="0.3">
      <c r="A69">
        <v>6.7000000000000004E-2</v>
      </c>
      <c r="B69">
        <f>Uo*COS(2*PI()*Wn*Sheet2!A69) + (Vo/Wn - (Po*(w/Wn))/(K*(1-(w/Wn)^2)))*SIN(2*PI()*Wn*Sheet2!A69) +(Po*SIN(2*PI()*w*Sheet2!A69))/(K*(1-(w/Wn)^2))</f>
        <v>7.0417571396034786</v>
      </c>
      <c r="C69">
        <f t="shared" si="6"/>
        <v>7.5362884290017549</v>
      </c>
      <c r="D69">
        <f t="shared" si="7"/>
        <v>1231.0138558902245</v>
      </c>
      <c r="R69">
        <f t="shared" si="4"/>
        <v>6.7000000000000004E-2</v>
      </c>
      <c r="S69">
        <f t="shared" si="5"/>
        <v>7.5362884290017549</v>
      </c>
    </row>
    <row r="70" spans="1:19" x14ac:dyDescent="0.3">
      <c r="A70">
        <v>6.8000000000000005E-2</v>
      </c>
      <c r="B70">
        <f>Uo*COS(2*PI()*Wn*Sheet2!A70) + (Vo/Wn - (Po*(w/Wn))/(K*(1-(w/Wn)^2)))*SIN(2*PI()*Wn*Sheet2!A70) +(Po*SIN(2*PI()*w*Sheet2!A70))/(K*(1-(w/Wn)^2))</f>
        <v>6.7022815568017124</v>
      </c>
      <c r="C70">
        <f t="shared" si="6"/>
        <v>7.2166815151847423</v>
      </c>
      <c r="D70">
        <f t="shared" si="7"/>
        <v>1178.807714491365</v>
      </c>
      <c r="R70">
        <f t="shared" si="4"/>
        <v>6.8000000000000005E-2</v>
      </c>
      <c r="S70">
        <f t="shared" si="5"/>
        <v>7.2166815151847423</v>
      </c>
    </row>
    <row r="71" spans="1:19" x14ac:dyDescent="0.3">
      <c r="A71">
        <v>6.9000000000000006E-2</v>
      </c>
      <c r="B71">
        <f>Uo*COS(2*PI()*Wn*Sheet2!A71) + (Vo/Wn - (Po*(w/Wn))/(K*(1-(w/Wn)^2)))*SIN(2*PI()*Wn*Sheet2!A71) +(Po*SIN(2*PI()*w*Sheet2!A71))/(K*(1-(w/Wn)^2))</f>
        <v>6.3606164673410248</v>
      </c>
      <c r="C71">
        <f t="shared" si="6"/>
        <v>6.8952963330829746</v>
      </c>
      <c r="D71">
        <f t="shared" si="7"/>
        <v>1126.3111021373863</v>
      </c>
      <c r="R71">
        <f t="shared" si="4"/>
        <v>6.9000000000000006E-2</v>
      </c>
      <c r="S71">
        <f t="shared" si="5"/>
        <v>6.8952963330829746</v>
      </c>
    </row>
    <row r="72" spans="1:19" x14ac:dyDescent="0.3">
      <c r="A72">
        <v>7.0000000000000007E-2</v>
      </c>
      <c r="B72">
        <f>Uo*COS(2*PI()*Wn*Sheet2!A72) + (Vo/Wn - (Po*(w/Wn))/(K*(1-(w/Wn)^2)))*SIN(2*PI()*Wn*Sheet2!A72) +(Po*SIN(2*PI()*w*Sheet2!A72))/(K*(1-(w/Wn)^2))</f>
        <v>6.0168734866440454</v>
      </c>
      <c r="C72">
        <f t="shared" si="6"/>
        <v>6.5722409894758229</v>
      </c>
      <c r="D72">
        <f t="shared" si="7"/>
        <v>1073.5416775132737</v>
      </c>
      <c r="R72">
        <f t="shared" si="4"/>
        <v>7.0000000000000007E-2</v>
      </c>
      <c r="S72">
        <f t="shared" si="5"/>
        <v>6.5722409894758229</v>
      </c>
    </row>
    <row r="73" spans="1:19" x14ac:dyDescent="0.3">
      <c r="A73">
        <v>7.0999999999999994E-2</v>
      </c>
      <c r="B73">
        <f>Uo*COS(2*PI()*Wn*Sheet2!A73) + (Vo/Wn - (Po*(w/Wn))/(K*(1-(w/Wn)^2)))*SIN(2*PI()*Wn*Sheet2!A73) +(Po*SIN(2*PI()*w*Sheet2!A73))/(K*(1-(w/Wn)^2))</f>
        <v>5.6711649089405549</v>
      </c>
      <c r="C73">
        <f t="shared" si="6"/>
        <v>6.2476239410377934</v>
      </c>
      <c r="D73">
        <f t="shared" si="7"/>
        <v>1020.5171564575776</v>
      </c>
      <c r="R73">
        <f t="shared" si="4"/>
        <v>7.0999999999999994E-2</v>
      </c>
      <c r="S73">
        <f t="shared" si="5"/>
        <v>6.2476239410377934</v>
      </c>
    </row>
    <row r="74" spans="1:19" x14ac:dyDescent="0.3">
      <c r="A74">
        <v>7.1999999999999995E-2</v>
      </c>
      <c r="B74">
        <f>Uo*COS(2*PI()*Wn*Sheet2!A74) + (Vo/Wn - (Po*(w/Wn))/(K*(1-(w/Wn)^2)))*SIN(2*PI()*Wn*Sheet2!A74) +(Po*SIN(2*PI()*w*Sheet2!A74))/(K*(1-(w/Wn)^2))</f>
        <v>5.3236036705831147</v>
      </c>
      <c r="C74">
        <f t="shared" si="6"/>
        <v>5.921553958307971</v>
      </c>
      <c r="D74">
        <f t="shared" si="7"/>
        <v>967.25530607700955</v>
      </c>
      <c r="R74">
        <f t="shared" si="4"/>
        <v>7.1999999999999995E-2</v>
      </c>
      <c r="S74">
        <f t="shared" si="5"/>
        <v>5.921553958307971</v>
      </c>
    </row>
    <row r="75" spans="1:19" x14ac:dyDescent="0.3">
      <c r="A75">
        <v>7.2999999999999995E-2</v>
      </c>
      <c r="B75">
        <f>Uo*COS(2*PI()*Wn*Sheet2!A75) + (Vo/Wn - (Po*(w/Wn))/(K*(1-(w/Wn)^2)))*SIN(2*PI()*Wn*Sheet2!A75) +(Po*SIN(2*PI()*w*Sheet2!A75))/(K*(1-(w/Wn)^2))</f>
        <v>4.974303313152955</v>
      </c>
      <c r="C75">
        <f t="shared" si="6"/>
        <v>5.5941400896220941</v>
      </c>
      <c r="D75">
        <f t="shared" si="7"/>
        <v>913.77393885493188</v>
      </c>
      <c r="R75">
        <f t="shared" si="4"/>
        <v>7.2999999999999995E-2</v>
      </c>
      <c r="S75">
        <f t="shared" si="5"/>
        <v>5.5941400896220941</v>
      </c>
    </row>
    <row r="76" spans="1:19" x14ac:dyDescent="0.3">
      <c r="A76">
        <v>7.3999999999999996E-2</v>
      </c>
      <c r="B76">
        <f>Uo*COS(2*PI()*Wn*Sheet2!A76) + (Vo/Wn - (Po*(w/Wn))/(K*(1-(w/Wn)^2)))*SIN(2*PI()*Wn*Sheet2!A76) +(Po*SIN(2*PI()*w*Sheet2!A76))/(K*(1-(w/Wn)^2))</f>
        <v>4.6233779463680911</v>
      </c>
      <c r="C76">
        <f t="shared" si="6"/>
        <v>5.265491625019064</v>
      </c>
      <c r="D76">
        <f t="shared" si="7"/>
        <v>860.09090675567256</v>
      </c>
      <c r="R76">
        <f t="shared" si="4"/>
        <v>7.3999999999999996E-2</v>
      </c>
      <c r="S76">
        <f t="shared" si="5"/>
        <v>5.265491625019064</v>
      </c>
    </row>
    <row r="77" spans="1:19" x14ac:dyDescent="0.3">
      <c r="A77">
        <v>7.4999999999999997E-2</v>
      </c>
      <c r="B77">
        <f>Uo*COS(2*PI()*Wn*Sheet2!A77) + (Vo/Wn - (Po*(w/Wn))/(K*(1-(w/Wn)^2)))*SIN(2*PI()*Wn*Sheet2!A77) +(Po*SIN(2*PI()*w*Sheet2!A77))/(K*(1-(w/Wn)^2))</f>
        <v>4.2709422108059032</v>
      </c>
      <c r="C77">
        <f t="shared" si="6"/>
        <v>4.9357180601337891</v>
      </c>
      <c r="D77">
        <f t="shared" si="7"/>
        <v>806.22409532660686</v>
      </c>
      <c r="R77">
        <f t="shared" si="4"/>
        <v>7.4999999999999997E-2</v>
      </c>
      <c r="S77">
        <f t="shared" si="5"/>
        <v>4.9357180601337891</v>
      </c>
    </row>
    <row r="78" spans="1:19" x14ac:dyDescent="0.3">
      <c r="A78">
        <v>7.5999999999999998E-2</v>
      </c>
      <c r="B78">
        <f>Uo*COS(2*PI()*Wn*Sheet2!A78) + (Vo/Wn - (Po*(w/Wn))/(K*(1-(w/Wn)^2)))*SIN(2*PI()*Wn*Sheet2!A78) +(Po*SIN(2*PI()*w*Sheet2!A78))/(K*(1-(w/Wn)^2))</f>
        <v>3.9171112404522241</v>
      </c>
      <c r="C78">
        <f t="shared" si="6"/>
        <v>4.6049290600880601</v>
      </c>
      <c r="D78">
        <f t="shared" si="7"/>
        <v>752.19141779991855</v>
      </c>
      <c r="R78">
        <f t="shared" si="4"/>
        <v>7.5999999999999998E-2</v>
      </c>
      <c r="S78">
        <f t="shared" si="5"/>
        <v>4.6049290600880601</v>
      </c>
    </row>
    <row r="79" spans="1:19" x14ac:dyDescent="0.3">
      <c r="A79">
        <v>7.6999999999999999E-2</v>
      </c>
      <c r="B79">
        <f>Uo*COS(2*PI()*Wn*Sheet2!A79) + (Vo/Wn - (Po*(w/Wn))/(K*(1-(w/Wn)^2)))*SIN(2*PI()*Wn*Sheet2!A79) +(Po*SIN(2*PI()*w*Sheet2!A79))/(K*(1-(w/Wn)^2))</f>
        <v>3.5620006250893042</v>
      </c>
      <c r="C79">
        <f t="shared" si="6"/>
        <v>4.2732344233913908</v>
      </c>
      <c r="D79">
        <f t="shared" si="7"/>
        <v>698.01080919598803</v>
      </c>
      <c r="R79">
        <f t="shared" si="4"/>
        <v>7.6999999999999999E-2</v>
      </c>
      <c r="S79">
        <f t="shared" si="5"/>
        <v>4.2732344233913908</v>
      </c>
    </row>
    <row r="80" spans="1:19" x14ac:dyDescent="0.3">
      <c r="A80">
        <v>7.8E-2</v>
      </c>
      <c r="B80">
        <f>Uo*COS(2*PI()*Wn*Sheet2!A80) + (Vo/Wn - (Po*(w/Wn))/(K*(1-(w/Wn)^2)))*SIN(2*PI()*Wn*Sheet2!A80) +(Po*SIN(2*PI()*w*Sheet2!A80))/(K*(1-(w/Wn)^2))</f>
        <v>3.2057263725348388</v>
      </c>
      <c r="C80">
        <f t="shared" si="6"/>
        <v>3.9407440458634544</v>
      </c>
      <c r="D80">
        <f t="shared" si="7"/>
        <v>643.70022043030872</v>
      </c>
      <c r="R80">
        <f t="shared" si="4"/>
        <v>7.8E-2</v>
      </c>
      <c r="S80">
        <f t="shared" si="5"/>
        <v>3.9407440458634544</v>
      </c>
    </row>
    <row r="81" spans="1:19" x14ac:dyDescent="0.3">
      <c r="A81">
        <v>7.9000000000000001E-2</v>
      </c>
      <c r="B81">
        <f>Uo*COS(2*PI()*Wn*Sheet2!A81) + (Vo/Wn - (Po*(w/Wn))/(K*(1-(w/Wn)^2)))*SIN(2*PI()*Wn*Sheet2!A81) +(Po*SIN(2*PI()*w*Sheet2!A81))/(K*(1-(w/Wn)^2))</f>
        <v>2.8484048707444414</v>
      </c>
      <c r="C81">
        <f t="shared" si="6"/>
        <v>3.6075678845899368</v>
      </c>
      <c r="D81">
        <f t="shared" si="7"/>
        <v>589.27761242586121</v>
      </c>
      <c r="R81">
        <f t="shared" si="4"/>
        <v>7.9000000000000001E-2</v>
      </c>
      <c r="S81">
        <f t="shared" si="5"/>
        <v>3.6075678845899368</v>
      </c>
    </row>
    <row r="82" spans="1:19" x14ac:dyDescent="0.3">
      <c r="A82">
        <v>0.08</v>
      </c>
      <c r="B82">
        <f>Uo*COS(2*PI()*Wn*Sheet2!A82) + (Vo/Wn - (Po*(w/Wn))/(K*(1-(w/Wn)^2)))*SIN(2*PI()*Wn*Sheet2!A82) +(Po*SIN(2*PI()*w*Sheet2!A82))/(K*(1-(w/Wn)^2))</f>
        <v>2.4901528497899501</v>
      </c>
      <c r="C82">
        <f t="shared" si="6"/>
        <v>3.2738159219234868</v>
      </c>
      <c r="D82">
        <f t="shared" si="7"/>
        <v>534.76095023285416</v>
      </c>
      <c r="R82">
        <f t="shared" si="4"/>
        <v>0.08</v>
      </c>
      <c r="S82">
        <f t="shared" si="5"/>
        <v>3.2738159219234868</v>
      </c>
    </row>
    <row r="83" spans="1:19" x14ac:dyDescent="0.3">
      <c r="A83">
        <v>8.1000000000000003E-2</v>
      </c>
      <c r="B83">
        <f>Uo*COS(2*PI()*Wn*Sheet2!A83) + (Vo/Wn - (Po*(w/Wn))/(K*(1-(w/Wn)^2)))*SIN(2*PI()*Wn*Sheet2!A83) +(Po*SIN(2*PI()*w*Sheet2!A83))/(K*(1-(w/Wn)^2))</f>
        <v>2.1310873437259281</v>
      </c>
      <c r="C83">
        <f t="shared" si="6"/>
        <v>2.9395981295413929</v>
      </c>
      <c r="D83">
        <f t="shared" si="7"/>
        <v>480.16819715773107</v>
      </c>
      <c r="R83">
        <f t="shared" si="4"/>
        <v>8.1000000000000003E-2</v>
      </c>
      <c r="S83">
        <f t="shared" si="5"/>
        <v>2.9395981295413929</v>
      </c>
    </row>
    <row r="84" spans="1:19" x14ac:dyDescent="0.3">
      <c r="A84">
        <v>8.2000000000000003E-2</v>
      </c>
      <c r="B84">
        <f>Uo*COS(2*PI()*Wn*Sheet2!A84) + (Vo/Wn - (Po*(w/Wn))/(K*(1-(w/Wn)^2)))*SIN(2*PI()*Wn*Sheet2!A84) +(Po*SIN(2*PI()*w*Sheet2!A84))/(K*(1-(w/Wn)^2))</f>
        <v>1.7713256523569054</v>
      </c>
      <c r="C84">
        <f t="shared" si="6"/>
        <v>2.6050244325716929</v>
      </c>
      <c r="D84">
        <f t="shared" si="7"/>
        <v>425.51730890335557</v>
      </c>
      <c r="R84">
        <f t="shared" si="4"/>
        <v>8.2000000000000003E-2</v>
      </c>
      <c r="S84">
        <f t="shared" si="5"/>
        <v>2.6050244325716929</v>
      </c>
    </row>
    <row r="85" spans="1:19" x14ac:dyDescent="0.3">
      <c r="A85">
        <v>8.3000000000000004E-2</v>
      </c>
      <c r="B85">
        <f>Uo*COS(2*PI()*Wn*Sheet2!A85) + (Vo/Wn - (Po*(w/Wn))/(K*(1-(w/Wn)^2)))*SIN(2*PI()*Wn*Sheet2!A85) +(Po*SIN(2*PI()*w*Sheet2!A85))/(K*(1-(w/Wn)^2))</f>
        <v>1.4109853029177752</v>
      </c>
      <c r="C85">
        <f t="shared" si="6"/>
        <v>2.2702046737992299</v>
      </c>
      <c r="D85">
        <f t="shared" si="7"/>
        <v>370.82622772225488</v>
      </c>
      <c r="R85">
        <f t="shared" si="4"/>
        <v>8.3000000000000004E-2</v>
      </c>
      <c r="S85">
        <f t="shared" si="5"/>
        <v>2.2702046737992299</v>
      </c>
    </row>
    <row r="86" spans="1:19" x14ac:dyDescent="0.3">
      <c r="A86">
        <v>8.4000000000000005E-2</v>
      </c>
      <c r="B86">
        <f>Uo*COS(2*PI()*Wn*Sheet2!A86) + (Vo/Wn - (Po*(w/Wn))/(K*(1-(w/Wn)^2)))*SIN(2*PI()*Wn*Sheet2!A86) +(Po*SIN(2*PI()*w*Sheet2!A86))/(K*(1-(w/Wn)^2))</f>
        <v>1.0501840116799213</v>
      </c>
      <c r="C86">
        <f t="shared" si="6"/>
        <v>1.9352485779632449</v>
      </c>
      <c r="D86">
        <f t="shared" si="7"/>
        <v>316.11287658481592</v>
      </c>
      <c r="R86">
        <f t="shared" si="4"/>
        <v>8.4000000000000005E-2</v>
      </c>
      <c r="S86">
        <f t="shared" si="5"/>
        <v>1.9352485779632449</v>
      </c>
    </row>
    <row r="87" spans="1:19" x14ac:dyDescent="0.3">
      <c r="A87">
        <v>8.5000000000000006E-2</v>
      </c>
      <c r="B87">
        <f>Uo*COS(2*PI()*Wn*Sheet2!A87) + (Vo/Wn - (Po*(w/Wn))/(K*(1-(w/Wn)^2)))*SIN(2*PI()*Wn*Sheet2!A87) +(Po*SIN(2*PI()*w*Sheet2!A87))/(K*(1-(w/Wn)^2))</f>
        <v>0.6890396454955473</v>
      </c>
      <c r="C87">
        <f t="shared" si="6"/>
        <v>1.6002657161579348</v>
      </c>
      <c r="D87">
        <f t="shared" si="7"/>
        <v>261.39515336429969</v>
      </c>
      <c r="R87">
        <f t="shared" si="4"/>
        <v>8.5000000000000006E-2</v>
      </c>
      <c r="S87">
        <f t="shared" si="5"/>
        <v>1.6002657161579348</v>
      </c>
    </row>
    <row r="88" spans="1:19" x14ac:dyDescent="0.3">
      <c r="A88">
        <v>8.5999999999999993E-2</v>
      </c>
      <c r="B88">
        <f>Uo*COS(2*PI()*Wn*Sheet2!A88) + (Vo/Wn - (Po*(w/Wn))/(K*(1-(w/Wn)^2)))*SIN(2*PI()*Wn*Sheet2!A88) +(Po*SIN(2*PI()*w*Sheet2!A88))/(K*(1-(w/Wn)^2))</f>
        <v>0.32767018329286157</v>
      </c>
      <c r="C88">
        <f t="shared" si="6"/>
        <v>1.265365470347483</v>
      </c>
      <c r="D88">
        <f t="shared" si="7"/>
        <v>206.69092504055487</v>
      </c>
      <c r="R88">
        <f t="shared" si="4"/>
        <v>8.5999999999999993E-2</v>
      </c>
      <c r="S88">
        <f t="shared" si="5"/>
        <v>1.265365470347483</v>
      </c>
    </row>
    <row r="89" spans="1:19" x14ac:dyDescent="0.3">
      <c r="A89">
        <v>8.6999999999999994E-2</v>
      </c>
      <c r="B89">
        <f>Uo*COS(2*PI()*Wn*Sheet2!A89) + (Vo/Wn - (Po*(w/Wn))/(K*(1-(w/Wn)^2)))*SIN(2*PI()*Wn*Sheet2!A89) +(Po*SIN(2*PI()*w*Sheet2!A89))/(K*(1-(w/Wn)^2))</f>
        <v>-3.380632246539525E-2</v>
      </c>
      <c r="C89">
        <f t="shared" si="6"/>
        <v>0.93065699800686319</v>
      </c>
      <c r="D89">
        <f t="shared" si="7"/>
        <v>152.01802192427513</v>
      </c>
      <c r="R89">
        <f t="shared" si="4"/>
        <v>8.6999999999999994E-2</v>
      </c>
      <c r="S89">
        <f t="shared" si="5"/>
        <v>0.93065699800686319</v>
      </c>
    </row>
    <row r="90" spans="1:19" x14ac:dyDescent="0.3">
      <c r="A90">
        <v>8.7999999999999995E-2</v>
      </c>
      <c r="B90">
        <f>Uo*COS(2*PI()*Wn*Sheet2!A90) + (Vo/Wn - (Po*(w/Wn))/(K*(1-(w/Wn)^2)))*SIN(2*PI()*Wn*Sheet2!A90) +(Po*SIN(2*PI()*w*Sheet2!A90))/(K*(1-(w/Wn)^2))</f>
        <v>-0.39527178434739968</v>
      </c>
      <c r="C90">
        <f t="shared" si="6"/>
        <v>0.59624919689980349</v>
      </c>
      <c r="D90">
        <f t="shared" si="7"/>
        <v>97.394231903661378</v>
      </c>
      <c r="R90">
        <f t="shared" si="4"/>
        <v>8.7999999999999995E-2</v>
      </c>
      <c r="S90">
        <f t="shared" si="5"/>
        <v>0.59624919689980349</v>
      </c>
    </row>
    <row r="91" spans="1:19" x14ac:dyDescent="0.3">
      <c r="A91">
        <v>8.8999999999999996E-2</v>
      </c>
      <c r="B91">
        <f>Uo*COS(2*PI()*Wn*Sheet2!A91) + (Vo/Wn - (Po*(w/Wn))/(K*(1-(w/Wn)^2)))*SIN(2*PI()*Wn*Sheet2!A91) +(Po*SIN(2*PI()*w*Sheet2!A91))/(K*(1-(w/Wn)^2))</f>
        <v>-0.75660811852914178</v>
      </c>
      <c r="C91">
        <f t="shared" si="6"/>
        <v>0.26225067000510061</v>
      </c>
      <c r="D91">
        <f t="shared" si="7"/>
        <v>42.83729471531597</v>
      </c>
      <c r="R91">
        <f t="shared" si="4"/>
        <v>8.8999999999999996E-2</v>
      </c>
      <c r="S91">
        <f t="shared" si="5"/>
        <v>0.26225067000510061</v>
      </c>
    </row>
    <row r="92" spans="1:19" x14ac:dyDescent="0.3">
      <c r="A92">
        <v>0.09</v>
      </c>
      <c r="B92">
        <f>Uo*COS(2*PI()*Wn*Sheet2!A92) + (Vo/Wn - (Po*(w/Wn))/(K*(1-(w/Wn)^2)))*SIN(2*PI()*Wn*Sheet2!A92) +(Po*SIN(2*PI()*w*Sheet2!A92))/(K*(1-(w/Wn)^2))</f>
        <v>-1.1176972833701646</v>
      </c>
      <c r="C92">
        <f t="shared" si="6"/>
        <v>-7.1230309397532651E-2</v>
      </c>
      <c r="D92">
        <f t="shared" si="7"/>
        <v>-11.635103758804128</v>
      </c>
      <c r="R92">
        <f t="shared" si="4"/>
        <v>0.09</v>
      </c>
      <c r="S92">
        <f t="shared" si="5"/>
        <v>-7.1230309397532651E-2</v>
      </c>
    </row>
    <row r="93" spans="1:19" x14ac:dyDescent="0.3">
      <c r="A93">
        <v>9.0999999999999998E-2</v>
      </c>
      <c r="B93">
        <f>Uo*COS(2*PI()*Wn*Sheet2!A93) + (Vo/Wn - (Po*(w/Wn))/(K*(1-(w/Wn)^2)))*SIN(2*PI()*Wn*Sheet2!A93) +(Po*SIN(2*PI()*w*Sheet2!A93))/(K*(1-(w/Wn)^2))</f>
        <v>-1.4784213179754826</v>
      </c>
      <c r="C93">
        <f t="shared" si="6"/>
        <v>-0.40408583247092855</v>
      </c>
      <c r="D93">
        <f t="shared" si="7"/>
        <v>-66.005337166552493</v>
      </c>
      <c r="R93">
        <f t="shared" si="4"/>
        <v>9.0999999999999998E-2</v>
      </c>
      <c r="S93">
        <f t="shared" si="5"/>
        <v>-0.40408583247092855</v>
      </c>
    </row>
    <row r="94" spans="1:19" x14ac:dyDescent="0.3">
      <c r="A94">
        <v>9.1999999999999998E-2</v>
      </c>
      <c r="B94">
        <f>Uo*COS(2*PI()*Wn*Sheet2!A94) + (Vo/Wn - (Po*(w/Wn))/(K*(1-(w/Wn)^2)))*SIN(2*PI()*Wn*Sheet2!A94) +(Po*SIN(2*PI()*w*Sheet2!A94))/(K*(1-(w/Wn)^2))</f>
        <v>-1.8386623807311508</v>
      </c>
      <c r="C94">
        <f t="shared" si="6"/>
        <v>-0.73620838938225919</v>
      </c>
      <c r="D94">
        <f t="shared" si="7"/>
        <v>-120.25584433108428</v>
      </c>
      <c r="R94">
        <f t="shared" si="4"/>
        <v>9.1999999999999998E-2</v>
      </c>
      <c r="S94">
        <f t="shared" si="5"/>
        <v>-0.73620838938225919</v>
      </c>
    </row>
    <row r="95" spans="1:19" x14ac:dyDescent="0.3">
      <c r="A95">
        <v>9.2999999999999999E-2</v>
      </c>
      <c r="B95">
        <f>Uo*COS(2*PI()*Wn*Sheet2!A95) + (Vo/Wn - (Po*(w/Wn))/(K*(1-(w/Wn)^2)))*SIN(2*PI()*Wn*Sheet2!A95) +(Po*SIN(2*PI()*w*Sheet2!A95))/(K*(1-(w/Wn)^2))</f>
        <v>-2.1983027878008374</v>
      </c>
      <c r="C95">
        <f t="shared" si="6"/>
        <v>-1.0674909036721658</v>
      </c>
      <c r="D95">
        <f t="shared" si="7"/>
        <v>-174.36913486487623</v>
      </c>
      <c r="R95">
        <f t="shared" si="4"/>
        <v>9.2999999999999999E-2</v>
      </c>
      <c r="S95">
        <f t="shared" si="5"/>
        <v>-1.0674909036721658</v>
      </c>
    </row>
    <row r="96" spans="1:19" x14ac:dyDescent="0.3">
      <c r="A96">
        <v>9.4E-2</v>
      </c>
      <c r="B96">
        <f>Uo*COS(2*PI()*Wn*Sheet2!A96) + (Vo/Wn - (Po*(w/Wn))/(K*(1-(w/Wn)^2)))*SIN(2*PI()*Wn*Sheet2!A96) +(Po*SIN(2*PI()*w*Sheet2!A96))/(K*(1-(w/Wn)^2))</f>
        <v>-2.5572250515709003</v>
      </c>
      <c r="C96">
        <f t="shared" si="6"/>
        <v>-1.397826766420416</v>
      </c>
      <c r="D96">
        <f t="shared" si="7"/>
        <v>-228.32779475051061</v>
      </c>
      <c r="R96">
        <f t="shared" si="4"/>
        <v>9.4E-2</v>
      </c>
      <c r="S96">
        <f t="shared" si="5"/>
        <v>-1.397826766420416</v>
      </c>
    </row>
    <row r="97" spans="1:19" x14ac:dyDescent="0.3">
      <c r="A97">
        <v>9.5000000000000001E-2</v>
      </c>
      <c r="B97">
        <f>Uo*COS(2*PI()*Wn*Sheet2!A97) + (Vo/Wn - (Po*(w/Wn))/(K*(1-(w/Wn)^2)))*SIN(2*PI()*Wn*Sheet2!A97) +(Po*SIN(2*PI()*w*Sheet2!A97))/(K*(1-(w/Wn)^2))</f>
        <v>-2.9153119190313168</v>
      </c>
      <c r="C97">
        <f t="shared" si="6"/>
        <v>-1.7271098701972261</v>
      </c>
      <c r="D97">
        <f t="shared" si="7"/>
        <v>-282.11449188644866</v>
      </c>
      <c r="R97">
        <f t="shared" si="4"/>
        <v>9.5000000000000001E-2</v>
      </c>
      <c r="S97">
        <f t="shared" si="5"/>
        <v>-1.7271098701972261</v>
      </c>
    </row>
    <row r="98" spans="1:19" x14ac:dyDescent="0.3">
      <c r="A98">
        <v>9.6000000000000002E-2</v>
      </c>
      <c r="B98">
        <f>Uo*COS(2*PI()*Wn*Sheet2!A98) + (Vo/Wn - (Po*(w/Wn))/(K*(1-(w/Wn)^2)))*SIN(2*PI()*Wn*Sheet2!A98) +(Po*SIN(2*PI()*w*Sheet2!A98))/(K*(1-(w/Wn)^2))</f>
        <v>-3.272446410079997</v>
      </c>
      <c r="C98">
        <f t="shared" si="6"/>
        <v>-2.0552346427896171</v>
      </c>
      <c r="D98">
        <f t="shared" si="7"/>
        <v>-335.71198159605706</v>
      </c>
      <c r="R98">
        <f t="shared" si="4"/>
        <v>9.6000000000000002E-2</v>
      </c>
      <c r="S98">
        <f t="shared" si="5"/>
        <v>-2.0552346427896171</v>
      </c>
    </row>
    <row r="99" spans="1:19" x14ac:dyDescent="0.3">
      <c r="A99">
        <v>9.7000000000000003E-2</v>
      </c>
      <c r="B99">
        <f>Uo*COS(2*PI()*Wn*Sheet2!A99) + (Vo/Wn - (Po*(w/Wn))/(K*(1-(w/Wn)^2)))*SIN(2*PI()*Wn*Sheet2!A99) +(Po*SIN(2*PI()*w*Sheet2!A99))/(K*(1-(w/Wn)^2))</f>
        <v>-3.628511855737921</v>
      </c>
      <c r="C99">
        <f t="shared" si="6"/>
        <v>-2.3820960806921594</v>
      </c>
      <c r="D99">
        <f t="shared" si="7"/>
        <v>-389.10311209814813</v>
      </c>
      <c r="R99">
        <f t="shared" si="4"/>
        <v>9.7000000000000003E-2</v>
      </c>
      <c r="S99">
        <f t="shared" si="5"/>
        <v>-2.3820960806921594</v>
      </c>
    </row>
    <row r="100" spans="1:19" x14ac:dyDescent="0.3">
      <c r="A100">
        <v>9.8000000000000004E-2</v>
      </c>
      <c r="B100">
        <f>Uo*COS(2*PI()*Wn*Sheet2!A100) + (Vo/Wn - (Po*(w/Wn))/(K*(1-(w/Wn)^2)))*SIN(2*PI()*Wn*Sheet2!A100) +(Po*SIN(2*PI()*w*Sheet2!A100))/(K*(1-(w/Wn)^2))</f>
        <v>-3.9833919362626782</v>
      </c>
      <c r="C100">
        <f t="shared" si="6"/>
        <v>-2.7075897823516537</v>
      </c>
      <c r="D100">
        <f t="shared" si="7"/>
        <v>-442.27082993732739</v>
      </c>
      <c r="R100">
        <f t="shared" si="4"/>
        <v>9.8000000000000004E-2</v>
      </c>
      <c r="S100">
        <f t="shared" si="5"/>
        <v>-2.7075897823516537</v>
      </c>
    </row>
    <row r="101" spans="1:19" x14ac:dyDescent="0.3">
      <c r="A101">
        <v>9.9000000000000005E-2</v>
      </c>
      <c r="B101">
        <f>Uo*COS(2*PI()*Wn*Sheet2!A101) + (Vo/Wn - (Po*(w/Wn))/(K*(1-(w/Wn)^2)))*SIN(2*PI()*Wn*Sheet2!A101) +(Po*SIN(2*PI()*w*Sheet2!A101))/(K*(1-(w/Wn)^2))</f>
        <v>-4.3369707191478755</v>
      </c>
      <c r="C101">
        <f t="shared" si="6"/>
        <v>-3.0316119811552813</v>
      </c>
      <c r="D101">
        <f t="shared" si="7"/>
        <v>-495.19818537243737</v>
      </c>
      <c r="R101">
        <f t="shared" si="4"/>
        <v>9.9000000000000005E-2</v>
      </c>
      <c r="S101">
        <f t="shared" si="5"/>
        <v>-3.0316119811552813</v>
      </c>
    </row>
    <row r="102" spans="1:19" x14ac:dyDescent="0.3">
      <c r="A102">
        <v>0.1</v>
      </c>
      <c r="B102">
        <f>Uo*COS(2*PI()*Wn*Sheet2!A102) + (Vo/Wn - (Po*(w/Wn))/(K*(1-(w/Wn)^2)))*SIN(2*PI()*Wn*Sheet2!A102) +(Po*SIN(2*PI()*w*Sheet2!A102))/(K*(1-(w/Wn)^2))</f>
        <v>-4.6891326969960687</v>
      </c>
      <c r="C102">
        <f t="shared" si="6"/>
        <v>-3.3540595781519507</v>
      </c>
      <c r="D102">
        <f t="shared" si="7"/>
        <v>-547.86833772142131</v>
      </c>
      <c r="R102">
        <f t="shared" si="4"/>
        <v>0.1</v>
      </c>
      <c r="S102">
        <f t="shared" si="5"/>
        <v>-3.3540595781519507</v>
      </c>
    </row>
    <row r="103" spans="1:19" x14ac:dyDescent="0.3">
      <c r="A103">
        <v>0.10100000000000001</v>
      </c>
      <c r="B103">
        <f>Uo*COS(2*PI()*Wn*Sheet2!A103) + (Vo/Wn - (Po*(w/Wn))/(K*(1-(w/Wn)^2)))*SIN(2*PI()*Wn*Sheet2!A103) +(Po*SIN(2*PI()*w*Sheet2!A103))/(K*(1-(w/Wn)^2))</f>
        <v>-5.0397628252528071</v>
      </c>
      <c r="C103">
        <f t="shared" si="6"/>
        <v>-3.6748301744966585</v>
      </c>
      <c r="D103">
        <f t="shared" si="7"/>
        <v>-600.26456066094192</v>
      </c>
      <c r="R103">
        <f t="shared" si="4"/>
        <v>0.10100000000000001</v>
      </c>
      <c r="S103">
        <f t="shared" si="5"/>
        <v>-3.6748301744966585</v>
      </c>
    </row>
    <row r="104" spans="1:19" x14ac:dyDescent="0.3">
      <c r="A104">
        <v>0.10199999999999999</v>
      </c>
      <c r="B104">
        <f>Uo*COS(2*PI()*Wn*Sheet2!A104) + (Vo/Wn - (Po*(w/Wn))/(K*(1-(w/Wn)^2)))*SIN(2*PI()*Wn*Sheet2!A104) +(Po*SIN(2*PI()*w*Sheet2!A104))/(K*(1-(w/Wn)^2))</f>
        <v>-5.3887465597894675</v>
      </c>
      <c r="C104">
        <f t="shared" si="6"/>
        <v>-3.9938221036077191</v>
      </c>
      <c r="D104">
        <f t="shared" si="7"/>
        <v>-652.37024747909913</v>
      </c>
      <c r="R104">
        <f t="shared" si="4"/>
        <v>0.10199999999999999</v>
      </c>
      <c r="S104">
        <f t="shared" si="5"/>
        <v>-3.9938221036077191</v>
      </c>
    </row>
    <row r="105" spans="1:19" x14ac:dyDescent="0.3">
      <c r="A105">
        <v>0.10299999999999999</v>
      </c>
      <c r="B105">
        <f>Uo*COS(2*PI()*Wn*Sheet2!A105) + (Vo/Wn - (Po*(w/Wn))/(K*(1-(w/Wn)^2)))*SIN(2*PI()*Wn*Sheet2!A105) +(Po*SIN(2*PI()*w*Sheet2!A105))/(K*(1-(w/Wn)^2))</f>
        <v>-5.7359698943226594</v>
      </c>
      <c r="C105">
        <f t="shared" si="6"/>
        <v>-4.3109344630269923</v>
      </c>
      <c r="D105">
        <f t="shared" si="7"/>
        <v>-704.16891627963423</v>
      </c>
      <c r="R105">
        <f t="shared" si="4"/>
        <v>0.10299999999999999</v>
      </c>
      <c r="S105">
        <f t="shared" si="5"/>
        <v>-4.3109344630269923</v>
      </c>
    </row>
    <row r="106" spans="1:19" x14ac:dyDescent="0.3">
      <c r="A106">
        <v>0.104</v>
      </c>
      <c r="B106">
        <f>Uo*COS(2*PI()*Wn*Sheet2!A106) + (Vo/Wn - (Po*(w/Wn))/(K*(1-(w/Wn)^2)))*SIN(2*PI()*Wn*Sheet2!A106) +(Po*SIN(2*PI()*w*Sheet2!A106))/(K*(1-(w/Wn)^2))</f>
        <v>-6.0813193976578406</v>
      </c>
      <c r="C106">
        <f t="shared" si="6"/>
        <v>-4.6260671459730931</v>
      </c>
      <c r="D106">
        <f t="shared" si="7"/>
        <v>-755.64421513598336</v>
      </c>
      <c r="R106">
        <f t="shared" si="4"/>
        <v>0.104</v>
      </c>
      <c r="S106">
        <f t="shared" si="5"/>
        <v>-4.6260671459730931</v>
      </c>
    </row>
    <row r="107" spans="1:19" x14ac:dyDescent="0.3">
      <c r="A107">
        <v>0.105</v>
      </c>
      <c r="B107">
        <f>Uo*COS(2*PI()*Wn*Sheet2!A107) + (Vo/Wn - (Po*(w/Wn))/(K*(1-(w/Wn)^2)))*SIN(2*PI()*Wn*Sheet2!A107) +(Po*SIN(2*PI()*w*Sheet2!A107))/(K*(1-(w/Wn)^2))</f>
        <v>-6.4246822507451444</v>
      </c>
      <c r="C107">
        <f t="shared" si="6"/>
        <v>-4.9391208725779849</v>
      </c>
      <c r="D107">
        <f t="shared" si="7"/>
        <v>-806.77992719361464</v>
      </c>
      <c r="R107">
        <f t="shared" si="4"/>
        <v>0.105</v>
      </c>
      <c r="S107">
        <f t="shared" si="5"/>
        <v>-4.9391208725779849</v>
      </c>
    </row>
    <row r="108" spans="1:19" x14ac:dyDescent="0.3">
      <c r="A108">
        <v>0.106</v>
      </c>
      <c r="B108">
        <f>Uo*COS(2*PI()*Wn*Sheet2!A108) + (Vo/Wn - (Po*(w/Wn))/(K*(1-(w/Wn)^2)))*SIN(2*PI()*Wn*Sheet2!A108) +(Po*SIN(2*PI()*w*Sheet2!A108))/(K*(1-(w/Wn)^2))</f>
        <v>-6.7659462835351816</v>
      </c>
      <c r="C108">
        <f t="shared" si="6"/>
        <v>-5.2499972207972565</v>
      </c>
      <c r="D108">
        <f t="shared" si="7"/>
        <v>-857.55997571906209</v>
      </c>
      <c r="R108">
        <f t="shared" si="4"/>
        <v>0.106</v>
      </c>
      <c r="S108">
        <f t="shared" si="5"/>
        <v>-5.2499972207972565</v>
      </c>
    </row>
    <row r="109" spans="1:19" x14ac:dyDescent="0.3">
      <c r="A109">
        <v>0.107</v>
      </c>
      <c r="B109">
        <f>Uo*COS(2*PI()*Wn*Sheet2!A109) + (Vo/Wn - (Po*(w/Wn))/(K*(1-(w/Wn)^2)))*SIN(2*PI()*Wn*Sheet2!A109) +(Po*SIN(2*PI()*w*Sheet2!A109))/(K*(1-(w/Wn)^2))</f>
        <v>-7.1050000116228329</v>
      </c>
      <c r="C109">
        <f t="shared" si="6"/>
        <v>-5.5585986569845778</v>
      </c>
      <c r="D109">
        <f t="shared" si="7"/>
        <v>-907.96842909410566</v>
      </c>
      <c r="R109">
        <f t="shared" si="4"/>
        <v>0.107</v>
      </c>
      <c r="S109">
        <f t="shared" si="5"/>
        <v>-5.5585986569845778</v>
      </c>
    </row>
    <row r="110" spans="1:19" x14ac:dyDescent="0.3">
      <c r="A110">
        <v>0.108</v>
      </c>
      <c r="B110">
        <f>Uo*COS(2*PI()*Wn*Sheet2!A110) + (Vo/Wn - (Po*(w/Wn))/(K*(1-(w/Wn)^2)))*SIN(2*PI()*Wn*Sheet2!A110) +(Po*SIN(2*PI()*w*Sheet2!A110))/(K*(1-(w/Wn)^2))</f>
        <v>-7.4417326726670874</v>
      </c>
      <c r="C110">
        <f t="shared" si="6"/>
        <v>-5.8648285661210249</v>
      </c>
      <c r="D110">
        <f t="shared" si="7"/>
        <v>-957.98950575357537</v>
      </c>
      <c r="R110">
        <f t="shared" si="4"/>
        <v>0.108</v>
      </c>
      <c r="S110">
        <f t="shared" si="5"/>
        <v>-5.8648285661210249</v>
      </c>
    </row>
    <row r="111" spans="1:19" x14ac:dyDescent="0.3">
      <c r="A111">
        <v>0.109</v>
      </c>
      <c r="B111">
        <f>Uo*COS(2*PI()*Wn*Sheet2!A111) + (Vo/Wn - (Po*(w/Wn))/(K*(1-(w/Wn)^2)))*SIN(2*PI()*Wn*Sheet2!A111) +(Po*SIN(2*PI()*w*Sheet2!A111))/(K*(1-(w/Wn)^2))</f>
        <v>-7.7760342625749548</v>
      </c>
      <c r="C111">
        <f t="shared" si="6"/>
        <v>-6.1685912816899471</v>
      </c>
      <c r="D111">
        <f t="shared" si="7"/>
        <v>-1007.6075790652566</v>
      </c>
      <c r="R111">
        <f t="shared" si="4"/>
        <v>0.109</v>
      </c>
      <c r="S111">
        <f t="shared" si="5"/>
        <v>-6.1685912816899471</v>
      </c>
    </row>
    <row r="112" spans="1:19" x14ac:dyDescent="0.3">
      <c r="A112">
        <v>0.11</v>
      </c>
      <c r="B112">
        <f>Uo*COS(2*PI()*Wn*Sheet2!A112) + (Vo/Wn - (Po*(w/Wn))/(K*(1-(w/Wn)^2)))*SIN(2*PI()*Wn*Sheet2!A112) +(Po*SIN(2*PI()*w*Sheet2!A112))/(K*(1-(w/Wn)^2))</f>
        <v>-8.107795571437693</v>
      </c>
      <c r="C112">
        <f t="shared" si="6"/>
        <v>-6.4697921151883415</v>
      </c>
      <c r="D112">
        <f t="shared" si="7"/>
        <v>-1056.8071821504216</v>
      </c>
      <c r="R112">
        <f t="shared" si="4"/>
        <v>0.11</v>
      </c>
      <c r="S112">
        <f t="shared" si="5"/>
        <v>-6.4697921151883415</v>
      </c>
    </row>
    <row r="113" spans="1:19" x14ac:dyDescent="0.3">
      <c r="A113">
        <v>0.111</v>
      </c>
      <c r="B113">
        <f>Uo*COS(2*PI()*Wn*Sheet2!A113) + (Vo/Wn - (Po*(w/Wn))/(K*(1-(w/Wn)^2)))*SIN(2*PI()*Wn*Sheet2!A113) +(Po*SIN(2*PI()*w*Sheet2!A113))/(K*(1-(w/Wn)^2))</f>
        <v>-8.4369082192075808</v>
      </c>
      <c r="C113">
        <f t="shared" si="6"/>
        <v>-6.7683373852656894</v>
      </c>
      <c r="D113">
        <f t="shared" si="7"/>
        <v>-1105.5730126435076</v>
      </c>
      <c r="R113">
        <f t="shared" si="4"/>
        <v>0.111</v>
      </c>
      <c r="S113">
        <f t="shared" si="5"/>
        <v>-6.7683373852656894</v>
      </c>
    </row>
    <row r="114" spans="1:19" x14ac:dyDescent="0.3">
      <c r="A114">
        <v>0.112</v>
      </c>
      <c r="B114">
        <f>Uo*COS(2*PI()*Wn*Sheet2!A114) + (Vo/Wn - (Po*(w/Wn))/(K*(1-(w/Wn)^2)))*SIN(2*PI()*Wn*Sheet2!A114) +(Po*SIN(2*PI()*w*Sheet2!A114))/(K*(1-(w/Wn)^2))</f>
        <v>-8.7632646911036147</v>
      </c>
      <c r="C114">
        <f t="shared" si="6"/>
        <v>-7.0641344464814999</v>
      </c>
      <c r="D114">
        <f t="shared" si="7"/>
        <v>-1153.8899373895133</v>
      </c>
      <c r="R114">
        <f t="shared" si="4"/>
        <v>0.112</v>
      </c>
      <c r="S114">
        <f t="shared" si="5"/>
        <v>-7.0641344464814999</v>
      </c>
    </row>
    <row r="115" spans="1:19" x14ac:dyDescent="0.3">
      <c r="A115">
        <v>0.113</v>
      </c>
      <c r="B115">
        <f>Uo*COS(2*PI()*Wn*Sheet2!A115) + (Vo/Wn - (Po*(w/Wn))/(K*(1-(w/Wn)^2)))*SIN(2*PI()*Wn*Sheet2!A115) +(Po*SIN(2*PI()*w*Sheet2!A115))/(K*(1-(w/Wn)^2))</f>
        <v>-9.0867583727345096</v>
      </c>
      <c r="C115">
        <f t="shared" si="6"/>
        <v>-7.3570917176727662</v>
      </c>
      <c r="D115">
        <f t="shared" si="7"/>
        <v>-1201.742997077677</v>
      </c>
      <c r="R115">
        <f t="shared" si="4"/>
        <v>0.113</v>
      </c>
      <c r="S115">
        <f t="shared" si="5"/>
        <v>-7.3570917176727662</v>
      </c>
    </row>
    <row r="116" spans="1:19" x14ac:dyDescent="0.3">
      <c r="A116">
        <v>0.114</v>
      </c>
      <c r="B116">
        <f>Uo*COS(2*PI()*Wn*Sheet2!A116) + (Vo/Wn - (Po*(w/Wn))/(K*(1-(w/Wn)^2)))*SIN(2*PI()*Wn*Sheet2!A116) +(Po*SIN(2*PI()*w*Sheet2!A116))/(K*(1-(w/Wn)^2))</f>
        <v>-9.4072835849275762</v>
      </c>
      <c r="C116">
        <f t="shared" si="6"/>
        <v>-7.6471187099228706</v>
      </c>
      <c r="D116">
        <f t="shared" si="7"/>
        <v>-1249.1174108100529</v>
      </c>
      <c r="R116">
        <f t="shared" si="4"/>
        <v>0.114</v>
      </c>
      <c r="S116">
        <f t="shared" si="5"/>
        <v>-7.6471187099228706</v>
      </c>
    </row>
    <row r="117" spans="1:19" x14ac:dyDescent="0.3">
      <c r="A117">
        <v>0.115</v>
      </c>
      <c r="B117">
        <f>Uo*COS(2*PI()*Wn*Sheet2!A117) + (Vo/Wn - (Po*(w/Wn))/(K*(1-(w/Wn)^2)))*SIN(2*PI()*Wn*Sheet2!A117) +(Po*SIN(2*PI()*w*Sheet2!A117))/(K*(1-(w/Wn)^2))</f>
        <v>-9.7247356182520814</v>
      </c>
      <c r="C117">
        <f t="shared" si="6"/>
        <v>-7.9341260541234613</v>
      </c>
      <c r="D117">
        <f t="shared" si="7"/>
        <v>-1295.9985806036009</v>
      </c>
      <c r="R117">
        <f t="shared" si="4"/>
        <v>0.115</v>
      </c>
      <c r="S117">
        <f t="shared" si="5"/>
        <v>-7.9341260541234613</v>
      </c>
    </row>
    <row r="118" spans="1:19" x14ac:dyDescent="0.3">
      <c r="A118">
        <v>0.11600000000000001</v>
      </c>
      <c r="B118">
        <f>Uo*COS(2*PI()*Wn*Sheet2!A118) + (Vo/Wn - (Po*(w/Wn))/(K*(1-(w/Wn)^2)))*SIN(2*PI()*Wn*Sheet2!A118) +(Po*SIN(2*PI()*w*Sheet2!A118))/(K*(1-(w/Wn)^2))</f>
        <v>-10.039010767225808</v>
      </c>
      <c r="C118">
        <f t="shared" si="6"/>
        <v>-8.2180255281210997</v>
      </c>
      <c r="D118">
        <f t="shared" si="7"/>
        <v>-1342.3720958244521</v>
      </c>
      <c r="R118">
        <f t="shared" si="4"/>
        <v>0.11600000000000001</v>
      </c>
      <c r="S118">
        <f t="shared" si="5"/>
        <v>-8.2180255281210997</v>
      </c>
    </row>
    <row r="119" spans="1:19" x14ac:dyDescent="0.3">
      <c r="A119">
        <v>0.11700000000000001</v>
      </c>
      <c r="B119">
        <f>Uo*COS(2*PI()*Wn*Sheet2!A119) + (Vo/Wn - (Po*(w/Wn))/(K*(1-(w/Wn)^2)))*SIN(2*PI()*Wn*Sheet2!A119) +(Po*SIN(2*PI()*w*Sheet2!A119))/(K*(1-(w/Wn)^2))</f>
        <v>-10.350006364193611</v>
      </c>
      <c r="C119">
        <f t="shared" si="6"/>
        <v>-8.4987300834404671</v>
      </c>
      <c r="D119">
        <f t="shared" si="7"/>
        <v>-1388.2237375530076</v>
      </c>
      <c r="R119">
        <f t="shared" si="4"/>
        <v>0.11700000000000001</v>
      </c>
      <c r="S119">
        <f t="shared" si="5"/>
        <v>-8.4987300834404671</v>
      </c>
    </row>
    <row r="120" spans="1:19" x14ac:dyDescent="0.3">
      <c r="A120">
        <v>0.11799999999999999</v>
      </c>
      <c r="B120">
        <f>Uo*COS(2*PI()*Wn*Sheet2!A120) + (Vo/Wn - (Po*(w/Wn))/(K*(1-(w/Wn)^2)))*SIN(2*PI()*Wn*Sheet2!A120) +(Po*SIN(2*PI()*w*Sheet2!A120))/(K*(1-(w/Wn)^2))</f>
        <v>-10.657620812867028</v>
      </c>
      <c r="C120">
        <f t="shared" si="6"/>
        <v>-8.7761538715763425</v>
      </c>
      <c r="D120">
        <f t="shared" si="7"/>
        <v>-1433.5394828785952</v>
      </c>
      <c r="R120">
        <f t="shared" si="4"/>
        <v>0.11799999999999999</v>
      </c>
      <c r="S120">
        <f t="shared" si="5"/>
        <v>-8.7761538715763425</v>
      </c>
    </row>
    <row r="121" spans="1:19" x14ac:dyDescent="0.3">
      <c r="A121">
        <v>0.11899999999999999</v>
      </c>
      <c r="B121">
        <f>Uo*COS(2*PI()*Wn*Sheet2!A121) + (Vo/Wn - (Po*(w/Wn))/(K*(1-(w/Wn)^2)))*SIN(2*PI()*Wn*Sheet2!A121) +(Po*SIN(2*PI()*w*Sheet2!A121))/(K*(1-(w/Wn)^2))</f>
        <v>-10.961753621513811</v>
      </c>
      <c r="C121">
        <f t="shared" si="6"/>
        <v>-9.0502122698463943</v>
      </c>
      <c r="D121">
        <f t="shared" si="7"/>
        <v>-1478.3055091223921</v>
      </c>
      <c r="R121">
        <f t="shared" si="4"/>
        <v>0.11899999999999999</v>
      </c>
      <c r="S121">
        <f t="shared" si="5"/>
        <v>-9.0502122698463943</v>
      </c>
    </row>
    <row r="122" spans="1:19" x14ac:dyDescent="0.3">
      <c r="A122">
        <v>0.12</v>
      </c>
      <c r="B122">
        <f>Uo*COS(2*PI()*Wn*Sheet2!A122) + (Vo/Wn - (Po*(w/Wn))/(K*(1-(w/Wn)^2)))*SIN(2*PI()*Wn*Sheet2!A122) +(Po*SIN(2*PI()*w*Sheet2!A122))/(K*(1-(w/Wn)^2))</f>
        <v>-11.262305435786615</v>
      </c>
      <c r="C122">
        <f t="shared" si="6"/>
        <v>-9.3208219067971534</v>
      </c>
      <c r="D122">
        <f t="shared" si="7"/>
        <v>-1522.508197987358</v>
      </c>
      <c r="R122">
        <f t="shared" si="4"/>
        <v>0.12</v>
      </c>
      <c r="S122">
        <f t="shared" si="5"/>
        <v>-9.3208219067971534</v>
      </c>
    </row>
    <row r="123" spans="1:19" x14ac:dyDescent="0.3">
      <c r="A123">
        <v>0.121</v>
      </c>
      <c r="B123">
        <f>Uo*COS(2*PI()*Wn*Sheet2!A123) + (Vo/Wn - (Po*(w/Wn))/(K*(1-(w/Wn)^2)))*SIN(2*PI()*Wn*Sheet2!A123) +(Po*SIN(2*PI()*w*Sheet2!A123))/(K*(1-(w/Wn)^2))</f>
        <v>-11.559178071180199</v>
      </c>
      <c r="C123">
        <f t="shared" si="6"/>
        <v>-9.5879006871558072</v>
      </c>
      <c r="D123">
        <f t="shared" si="7"/>
        <v>-1566.1341396339828</v>
      </c>
      <c r="R123">
        <f t="shared" si="4"/>
        <v>0.121</v>
      </c>
      <c r="S123">
        <f t="shared" si="5"/>
        <v>-9.5879006871558072</v>
      </c>
    </row>
    <row r="124" spans="1:19" x14ac:dyDescent="0.3">
      <c r="A124">
        <v>0.122</v>
      </c>
      <c r="B124">
        <f>Uo*COS(2*PI()*Wn*Sheet2!A124) + (Vo/Wn - (Po*(w/Wn))/(K*(1-(w/Wn)^2)))*SIN(2*PI()*Wn*Sheet2!A124) +(Po*SIN(2*PI()*w*Sheet2!A124))/(K*(1-(w/Wn)^2))</f>
        <v>-11.852274545106376</v>
      </c>
      <c r="C124">
        <f t="shared" si="6"/>
        <v>-9.8513678163203444</v>
      </c>
      <c r="D124">
        <f t="shared" si="7"/>
        <v>-1609.1701366806253</v>
      </c>
      <c r="R124">
        <f t="shared" si="4"/>
        <v>0.122</v>
      </c>
      <c r="S124">
        <f t="shared" si="5"/>
        <v>-9.8513678163203444</v>
      </c>
    </row>
    <row r="125" spans="1:19" x14ac:dyDescent="0.3">
      <c r="A125">
        <v>0.123</v>
      </c>
      <c r="B125">
        <f>Uo*COS(2*PI()*Wn*Sheet2!A125) + (Vo/Wn - (Po*(w/Wn))/(K*(1-(w/Wn)^2)))*SIN(2*PI()*Wn*Sheet2!A125) +(Po*SIN(2*PI()*w*Sheet2!A125))/(K*(1-(w/Wn)^2))</f>
        <v>-12.141499108576404</v>
      </c>
      <c r="C125">
        <f t="shared" si="6"/>
        <v>-10.111143824381003</v>
      </c>
      <c r="D125">
        <f t="shared" si="7"/>
        <v>-1651.6032081272922</v>
      </c>
      <c r="R125">
        <f t="shared" si="4"/>
        <v>0.123</v>
      </c>
      <c r="S125">
        <f t="shared" si="5"/>
        <v>-10.111143824381003</v>
      </c>
    </row>
    <row r="126" spans="1:19" x14ac:dyDescent="0.3">
      <c r="A126">
        <v>0.124</v>
      </c>
      <c r="B126">
        <f>Uo*COS(2*PI()*Wn*Sheet2!A126) + (Vo/Wn - (Po*(w/Wn))/(K*(1-(w/Wn)^2)))*SIN(2*PI()*Wn*Sheet2!A126) +(Po*SIN(2*PI()*w*Sheet2!A126))/(K*(1-(w/Wn)^2))</f>
        <v>-12.426757277480316</v>
      </c>
      <c r="C126">
        <f t="shared" si="6"/>
        <v>-10.367150589665947</v>
      </c>
      <c r="D126">
        <f t="shared" si="7"/>
        <v>-1693.4205932017044</v>
      </c>
      <c r="R126">
        <f t="shared" si="4"/>
        <v>0.124</v>
      </c>
      <c r="S126">
        <f t="shared" si="5"/>
        <v>-10.367150589665947</v>
      </c>
    </row>
    <row r="127" spans="1:19" x14ac:dyDescent="0.3">
      <c r="A127">
        <v>0.125</v>
      </c>
      <c r="B127">
        <f>Uo*COS(2*PI()*Wn*Sheet2!A127) + (Vo/Wn - (Po*(w/Wn))/(K*(1-(w/Wn)^2)))*SIN(2*PI()*Wn*Sheet2!A127) +(Po*SIN(2*PI()*w*Sheet2!A127))/(K*(1-(w/Wn)^2))</f>
        <v>-12.707955863453073</v>
      </c>
      <c r="C127">
        <f t="shared" si="6"/>
        <v>-10.619311361804369</v>
      </c>
      <c r="D127">
        <f t="shared" si="7"/>
        <v>-1734.6097551265343</v>
      </c>
      <c r="R127">
        <f t="shared" si="4"/>
        <v>0.125</v>
      </c>
      <c r="S127">
        <f t="shared" si="5"/>
        <v>-10.619311361804369</v>
      </c>
    </row>
    <row r="128" spans="1:19" x14ac:dyDescent="0.3">
      <c r="A128">
        <v>0.126</v>
      </c>
      <c r="B128">
        <f>Uo*COS(2*PI()*Wn*Sheet2!A128) + (Vo/Wn - (Po*(w/Wn))/(K*(1-(w/Wn)^2)))*SIN(2*PI()*Wn*Sheet2!A128) +(Po*SIN(2*PI()*w*Sheet2!A128))/(K*(1-(w/Wn)^2))</f>
        <v>-12.985003004317404</v>
      </c>
      <c r="C128">
        <f t="shared" si="6"/>
        <v>-10.867550784300422</v>
      </c>
      <c r="D128">
        <f t="shared" si="7"/>
        <v>-1775.1583848067423</v>
      </c>
      <c r="R128">
        <f t="shared" si="4"/>
        <v>0.126</v>
      </c>
      <c r="S128">
        <f t="shared" si="5"/>
        <v>-10.867550784300422</v>
      </c>
    </row>
    <row r="129" spans="1:19" x14ac:dyDescent="0.3">
      <c r="A129">
        <v>0.127</v>
      </c>
      <c r="B129">
        <f>Uo*COS(2*PI()*Wn*Sheet2!A129) + (Vo/Wn - (Po*(w/Wn))/(K*(1-(w/Wn)^2)))*SIN(2*PI()*Wn*Sheet2!A129) +(Po*SIN(2*PI()*w*Sheet2!A129))/(K*(1-(w/Wn)^2))</f>
        <v>-13.25780819409343</v>
      </c>
      <c r="C129">
        <f t="shared" si="6"/>
        <v>-11.111794916611377</v>
      </c>
      <c r="D129">
        <f t="shared" si="7"/>
        <v>-1815.0544044359297</v>
      </c>
      <c r="R129">
        <f t="shared" ref="R129:R192" si="8">A129</f>
        <v>0.127</v>
      </c>
      <c r="S129">
        <f t="shared" ref="S129:S192" si="9">C129</f>
        <v>-11.111794916611377</v>
      </c>
    </row>
    <row r="130" spans="1:19" x14ac:dyDescent="0.3">
      <c r="A130">
        <v>0.128</v>
      </c>
      <c r="B130">
        <f>Uo*COS(2*PI()*Wn*Sheet2!A130) + (Vo/Wn - (Po*(w/Wn))/(K*(1-(w/Wn)^2)))*SIN(2*PI()*Wn*Sheet2!A130) +(Po*SIN(2*PI()*w*Sheet2!A130))/(K*(1-(w/Wn)^2))</f>
        <v>-13.526282312565211</v>
      </c>
      <c r="C130">
        <f t="shared" ref="C130:C193" si="10">EXP(-zeta*Wn*A130*2*PI())*($H$1*COS(wnD*2*PI()*A130) + $H$2*SIN(wnD*2*PI()*A130)) + $H$3*SIN(w*2*PI()*A130) + $H$4*COS(w*2*PI()*A130)</f>
        <v>-11.351971255723832</v>
      </c>
      <c r="D130">
        <f t="shared" ref="D130:D193" si="11">K*C130</f>
        <v>-1854.2859710207006</v>
      </c>
      <c r="R130">
        <f t="shared" si="8"/>
        <v>0.128</v>
      </c>
      <c r="S130">
        <f t="shared" si="9"/>
        <v>-11.351971255723832</v>
      </c>
    </row>
    <row r="131" spans="1:19" x14ac:dyDescent="0.3">
      <c r="A131">
        <v>0.129</v>
      </c>
      <c r="B131">
        <f>Uo*COS(2*PI()*Wn*Sheet2!A131) + (Vo/Wn - (Po*(w/Wn))/(K*(1-(w/Wn)^2)))*SIN(2*PI()*Wn*Sheet2!A131) +(Po*SIN(2*PI()*w*Sheet2!A131))/(K*(1-(w/Wn)^2))</f>
        <v>-13.790337654394627</v>
      </c>
      <c r="C131">
        <f t="shared" si="10"/>
        <v>-11.588008757221715</v>
      </c>
      <c r="D131">
        <f t="shared" si="11"/>
        <v>-1892.8414798220126</v>
      </c>
      <c r="R131">
        <f t="shared" si="8"/>
        <v>0.129</v>
      </c>
      <c r="S131">
        <f t="shared" si="9"/>
        <v>-11.588008757221715</v>
      </c>
    </row>
    <row r="132" spans="1:19" x14ac:dyDescent="0.3">
      <c r="A132">
        <v>0.13</v>
      </c>
      <c r="B132">
        <f>Uo*COS(2*PI()*Wn*Sheet2!A132) + (Vo/Wn - (Po*(w/Wn))/(K*(1-(w/Wn)^2)))*SIN(2*PI()*Wn*Sheet2!A132) +(Po*SIN(2*PI()*w*Sheet2!A132))/(K*(1-(w/Wn)^2))</f>
        <v>-14.049887957773016</v>
      </c>
      <c r="C132">
        <f t="shared" si="10"/>
        <v>-11.81983785584022</v>
      </c>
      <c r="D132">
        <f t="shared" si="11"/>
        <v>-1930.7095677125556</v>
      </c>
      <c r="R132">
        <f t="shared" si="8"/>
        <v>0.13</v>
      </c>
      <c r="S132">
        <f t="shared" si="9"/>
        <v>-11.81983785584022</v>
      </c>
    </row>
    <row r="133" spans="1:19" x14ac:dyDescent="0.3">
      <c r="A133">
        <v>0.13100000000000001</v>
      </c>
      <c r="B133">
        <f>Uo*COS(2*PI()*Wn*Sheet2!A133) + (Vo/Wn - (Po*(w/Wn))/(K*(1-(w/Wn)^2)))*SIN(2*PI()*Wn*Sheet2!A133) +(Po*SIN(2*PI()*w*Sheet2!A133))/(K*(1-(w/Wn)^2))</f>
        <v>-14.304848432601247</v>
      </c>
      <c r="C133">
        <f t="shared" si="10"/>
        <v>-12.047390485499797</v>
      </c>
      <c r="D133">
        <f t="shared" si="11"/>
        <v>-1967.8791164492009</v>
      </c>
      <c r="R133">
        <f t="shared" si="8"/>
        <v>0.13100000000000001</v>
      </c>
      <c r="S133">
        <f t="shared" si="9"/>
        <v>-12.047390485499797</v>
      </c>
    </row>
    <row r="134" spans="1:19" x14ac:dyDescent="0.3">
      <c r="A134">
        <v>0.13200000000000001</v>
      </c>
      <c r="B134">
        <f>Uo*COS(2*PI()*Wn*Sheet2!A134) + (Vo/Wn - (Po*(w/Wn))/(K*(1-(w/Wn)^2)))*SIN(2*PI()*Wn*Sheet2!A134) +(Po*SIN(2*PI()*w*Sheet2!A134))/(K*(1-(w/Wn)^2))</f>
        <v>-14.555135788189029</v>
      </c>
      <c r="C134">
        <f t="shared" si="10"/>
        <v>-12.270600098814729</v>
      </c>
      <c r="D134">
        <f t="shared" si="11"/>
        <v>-2004.3392558596263</v>
      </c>
      <c r="R134">
        <f t="shared" si="8"/>
        <v>0.13200000000000001</v>
      </c>
      <c r="S134">
        <f t="shared" si="9"/>
        <v>-12.270600098814729</v>
      </c>
    </row>
    <row r="135" spans="1:19" x14ac:dyDescent="0.3">
      <c r="A135">
        <v>0.13300000000000001</v>
      </c>
      <c r="B135">
        <f>Uo*COS(2*PI()*Wn*Sheet2!A135) + (Vo/Wn - (Po*(w/Wn))/(K*(1-(w/Wn)^2)))*SIN(2*PI()*Wn*Sheet2!A135) +(Po*SIN(2*PI()*w*Sheet2!A135))/(K*(1-(w/Wn)^2))</f>
        <v>-14.800668260464372</v>
      </c>
      <c r="C135">
        <f t="shared" si="10"/>
        <v>-12.489401686070732</v>
      </c>
      <c r="D135">
        <f t="shared" si="11"/>
        <v>-2040.0793669422101</v>
      </c>
      <c r="R135">
        <f t="shared" si="8"/>
        <v>0.13300000000000001</v>
      </c>
      <c r="S135">
        <f t="shared" si="9"/>
        <v>-12.489401686070732</v>
      </c>
    </row>
    <row r="136" spans="1:19" x14ac:dyDescent="0.3">
      <c r="A136">
        <v>0.13400000000000001</v>
      </c>
      <c r="B136">
        <f>Uo*COS(2*PI()*Wn*Sheet2!A136) + (Vo/Wn - (Po*(w/Wn))/(K*(1-(w/Wn)^2)))*SIN(2*PI()*Wn*Sheet2!A136) +(Po*SIN(2*PI()*w*Sheet2!A136))/(K*(1-(w/Wn)^2))</f>
        <v>-15.041365638684344</v>
      </c>
      <c r="C136">
        <f t="shared" si="10"/>
        <v>-12.70373179366643</v>
      </c>
      <c r="D136">
        <f t="shared" si="11"/>
        <v>-2075.0890848783501</v>
      </c>
      <c r="R136">
        <f t="shared" si="8"/>
        <v>0.13400000000000001</v>
      </c>
      <c r="S136">
        <f t="shared" si="9"/>
        <v>-12.70373179366643</v>
      </c>
    </row>
    <row r="137" spans="1:19" x14ac:dyDescent="0.3">
      <c r="A137">
        <v>0.13500000000000001</v>
      </c>
      <c r="B137">
        <f>Uo*COS(2*PI()*Wn*Sheet2!A137) + (Vo/Wn - (Po*(w/Wn))/(K*(1-(w/Wn)^2)))*SIN(2*PI()*Wn*Sheet2!A137) +(Po*SIN(2*PI()*w*Sheet2!A137))/(K*(1-(w/Wn)^2))</f>
        <v>-15.277149291638374</v>
      </c>
      <c r="C137">
        <f t="shared" si="10"/>
        <v>-12.913528542013662</v>
      </c>
      <c r="D137">
        <f t="shared" si="11"/>
        <v>-2109.3583019563866</v>
      </c>
      <c r="R137">
        <f t="shared" si="8"/>
        <v>0.13500000000000001</v>
      </c>
      <c r="S137">
        <f t="shared" si="9"/>
        <v>-12.913528542013662</v>
      </c>
    </row>
    <row r="138" spans="1:19" x14ac:dyDescent="0.3">
      <c r="A138">
        <v>0.13600000000000001</v>
      </c>
      <c r="B138">
        <f>Uo*COS(2*PI()*Wn*Sheet2!A138) + (Vo/Wn - (Po*(w/Wn))/(K*(1-(w/Wn)^2)))*SIN(2*PI()*Wn*Sheet2!A138) +(Po*SIN(2*PI()*w*Sheet2!A138))/(K*(1-(w/Wn)^2))</f>
        <v>-15.507942193335563</v>
      </c>
      <c r="C138">
        <f t="shared" si="10"/>
        <v>-13.118731642891694</v>
      </c>
      <c r="D138">
        <f t="shared" si="11"/>
        <v>-2142.8771704063247</v>
      </c>
      <c r="R138">
        <f t="shared" si="8"/>
        <v>0.13600000000000001</v>
      </c>
      <c r="S138">
        <f t="shared" si="9"/>
        <v>-13.118731642891694</v>
      </c>
    </row>
    <row r="139" spans="1:19" x14ac:dyDescent="0.3">
      <c r="A139">
        <v>0.13700000000000001</v>
      </c>
      <c r="B139">
        <f>Uo*COS(2*PI()*Wn*Sheet2!A139) + (Vo/Wn - (Po*(w/Wn))/(K*(1-(w/Wn)^2)))*SIN(2*PI()*Wn*Sheet2!A139) +(Po*SIN(2*PI()*w*Sheet2!A139))/(K*(1-(w/Wn)^2))</f>
        <v>-15.733668948167587</v>
      </c>
      <c r="C139">
        <f t="shared" si="10"/>
        <v>-13.319282416250699</v>
      </c>
      <c r="D139">
        <f t="shared" si="11"/>
        <v>-2175.6361051445929</v>
      </c>
      <c r="R139">
        <f t="shared" si="8"/>
        <v>0.13700000000000001</v>
      </c>
      <c r="S139">
        <f t="shared" si="9"/>
        <v>-13.319282416250699</v>
      </c>
    </row>
    <row r="140" spans="1:19" x14ac:dyDescent="0.3">
      <c r="A140">
        <v>0.13800000000000001</v>
      </c>
      <c r="B140">
        <f>Uo*COS(2*PI()*Wn*Sheet2!A140) + (Vo/Wn - (Po*(w/Wn))/(K*(1-(w/Wn)^2)))*SIN(2*PI()*Wn*Sheet2!A140) +(Po*SIN(2*PI()*w*Sheet2!A140))/(K*(1-(w/Wn)^2))</f>
        <v>-15.954255815539018</v>
      </c>
      <c r="C140">
        <f t="shared" si="10"/>
        <v>-13.515123806460039</v>
      </c>
      <c r="D140">
        <f t="shared" si="11"/>
        <v>-2207.6257864281201</v>
      </c>
      <c r="R140">
        <f t="shared" si="8"/>
        <v>0.13800000000000001</v>
      </c>
      <c r="S140">
        <f t="shared" si="9"/>
        <v>-13.515123806460039</v>
      </c>
    </row>
    <row r="141" spans="1:19" x14ac:dyDescent="0.3">
      <c r="A141">
        <v>0.13900000000000001</v>
      </c>
      <c r="B141">
        <f>Uo*COS(2*PI()*Wn*Sheet2!A141) + (Vo/Wn - (Po*(w/Wn))/(K*(1-(w/Wn)^2)))*SIN(2*PI()*Wn*Sheet2!A141) +(Po*SIN(2*PI()*w*Sheet2!A141))/(K*(1-(w/Wn)^2))</f>
        <v>-16.169630733956918</v>
      </c>
      <c r="C141">
        <f t="shared" si="10"/>
        <v>-13.706200397996962</v>
      </c>
      <c r="D141">
        <f t="shared" si="11"/>
        <v>-2238.8371624170018</v>
      </c>
      <c r="R141">
        <f t="shared" si="8"/>
        <v>0.13900000000000001</v>
      </c>
      <c r="S141">
        <f t="shared" si="9"/>
        <v>-13.706200397996962</v>
      </c>
    </row>
    <row r="142" spans="1:19" x14ac:dyDescent="0.3">
      <c r="A142">
        <v>0.14000000000000001</v>
      </c>
      <c r="B142">
        <f>Uo*COS(2*PI()*Wn*Sheet2!A142) + (Vo/Wn - (Po*(w/Wn))/(K*(1-(w/Wn)^2)))*SIN(2*PI()*Wn*Sheet2!A142) +(Po*SIN(2*PI()*w*Sheet2!A142))/(K*(1-(w/Wn)^2))</f>
        <v>-16.379723344571993</v>
      </c>
      <c r="C142">
        <f t="shared" si="10"/>
        <v>-13.892458430571729</v>
      </c>
      <c r="D142">
        <f t="shared" si="11"/>
        <v>-2269.2614516451094</v>
      </c>
      <c r="R142">
        <f t="shared" si="8"/>
        <v>0.14000000000000001</v>
      </c>
      <c r="S142">
        <f t="shared" si="9"/>
        <v>-13.892458430571729</v>
      </c>
    </row>
    <row r="143" spans="1:19" x14ac:dyDescent="0.3">
      <c r="A143">
        <v>0.14099999999999999</v>
      </c>
      <c r="B143">
        <f>Uo*COS(2*PI()*Wn*Sheet2!A143) + (Vo/Wn - (Po*(w/Wn))/(K*(1-(w/Wn)^2)))*SIN(2*PI()*Wn*Sheet2!A143) +(Po*SIN(2*PI()*w*Sheet2!A143))/(K*(1-(w/Wn)^2))</f>
        <v>-16.584465014163438</v>
      </c>
      <c r="C143">
        <f t="shared" si="10"/>
        <v>-14.073845813685113</v>
      </c>
      <c r="D143">
        <f t="shared" si="11"/>
        <v>-2298.8901453979861</v>
      </c>
      <c r="R143">
        <f t="shared" si="8"/>
        <v>0.14099999999999999</v>
      </c>
      <c r="S143">
        <f t="shared" si="9"/>
        <v>-14.073845813685113</v>
      </c>
    </row>
    <row r="144" spans="1:19" x14ac:dyDescent="0.3">
      <c r="A144">
        <v>0.14199999999999999</v>
      </c>
      <c r="B144">
        <f>Uo*COS(2*PI()*Wn*Sheet2!A144) + (Vo/Wn - (Po*(w/Wn))/(K*(1-(w/Wn)^2)))*SIN(2*PI()*Wn*Sheet2!A144) +(Po*SIN(2*PI()*w*Sheet2!A144))/(K*(1-(w/Wn)^2))</f>
        <v>-16.783788857560126</v>
      </c>
      <c r="C144">
        <f t="shared" si="10"/>
        <v>-14.250312140614678</v>
      </c>
      <c r="D144">
        <f t="shared" si="11"/>
        <v>-2327.7150099974324</v>
      </c>
      <c r="R144">
        <f t="shared" si="8"/>
        <v>0.14199999999999999</v>
      </c>
      <c r="S144">
        <f t="shared" si="9"/>
        <v>-14.250312140614678</v>
      </c>
    </row>
    <row r="145" spans="1:19" x14ac:dyDescent="0.3">
      <c r="A145">
        <v>0.14299999999999999</v>
      </c>
      <c r="B145">
        <f>Uo*COS(2*PI()*Wn*Sheet2!A145) + (Vo/Wn - (Po*(w/Wn))/(K*(1-(w/Wn)^2)))*SIN(2*PI()*Wn*Sheet2!A145) +(Po*SIN(2*PI()*w*Sheet2!A145))/(K*(1-(w/Wn)^2))</f>
        <v>-16.977629759490682</v>
      </c>
      <c r="C145">
        <f t="shared" si="10"/>
        <v>-14.421808701826212</v>
      </c>
      <c r="D145">
        <f t="shared" si="11"/>
        <v>-2355.7280889921926</v>
      </c>
      <c r="R145">
        <f t="shared" si="8"/>
        <v>0.14299999999999999</v>
      </c>
      <c r="S145">
        <f t="shared" si="9"/>
        <v>-14.421808701826212</v>
      </c>
    </row>
    <row r="146" spans="1:19" x14ac:dyDescent="0.3">
      <c r="A146">
        <v>0.14399999999999999</v>
      </c>
      <c r="B146">
        <f>Uo*COS(2*PI()*Wn*Sheet2!A146) + (Vo/Wn - (Po*(w/Wn))/(K*(1-(w/Wn)^2)))*SIN(2*PI()*Wn*Sheet2!A146) +(Po*SIN(2*PI()*w*Sheet2!A146))/(K*(1-(w/Wn)^2))</f>
        <v>-17.165924395855399</v>
      </c>
      <c r="C146">
        <f t="shared" si="10"/>
        <v>-14.588288497806948</v>
      </c>
      <c r="D146">
        <f t="shared" si="11"/>
        <v>-2382.9217052541981</v>
      </c>
      <c r="R146">
        <f t="shared" si="8"/>
        <v>0.14399999999999999</v>
      </c>
      <c r="S146">
        <f t="shared" si="9"/>
        <v>-14.588288497806948</v>
      </c>
    </row>
    <row r="147" spans="1:19" x14ac:dyDescent="0.3">
      <c r="A147">
        <v>0.14499999999999999</v>
      </c>
      <c r="B147">
        <f>Uo*COS(2*PI()*Wn*Sheet2!A147) + (Vo/Wn - (Po*(w/Wn))/(K*(1-(w/Wn)^2)))*SIN(2*PI()*Wn*Sheet2!A147) +(Po*SIN(2*PI()*w*Sheet2!A147))/(K*(1-(w/Wn)^2))</f>
        <v>-17.348611254413008</v>
      </c>
      <c r="C147">
        <f t="shared" si="10"/>
        <v>-14.749706251317615</v>
      </c>
      <c r="D147">
        <f t="shared" si="11"/>
        <v>-2409.2884629798741</v>
      </c>
      <c r="R147">
        <f t="shared" si="8"/>
        <v>0.14499999999999999</v>
      </c>
      <c r="S147">
        <f t="shared" si="9"/>
        <v>-14.749706251317615</v>
      </c>
    </row>
    <row r="148" spans="1:19" x14ac:dyDescent="0.3">
      <c r="A148">
        <v>0.14599999999999999</v>
      </c>
      <c r="B148">
        <f>Uo*COS(2*PI()*Wn*Sheet2!A148) + (Vo/Wn - (Po*(w/Wn))/(K*(1-(w/Wn)^2)))*SIN(2*PI()*Wn*Sheet2!A148) +(Po*SIN(2*PI()*w*Sheet2!A148))/(K*(1-(w/Wn)^2))</f>
        <v>-17.525630654875556</v>
      </c>
      <c r="C148">
        <f t="shared" si="10"/>
        <v>-14.906018419060105</v>
      </c>
      <c r="D148">
        <f t="shared" si="11"/>
        <v>-2434.8212495959947</v>
      </c>
      <c r="R148">
        <f t="shared" si="8"/>
        <v>0.14599999999999999</v>
      </c>
      <c r="S148">
        <f t="shared" si="9"/>
        <v>-14.906018419060105</v>
      </c>
    </row>
    <row r="149" spans="1:19" x14ac:dyDescent="0.3">
      <c r="A149">
        <v>0.14699999999999999</v>
      </c>
      <c r="B149">
        <f>Uo*COS(2*PI()*Wn*Sheet2!A149) + (Vo/Wn - (Po*(w/Wn))/(K*(1-(w/Wn)^2)))*SIN(2*PI()*Wn*Sheet2!A149) +(Po*SIN(2*PI()*w*Sheet2!A149))/(K*(1-(w/Wn)^2))</f>
        <v>-17.696924768404777</v>
      </c>
      <c r="C149">
        <f t="shared" si="10"/>
        <v>-15.057183202758226</v>
      </c>
      <c r="D149">
        <f t="shared" si="11"/>
        <v>-2459.5132375696671</v>
      </c>
      <c r="R149">
        <f t="shared" si="8"/>
        <v>0.14699999999999999</v>
      </c>
      <c r="S149">
        <f t="shared" si="9"/>
        <v>-15.057183202758226</v>
      </c>
    </row>
    <row r="150" spans="1:19" x14ac:dyDescent="0.3">
      <c r="A150">
        <v>0.14799999999999999</v>
      </c>
      <c r="B150">
        <f>Uo*COS(2*PI()*Wn*Sheet2!A150) + (Vo/Wn - (Po*(w/Wn))/(K*(1-(w/Wn)^2)))*SIN(2*PI()*Wn*Sheet2!A150) +(Po*SIN(2*PI()*w*Sheet2!A150))/(K*(1-(w/Wn)^2))</f>
        <v>-17.862437636503717</v>
      </c>
      <c r="C150">
        <f t="shared" si="10"/>
        <v>-15.203160559648843</v>
      </c>
      <c r="D150">
        <f t="shared" si="11"/>
        <v>-2483.3578861220026</v>
      </c>
      <c r="R150">
        <f t="shared" si="8"/>
        <v>0.14799999999999999</v>
      </c>
      <c r="S150">
        <f t="shared" si="9"/>
        <v>-15.203160559648843</v>
      </c>
    </row>
    <row r="151" spans="1:19" x14ac:dyDescent="0.3">
      <c r="A151">
        <v>0.14899999999999999</v>
      </c>
      <c r="B151">
        <f>Uo*COS(2*PI()*Wn*Sheet2!A151) + (Vo/Wn - (Po*(w/Wn))/(K*(1-(w/Wn)^2)))*SIN(2*PI()*Wn*Sheet2!A151) +(Po*SIN(2*PI()*w*Sheet2!A151))/(K*(1-(w/Wn)^2))</f>
        <v>-18.022115189297232</v>
      </c>
      <c r="C151">
        <f t="shared" si="10"/>
        <v>-15.343912212381118</v>
      </c>
      <c r="D151">
        <f t="shared" si="11"/>
        <v>-2506.3489428451107</v>
      </c>
      <c r="R151">
        <f t="shared" si="8"/>
        <v>0.14899999999999999</v>
      </c>
      <c r="S151">
        <f t="shared" si="9"/>
        <v>-15.343912212381118</v>
      </c>
    </row>
    <row r="152" spans="1:19" x14ac:dyDescent="0.3">
      <c r="A152">
        <v>0.15</v>
      </c>
      <c r="B152">
        <f>Uo*COS(2*PI()*Wn*Sheet2!A152) + (Vo/Wn - (Po*(w/Wn))/(K*(1-(w/Wn)^2)))*SIN(2*PI()*Wn*Sheet2!A152) +(Po*SIN(2*PI()*w*Sheet2!A152))/(K*(1-(w/Wn)^2))</f>
        <v>-18.175905263195638</v>
      </c>
      <c r="C152">
        <f t="shared" si="10"/>
        <v>-15.479401658321677</v>
      </c>
      <c r="D152">
        <f t="shared" si="11"/>
        <v>-2528.4804452220451</v>
      </c>
      <c r="R152">
        <f t="shared" si="8"/>
        <v>0.15</v>
      </c>
      <c r="S152">
        <f t="shared" si="9"/>
        <v>-15.479401658321677</v>
      </c>
    </row>
    <row r="153" spans="1:19" x14ac:dyDescent="0.3">
      <c r="A153">
        <v>0.151</v>
      </c>
      <c r="B153">
        <f>Uo*COS(2*PI()*Wn*Sheet2!A153) + (Vo/Wn - (Po*(w/Wn))/(K*(1-(w/Wn)^2)))*SIN(2*PI()*Wn*Sheet2!A153) +(Po*SIN(2*PI()*w*Sheet2!A153))/(K*(1-(w/Wn)^2))</f>
        <v>-18.323757617935524</v>
      </c>
      <c r="C153">
        <f t="shared" si="10"/>
        <v>-15.609594178263725</v>
      </c>
      <c r="D153">
        <f t="shared" si="11"/>
        <v>-2549.7467220493977</v>
      </c>
      <c r="R153">
        <f t="shared" si="8"/>
        <v>0.151</v>
      </c>
      <c r="S153">
        <f t="shared" si="9"/>
        <v>-15.609594178263725</v>
      </c>
    </row>
    <row r="154" spans="1:19" x14ac:dyDescent="0.3">
      <c r="A154">
        <v>0.152</v>
      </c>
      <c r="B154">
        <f>Uo*COS(2*PI()*Wn*Sheet2!A154) + (Vo/Wn - (Po*(w/Wn))/(K*(1-(w/Wn)^2)))*SIN(2*PI()*Wn*Sheet2!A154) +(Po*SIN(2*PI()*w*Sheet2!A154))/(K*(1-(w/Wn)^2))</f>
        <v>-18.465623952992281</v>
      </c>
      <c r="C154">
        <f t="shared" si="10"/>
        <v>-15.734456844538339</v>
      </c>
      <c r="D154">
        <f t="shared" si="11"/>
        <v>-2570.1423947622329</v>
      </c>
      <c r="R154">
        <f t="shared" si="8"/>
        <v>0.152</v>
      </c>
      <c r="S154">
        <f t="shared" si="9"/>
        <v>-15.734456844538339</v>
      </c>
    </row>
    <row r="155" spans="1:19" x14ac:dyDescent="0.3">
      <c r="A155">
        <v>0.153</v>
      </c>
      <c r="B155">
        <f>Uo*COS(2*PI()*Wn*Sheet2!A155) + (Vo/Wn - (Po*(w/Wn))/(K*(1-(w/Wn)^2)))*SIN(2*PI()*Wn*Sheet2!A155) +(Po*SIN(2*PI()*w*Sheet2!A155))/(K*(1-(w/Wn)^2))</f>
        <v>-18.601457923358975</v>
      </c>
      <c r="C155">
        <f t="shared" si="10"/>
        <v>-15.853958528526395</v>
      </c>
      <c r="D155">
        <f t="shared" si="11"/>
        <v>-2589.662378661124</v>
      </c>
      <c r="R155">
        <f t="shared" si="8"/>
        <v>0.153</v>
      </c>
      <c r="S155">
        <f t="shared" si="9"/>
        <v>-15.853958528526395</v>
      </c>
    </row>
    <row r="156" spans="1:19" x14ac:dyDescent="0.3">
      <c r="A156">
        <v>0.154</v>
      </c>
      <c r="B156">
        <f>Uo*COS(2*PI()*Wn*Sheet2!A156) + (Vo/Wn - (Po*(w/Wn))/(K*(1-(w/Wn)^2)))*SIN(2*PI()*Wn*Sheet2!A156) +(Po*SIN(2*PI()*w*Sheet2!A156))/(K*(1-(w/Wn)^2))</f>
        <v>-18.731215154686339</v>
      </c>
      <c r="C156">
        <f t="shared" si="10"/>
        <v>-15.968069907569729</v>
      </c>
      <c r="D156">
        <f t="shared" si="11"/>
        <v>-2608.3018840410541</v>
      </c>
      <c r="R156">
        <f t="shared" si="8"/>
        <v>0.154</v>
      </c>
      <c r="S156">
        <f t="shared" si="9"/>
        <v>-15.968069907569729</v>
      </c>
    </row>
    <row r="157" spans="1:19" x14ac:dyDescent="0.3">
      <c r="A157">
        <v>0.155</v>
      </c>
      <c r="B157">
        <f>Uo*COS(2*PI()*Wn*Sheet2!A157) + (Vo/Wn - (Po*(w/Wn))/(K*(1-(w/Wn)^2)))*SIN(2*PI()*Wn*Sheet2!A157) +(Po*SIN(2*PI()*w*Sheet2!A157))/(K*(1-(w/Wn)^2))</f>
        <v>-18.854853257779055</v>
      </c>
      <c r="C157">
        <f t="shared" si="10"/>
        <v>-16.076763471280394</v>
      </c>
      <c r="D157">
        <f t="shared" si="11"/>
        <v>-2626.0564172220033</v>
      </c>
      <c r="R157">
        <f t="shared" si="8"/>
        <v>0.155</v>
      </c>
      <c r="S157">
        <f t="shared" si="9"/>
        <v>-16.076763471280394</v>
      </c>
    </row>
    <row r="158" spans="1:19" x14ac:dyDescent="0.3">
      <c r="A158">
        <v>0.156</v>
      </c>
      <c r="B158">
        <f>Uo*COS(2*PI()*Wn*Sheet2!A158) + (Vo/Wn - (Po*(w/Wn))/(K*(1-(w/Wn)^2)))*SIN(2*PI()*Wn*Sheet2!A158) +(Po*SIN(2*PI()*w*Sheet2!A158))/(K*(1-(w/Wn)^2))</f>
        <v>-18.972331842443463</v>
      </c>
      <c r="C158">
        <f t="shared" si="10"/>
        <v>-16.180013527247024</v>
      </c>
      <c r="D158">
        <f t="shared" si="11"/>
        <v>-2642.9217814810513</v>
      </c>
      <c r="R158">
        <f t="shared" si="8"/>
        <v>0.156</v>
      </c>
      <c r="S158">
        <f t="shared" si="9"/>
        <v>-16.180013527247024</v>
      </c>
    </row>
    <row r="159" spans="1:19" x14ac:dyDescent="0.3">
      <c r="A159">
        <v>0.157</v>
      </c>
      <c r="B159">
        <f>Uo*COS(2*PI()*Wn*Sheet2!A159) + (Vo/Wn - (Po*(w/Wn))/(K*(1-(w/Wn)^2)))*SIN(2*PI()*Wn*Sheet2!A159) +(Po*SIN(2*PI()*w*Sheet2!A159))/(K*(1-(w/Wn)^2))</f>
        <v>-19.083612530682281</v>
      </c>
      <c r="C159">
        <f t="shared" si="10"/>
        <v>-16.27779620613752</v>
      </c>
      <c r="D159">
        <f t="shared" si="11"/>
        <v>-2658.894077885876</v>
      </c>
      <c r="R159">
        <f t="shared" si="8"/>
        <v>0.157</v>
      </c>
      <c r="S159">
        <f t="shared" si="9"/>
        <v>-16.27779620613752</v>
      </c>
    </row>
    <row r="160" spans="1:19" x14ac:dyDescent="0.3">
      <c r="A160">
        <v>0.158</v>
      </c>
      <c r="B160">
        <f>Uo*COS(2*PI()*Wn*Sheet2!A160) + (Vo/Wn - (Po*(w/Wn))/(K*(1-(w/Wn)^2)))*SIN(2*PI()*Wn*Sheet2!A160) +(Po*SIN(2*PI()*w*Sheet2!A160))/(K*(1-(w/Wn)^2))</f>
        <v>-19.188658969231934</v>
      </c>
      <c r="C160">
        <f t="shared" si="10"/>
        <v>-16.370089466197495</v>
      </c>
      <c r="D160">
        <f t="shared" si="11"/>
        <v>-2673.9697060295507</v>
      </c>
      <c r="R160">
        <f t="shared" si="8"/>
        <v>0.158</v>
      </c>
      <c r="S160">
        <f t="shared" si="9"/>
        <v>-16.370089466197495</v>
      </c>
    </row>
    <row r="161" spans="1:19" x14ac:dyDescent="0.3">
      <c r="A161">
        <v>0.159</v>
      </c>
      <c r="B161">
        <f>Uo*COS(2*PI()*Wn*Sheet2!A161) + (Vo/Wn - (Po*(w/Wn))/(K*(1-(w/Wn)^2)))*SIN(2*PI()*Wn*Sheet2!A161) +(Po*SIN(2*PI()*w*Sheet2!A161))/(K*(1-(w/Wn)^2))</f>
        <v>-19.287436841438506</v>
      </c>
      <c r="C161">
        <f t="shared" si="10"/>
        <v>-16.456873097144118</v>
      </c>
      <c r="D161">
        <f t="shared" si="11"/>
        <v>-2688.1453646665846</v>
      </c>
      <c r="R161">
        <f t="shared" si="8"/>
        <v>0.159</v>
      </c>
      <c r="S161">
        <f t="shared" si="9"/>
        <v>-16.456873097144118</v>
      </c>
    </row>
    <row r="162" spans="1:19" x14ac:dyDescent="0.3">
      <c r="A162">
        <v>0.16</v>
      </c>
      <c r="B162">
        <f>Uo*COS(2*PI()*Wn*Sheet2!A162) + (Vo/Wn - (Po*(w/Wn))/(K*(1-(w/Wn)^2)))*SIN(2*PI()*Wn*Sheet2!A162) +(Po*SIN(2*PI()*w*Sheet2!A162))/(K*(1-(w/Wn)^2))</f>
        <v>-19.379913878468301</v>
      </c>
      <c r="C162">
        <f t="shared" si="10"/>
        <v>-16.538128723455134</v>
      </c>
      <c r="D162">
        <f t="shared" si="11"/>
        <v>-2701.4180522501656</v>
      </c>
      <c r="R162">
        <f t="shared" si="8"/>
        <v>0.16</v>
      </c>
      <c r="S162">
        <f t="shared" si="9"/>
        <v>-16.538128723455134</v>
      </c>
    </row>
    <row r="163" spans="1:19" x14ac:dyDescent="0.3">
      <c r="A163">
        <v>0.161</v>
      </c>
      <c r="B163">
        <f>Uo*COS(2*PI()*Wn*Sheet2!A163) + (Vo/Wn - (Po*(w/Wn))/(K*(1-(w/Wn)^2)))*SIN(2*PI()*Wn*Sheet2!A163) +(Po*SIN(2*PI()*w*Sheet2!A163))/(K*(1-(w/Wn)^2))</f>
        <v>-19.466059869849449</v>
      </c>
      <c r="C163">
        <f t="shared" si="10"/>
        <v>-16.613839807053132</v>
      </c>
      <c r="D163">
        <f t="shared" si="11"/>
        <v>-2713.7850673706239</v>
      </c>
      <c r="R163">
        <f t="shared" si="8"/>
        <v>0.161</v>
      </c>
      <c r="S163">
        <f t="shared" si="9"/>
        <v>-16.613839807053132</v>
      </c>
    </row>
    <row r="164" spans="1:19" x14ac:dyDescent="0.3">
      <c r="A164">
        <v>0.16200000000000001</v>
      </c>
      <c r="B164">
        <f>Uo*COS(2*PI()*Wn*Sheet2!A164) + (Vo/Wn - (Po*(w/Wn))/(K*(1-(w/Wn)^2)))*SIN(2*PI()*Wn*Sheet2!A164) +(Po*SIN(2*PI()*w*Sheet2!A164))/(K*(1-(w/Wn)^2))</f>
        <v>-19.545846673341117</v>
      </c>
      <c r="C164">
        <f t="shared" si="10"/>
        <v>-16.683991649385227</v>
      </c>
      <c r="D164">
        <f t="shared" si="11"/>
        <v>-2725.2440090951345</v>
      </c>
      <c r="R164">
        <f t="shared" si="8"/>
        <v>0.16200000000000001</v>
      </c>
      <c r="S164">
        <f t="shared" si="9"/>
        <v>-16.683991649385227</v>
      </c>
    </row>
    <row r="165" spans="1:19" x14ac:dyDescent="0.3">
      <c r="A165">
        <v>0.16300000000000001</v>
      </c>
      <c r="B165">
        <f>Uo*COS(2*PI()*Wn*Sheet2!A165) + (Vo/Wn - (Po*(w/Wn))/(K*(1-(w/Wn)^2)))*SIN(2*PI()*Wn*Sheet2!A165) +(Po*SIN(2*PI()*w*Sheet2!A165))/(K*(1-(w/Wn)^2))</f>
        <v>-19.619248224127006</v>
      </c>
      <c r="C165">
        <f t="shared" si="10"/>
        <v>-16.748571392898615</v>
      </c>
      <c r="D165">
        <f t="shared" si="11"/>
        <v>-2735.7927772087442</v>
      </c>
      <c r="R165">
        <f t="shared" si="8"/>
        <v>0.16300000000000001</v>
      </c>
      <c r="S165">
        <f t="shared" si="9"/>
        <v>-16.748571392898615</v>
      </c>
    </row>
    <row r="166" spans="1:19" x14ac:dyDescent="0.3">
      <c r="A166">
        <v>0.16400000000000001</v>
      </c>
      <c r="B166">
        <f>Uo*COS(2*PI()*Wn*Sheet2!A166) + (Vo/Wn - (Po*(w/Wn))/(K*(1-(w/Wn)^2)))*SIN(2*PI()*Wn*Sheet2!A166) +(Po*SIN(2*PI()*w*Sheet2!A166))/(K*(1-(w/Wn)^2))</f>
        <v>-19.686240543330239</v>
      </c>
      <c r="C166">
        <f t="shared" si="10"/>
        <v>-16.807568021912548</v>
      </c>
      <c r="D166">
        <f t="shared" si="11"/>
        <v>-2745.4295723568016</v>
      </c>
      <c r="R166">
        <f t="shared" si="8"/>
        <v>0.16400000000000001</v>
      </c>
      <c r="S166">
        <f t="shared" si="9"/>
        <v>-16.807568021912548</v>
      </c>
    </row>
    <row r="167" spans="1:19" x14ac:dyDescent="0.3">
      <c r="A167">
        <v>0.16500000000000001</v>
      </c>
      <c r="B167">
        <f>Uo*COS(2*PI()*Wn*Sheet2!A167) + (Vo/Wn - (Po*(w/Wn))/(K*(1-(w/Wn)^2)))*SIN(2*PI()*Wn*Sheet2!A167) +(Po*SIN(2*PI()*w*Sheet2!A167))/(K*(1-(w/Wn)^2))</f>
        <v>-19.74680174584681</v>
      </c>
      <c r="C167">
        <f t="shared" si="10"/>
        <v>-16.860972362887626</v>
      </c>
      <c r="D167">
        <f t="shared" si="11"/>
        <v>-2754.1528960889473</v>
      </c>
      <c r="R167">
        <f t="shared" si="8"/>
        <v>0.16500000000000001</v>
      </c>
      <c r="S167">
        <f t="shared" si="9"/>
        <v>-16.860972362887626</v>
      </c>
    </row>
    <row r="168" spans="1:19" x14ac:dyDescent="0.3">
      <c r="A168">
        <v>0.16600000000000001</v>
      </c>
      <c r="B168">
        <f>Uo*COS(2*PI()*Wn*Sheet2!A168) + (Vo/Wn - (Po*(w/Wn))/(K*(1-(w/Wn)^2)))*SIN(2*PI()*Wn*Sheet2!A168) +(Po*SIN(2*PI()*w*Sheet2!A168))/(K*(1-(w/Wn)^2))</f>
        <v>-19.800912047495004</v>
      </c>
      <c r="C168">
        <f t="shared" si="10"/>
        <v>-16.908777084093316</v>
      </c>
      <c r="D168">
        <f t="shared" si="11"/>
        <v>-2761.9615508048032</v>
      </c>
      <c r="R168">
        <f t="shared" si="8"/>
        <v>0.16600000000000001</v>
      </c>
      <c r="S168">
        <f t="shared" si="9"/>
        <v>-16.908777084093316</v>
      </c>
    </row>
    <row r="169" spans="1:19" x14ac:dyDescent="0.3">
      <c r="A169">
        <v>0.16700000000000001</v>
      </c>
      <c r="B169">
        <f>Uo*COS(2*PI()*Wn*Sheet2!A169) + (Vo/Wn - (Po*(w/Wn))/(K*(1-(w/Wn)^2)))*SIN(2*PI()*Wn*Sheet2!A169) +(Po*SIN(2*PI()*w*Sheet2!A169))/(K*(1-(w/Wn)^2))</f>
        <v>-19.848553771478532</v>
      </c>
      <c r="C169">
        <f t="shared" si="10"/>
        <v>-16.950976694674942</v>
      </c>
      <c r="D169">
        <f t="shared" si="11"/>
        <v>-2768.8546396015699</v>
      </c>
      <c r="R169">
        <f t="shared" si="8"/>
        <v>0.16700000000000001</v>
      </c>
      <c r="S169">
        <f t="shared" si="9"/>
        <v>-16.950976694674942</v>
      </c>
    </row>
    <row r="170" spans="1:19" x14ac:dyDescent="0.3">
      <c r="A170">
        <v>0.16800000000000001</v>
      </c>
      <c r="B170">
        <f>Uo*COS(2*PI()*Wn*Sheet2!A170) + (Vo/Wn - (Po*(w/Wn))/(K*(1-(w/Wn)^2)))*SIN(2*PI()*Wn*Sheet2!A170) +(Po*SIN(2*PI()*w*Sheet2!A170))/(K*(1-(w/Wn)^2))</f>
        <v>-19.889711354161186</v>
      </c>
      <c r="C170">
        <f t="shared" si="10"/>
        <v>-16.987567543121521</v>
      </c>
      <c r="D170">
        <f t="shared" si="11"/>
        <v>-2774.8315660237563</v>
      </c>
      <c r="R170">
        <f t="shared" si="8"/>
        <v>0.16800000000000001</v>
      </c>
      <c r="S170">
        <f t="shared" si="9"/>
        <v>-16.987567543121521</v>
      </c>
    </row>
    <row r="171" spans="1:19" x14ac:dyDescent="0.3">
      <c r="A171">
        <v>0.16900000000000001</v>
      </c>
      <c r="B171">
        <f>Uo*COS(2*PI()*Wn*Sheet2!A171) + (Vo/Wn - (Po*(w/Wn))/(K*(1-(w/Wn)^2)))*SIN(2*PI()*Wn*Sheet2!A171) +(Po*SIN(2*PI()*w*Sheet2!A171))/(K*(1-(w/Wn)^2))</f>
        <v>-19.924371350151191</v>
      </c>
      <c r="C171">
        <f t="shared" si="10"/>
        <v>-17.018547815136053</v>
      </c>
      <c r="D171">
        <f t="shared" si="11"/>
        <v>-2779.8920337153022</v>
      </c>
      <c r="R171">
        <f t="shared" si="8"/>
        <v>0.16900000000000001</v>
      </c>
      <c r="S171">
        <f t="shared" si="9"/>
        <v>-17.018547815136053</v>
      </c>
    </row>
    <row r="172" spans="1:19" x14ac:dyDescent="0.3">
      <c r="A172">
        <v>0.17</v>
      </c>
      <c r="B172">
        <f>Uo*COS(2*PI()*Wn*Sheet2!A172) + (Vo/Wn - (Po*(w/Wn))/(K*(1-(w/Wn)^2)))*SIN(2*PI()*Wn*Sheet2!A172) +(Po*SIN(2*PI()*w*Sheet2!A172))/(K*(1-(w/Wn)^2))</f>
        <v>-19.952522436693535</v>
      </c>
      <c r="C172">
        <f t="shared" si="10"/>
        <v>-17.043917530909969</v>
      </c>
      <c r="D172">
        <f t="shared" si="11"/>
        <v>-2784.0360459743747</v>
      </c>
      <c r="R172">
        <f t="shared" si="8"/>
        <v>0.17</v>
      </c>
      <c r="S172">
        <f t="shared" si="9"/>
        <v>-17.043917530909969</v>
      </c>
    </row>
    <row r="173" spans="1:19" x14ac:dyDescent="0.3">
      <c r="A173">
        <v>0.17100000000000001</v>
      </c>
      <c r="B173">
        <f>Uo*COS(2*PI()*Wn*Sheet2!A173) + (Vo/Wn - (Po*(w/Wn))/(K*(1-(w/Wn)^2)))*SIN(2*PI()*Wn*Sheet2!A173) +(Po*SIN(2*PI()*w*Sheet2!A173))/(K*(1-(w/Wn)^2))</f>
        <v>-19.974155417368934</v>
      </c>
      <c r="C173">
        <f t="shared" si="10"/>
        <v>-17.063678541803807</v>
      </c>
      <c r="D173">
        <f t="shared" si="11"/>
        <v>-2787.2639052111704</v>
      </c>
      <c r="R173">
        <f t="shared" si="8"/>
        <v>0.17100000000000001</v>
      </c>
      <c r="S173">
        <f t="shared" si="9"/>
        <v>-17.063678541803807</v>
      </c>
    </row>
    <row r="174" spans="1:19" x14ac:dyDescent="0.3">
      <c r="A174">
        <v>0.17199999999999999</v>
      </c>
      <c r="B174">
        <f>Uo*COS(2*PI()*Wn*Sheet2!A174) + (Vo/Wn - (Po*(w/Wn))/(K*(1-(w/Wn)^2)))*SIN(2*PI()*Wn*Sheet2!A174) +(Po*SIN(2*PI()*w*Sheet2!A174))/(K*(1-(w/Wn)^2))</f>
        <v>-19.989263225098082</v>
      </c>
      <c r="C174">
        <f t="shared" si="10"/>
        <v>-17.077834526436167</v>
      </c>
      <c r="D174">
        <f t="shared" si="11"/>
        <v>-2789.5762123090708</v>
      </c>
      <c r="R174">
        <f t="shared" si="8"/>
        <v>0.17199999999999999</v>
      </c>
      <c r="S174">
        <f t="shared" si="9"/>
        <v>-17.077834526436167</v>
      </c>
    </row>
    <row r="175" spans="1:19" x14ac:dyDescent="0.3">
      <c r="A175">
        <v>0.17299999999999999</v>
      </c>
      <c r="B175">
        <f>Uo*COS(2*PI()*Wn*Sheet2!A175) + (Vo/Wn - (Po*(w/Wn))/(K*(1-(w/Wn)^2)))*SIN(2*PI()*Wn*Sheet2!A175) +(Po*SIN(2*PI()*w*Sheet2!A175))/(K*(1-(w/Wn)^2))</f>
        <v>-19.997840924450362</v>
      </c>
      <c r="C175">
        <f t="shared" si="10"/>
        <v>-17.08639098618336</v>
      </c>
      <c r="D175">
        <f t="shared" si="11"/>
        <v>-2790.9738658895294</v>
      </c>
      <c r="R175">
        <f t="shared" si="8"/>
        <v>0.17299999999999999</v>
      </c>
      <c r="S175">
        <f t="shared" si="9"/>
        <v>-17.08639098618336</v>
      </c>
    </row>
    <row r="176" spans="1:19" x14ac:dyDescent="0.3">
      <c r="A176">
        <v>0.17399999999999999</v>
      </c>
      <c r="B176">
        <f>Uo*COS(2*PI()*Wn*Sheet2!A176) + (Vo/Wn - (Po*(w/Wn))/(K*(1-(w/Wn)^2)))*SIN(2*PI()*Wn*Sheet2!A176) +(Po*SIN(2*PI()*w*Sheet2!A176))/(K*(1-(w/Wn)^2))</f>
        <v>-19.999885713256134</v>
      </c>
      <c r="C176">
        <f t="shared" si="10"/>
        <v>-17.089355240092264</v>
      </c>
      <c r="D176">
        <f t="shared" si="11"/>
        <v>-2791.4580614811143</v>
      </c>
      <c r="R176">
        <f t="shared" si="8"/>
        <v>0.17399999999999999</v>
      </c>
      <c r="S176">
        <f t="shared" si="9"/>
        <v>-17.089355240092264</v>
      </c>
    </row>
    <row r="177" spans="1:19" x14ac:dyDescent="0.3">
      <c r="A177">
        <v>0.17499999999999999</v>
      </c>
      <c r="B177">
        <f>Uo*COS(2*PI()*Wn*Sheet2!A177) + (Vo/Wn - (Po*(w/Wn))/(K*(1-(w/Wn)^2)))*SIN(2*PI()*Wn*Sheet2!A177) +(Po*SIN(2*PI()*w*Sheet2!A177))/(K*(1-(w/Wn)^2))</f>
        <v>-19.995396923522179</v>
      </c>
      <c r="C177">
        <f t="shared" si="10"/>
        <v>-17.086736419209096</v>
      </c>
      <c r="D177">
        <f t="shared" si="11"/>
        <v>-2791.0302905931444</v>
      </c>
      <c r="R177">
        <f t="shared" si="8"/>
        <v>0.17499999999999999</v>
      </c>
      <c r="S177">
        <f t="shared" si="9"/>
        <v>-17.086736419209096</v>
      </c>
    </row>
    <row r="178" spans="1:19" x14ac:dyDescent="0.3">
      <c r="A178">
        <v>0.17599999999999999</v>
      </c>
      <c r="B178">
        <f>Uo*COS(2*PI()*Wn*Sheet2!A178) + (Vo/Wn - (Po*(w/Wn))/(K*(1-(w/Wn)^2)))*SIN(2*PI()*Wn*Sheet2!A178) +(Po*SIN(2*PI()*w*Sheet2!A178))/(K*(1-(w/Wn)^2))</f>
        <v>-19.984376021649883</v>
      </c>
      <c r="C178">
        <f t="shared" si="10"/>
        <v>-17.078545460327028</v>
      </c>
      <c r="D178">
        <f t="shared" si="11"/>
        <v>-2789.6923396943903</v>
      </c>
      <c r="R178">
        <f t="shared" si="8"/>
        <v>0.17599999999999999</v>
      </c>
      <c r="S178">
        <f t="shared" si="9"/>
        <v>-17.078545460327028</v>
      </c>
    </row>
    <row r="179" spans="1:19" x14ac:dyDescent="0.3">
      <c r="A179">
        <v>0.17699999999999999</v>
      </c>
      <c r="B179">
        <f>Uo*COS(2*PI()*Wn*Sheet2!A179) + (Vo/Wn - (Po*(w/Wn))/(K*(1-(w/Wn)^2)))*SIN(2*PI()*Wn*Sheet2!A179) +(Po*SIN(2*PI()*w*Sheet2!A179))/(K*(1-(w/Wn)^2))</f>
        <v>-19.966826607956214</v>
      </c>
      <c r="C179">
        <f t="shared" si="10"/>
        <v>-17.064795099155685</v>
      </c>
      <c r="D179">
        <f t="shared" si="11"/>
        <v>-2787.4462890973509</v>
      </c>
      <c r="R179">
        <f t="shared" si="8"/>
        <v>0.17699999999999999</v>
      </c>
      <c r="S179">
        <f t="shared" si="9"/>
        <v>-17.064795099155685</v>
      </c>
    </row>
    <row r="180" spans="1:19" x14ac:dyDescent="0.3">
      <c r="A180">
        <v>0.17799999999999999</v>
      </c>
      <c r="B180">
        <f>Uo*COS(2*PI()*Wn*Sheet2!A180) + (Vo/Wn - (Po*(w/Wn))/(K*(1-(w/Wn)^2)))*SIN(2*PI()*Wn*Sheet2!A180) +(Po*SIN(2*PI()*w*Sheet2!A180))/(K*(1-(w/Wn)^2))</f>
        <v>-19.942754415497578</v>
      </c>
      <c r="C180">
        <f t="shared" si="10"/>
        <v>-17.045499862915896</v>
      </c>
      <c r="D180">
        <f t="shared" si="11"/>
        <v>-2784.2945117486433</v>
      </c>
      <c r="R180">
        <f t="shared" si="8"/>
        <v>0.17799999999999999</v>
      </c>
      <c r="S180">
        <f t="shared" si="9"/>
        <v>-17.045499862915896</v>
      </c>
    </row>
    <row r="181" spans="1:19" x14ac:dyDescent="0.3">
      <c r="A181">
        <v>0.17899999999999999</v>
      </c>
      <c r="B181">
        <f>Uo*COS(2*PI()*Wn*Sheet2!A181) + (Vo/Wn - (Po*(w/Wn))/(K*(1-(w/Wn)^2)))*SIN(2*PI()*Wn*Sheet2!A181) +(Po*SIN(2*PI()*w*Sheet2!A181))/(K*(1-(w/Wn)^2))</f>
        <v>-19.91216730819691</v>
      </c>
      <c r="C181">
        <f t="shared" si="10"/>
        <v>-17.020676062363059</v>
      </c>
      <c r="D181">
        <f t="shared" si="11"/>
        <v>-2780.2396719260591</v>
      </c>
      <c r="R181">
        <f t="shared" si="8"/>
        <v>0.17899999999999999</v>
      </c>
      <c r="S181">
        <f t="shared" si="9"/>
        <v>-17.020676062363059</v>
      </c>
    </row>
    <row r="182" spans="1:19" x14ac:dyDescent="0.3">
      <c r="A182">
        <v>0.18</v>
      </c>
      <c r="B182">
        <f>Uo*COS(2*PI()*Wn*Sheet2!A182) + (Vo/Wn - (Po*(w/Wn))/(K*(1-(w/Wn)^2)))*SIN(2*PI()*Wn*Sheet2!A182) +(Po*SIN(2*PI()*w*Sheet2!A182))/(K*(1-(w/Wn)^2))</f>
        <v>-19.875075278274696</v>
      </c>
      <c r="C182">
        <f t="shared" si="10"/>
        <v>-16.990341783242769</v>
      </c>
      <c r="D182">
        <f t="shared" si="11"/>
        <v>-2775.2847238428863</v>
      </c>
      <c r="R182">
        <f t="shared" si="8"/>
        <v>0.18</v>
      </c>
      <c r="S182">
        <f t="shared" si="9"/>
        <v>-16.990341783242769</v>
      </c>
    </row>
    <row r="183" spans="1:19" x14ac:dyDescent="0.3">
      <c r="A183">
        <v>0.18099999999999999</v>
      </c>
      <c r="B183">
        <f>Uo*COS(2*PI()*Wn*Sheet2!A183) + (Vo/Wn - (Po*(w/Wn))/(K*(1-(w/Wn)^2)))*SIN(2*PI()*Wn*Sheet2!A183) +(Po*SIN(2*PI()*w*Sheet2!A183))/(K*(1-(w/Wn)^2))</f>
        <v>-19.83149044298472</v>
      </c>
      <c r="C183">
        <f t="shared" si="10"/>
        <v>-16.954516877182606</v>
      </c>
      <c r="D183">
        <f t="shared" si="11"/>
        <v>-2769.4329101601306</v>
      </c>
      <c r="R183">
        <f t="shared" si="8"/>
        <v>0.18099999999999999</v>
      </c>
      <c r="S183">
        <f t="shared" si="9"/>
        <v>-16.954516877182606</v>
      </c>
    </row>
    <row r="184" spans="1:19" x14ac:dyDescent="0.3">
      <c r="A184">
        <v>0.182</v>
      </c>
      <c r="B184">
        <f>Uo*COS(2*PI()*Wn*Sheet2!A184) + (Vo/Wn - (Po*(w/Wn))/(K*(1-(w/Wn)^2)))*SIN(2*PI()*Wn*Sheet2!A184) +(Po*SIN(2*PI()*w*Sheet2!A184))/(K*(1-(w/Wn)^2))</f>
        <v>-19.781427040655565</v>
      </c>
      <c r="C184">
        <f t="shared" si="10"/>
        <v>-16.913222952023943</v>
      </c>
      <c r="D184">
        <f t="shared" si="11"/>
        <v>-2762.6877604072647</v>
      </c>
      <c r="R184">
        <f t="shared" si="8"/>
        <v>0.182</v>
      </c>
      <c r="S184">
        <f t="shared" si="9"/>
        <v>-16.913222952023943</v>
      </c>
    </row>
    <row r="185" spans="1:19" x14ac:dyDescent="0.3">
      <c r="A185">
        <v>0.183</v>
      </c>
      <c r="B185">
        <f>Uo*COS(2*PI()*Wn*Sheet2!A185) + (Vo/Wn - (Po*(w/Wn))/(K*(1-(w/Wn)^2)))*SIN(2*PI()*Wn*Sheet2!A185) +(Po*SIN(2*PI()*w*Sheet2!A185))/(K*(1-(w/Wn)^2))</f>
        <v>-19.724901426039242</v>
      </c>
      <c r="C185">
        <f t="shared" si="10"/>
        <v>-16.866483361598071</v>
      </c>
      <c r="D185">
        <f t="shared" si="11"/>
        <v>-2755.0530893122118</v>
      </c>
      <c r="R185">
        <f t="shared" si="8"/>
        <v>0.183</v>
      </c>
      <c r="S185">
        <f t="shared" si="9"/>
        <v>-16.866483361598071</v>
      </c>
    </row>
    <row r="186" spans="1:19" x14ac:dyDescent="0.3">
      <c r="A186">
        <v>0.184</v>
      </c>
      <c r="B186">
        <f>Uo*COS(2*PI()*Wn*Sheet2!A186) + (Vo/Wn - (Po*(w/Wn))/(K*(1-(w/Wn)^2)))*SIN(2*PI()*Wn*Sheet2!A186) +(Po*SIN(2*PI()*w*Sheet2!A186))/(K*(1-(w/Wn)^2))</f>
        <v>-19.661932064968404</v>
      </c>
      <c r="C186">
        <f t="shared" si="10"/>
        <v>-16.81432319495087</v>
      </c>
      <c r="D186">
        <f t="shared" si="11"/>
        <v>-2746.5329950412506</v>
      </c>
      <c r="R186">
        <f t="shared" si="8"/>
        <v>0.184</v>
      </c>
      <c r="S186">
        <f t="shared" si="9"/>
        <v>-16.81432319495087</v>
      </c>
    </row>
    <row r="187" spans="1:19" x14ac:dyDescent="0.3">
      <c r="A187">
        <v>0.185</v>
      </c>
      <c r="B187">
        <f>Uo*COS(2*PI()*Wn*Sheet2!A187) + (Vo/Wn - (Po*(w/Wn))/(K*(1-(w/Wn)^2)))*SIN(2*PI()*Wn*Sheet2!A187) +(Po*SIN(2*PI()*w*Sheet2!A187))/(K*(1-(w/Wn)^2))</f>
        <v>-19.592539528323911</v>
      </c>
      <c r="C187">
        <f t="shared" si="10"/>
        <v>-16.756769265020612</v>
      </c>
      <c r="D187">
        <f t="shared" si="11"/>
        <v>-2737.1318573495942</v>
      </c>
      <c r="R187">
        <f t="shared" si="8"/>
        <v>0.185</v>
      </c>
      <c r="S187">
        <f t="shared" si="9"/>
        <v>-16.756769265020612</v>
      </c>
    </row>
    <row r="188" spans="1:19" x14ac:dyDescent="0.3">
      <c r="A188">
        <v>0.186</v>
      </c>
      <c r="B188">
        <f>Uo*COS(2*PI()*Wn*Sheet2!A188) + (Vo/Wn - (Po*(w/Wn))/(K*(1-(w/Wn)^2)))*SIN(2*PI()*Wn*Sheet2!A188) +(Po*SIN(2*PI()*w*Sheet2!A188))/(K*(1-(w/Wn)^2))</f>
        <v>-19.516746485314705</v>
      </c>
      <c r="C188">
        <f t="shared" si="10"/>
        <v>-16.693850096773584</v>
      </c>
      <c r="D188">
        <f t="shared" si="11"/>
        <v>-2726.8543356434034</v>
      </c>
      <c r="R188">
        <f t="shared" si="8"/>
        <v>0.186</v>
      </c>
      <c r="S188">
        <f t="shared" si="9"/>
        <v>-16.693850096773584</v>
      </c>
    </row>
    <row r="189" spans="1:19" x14ac:dyDescent="0.3">
      <c r="A189">
        <v>0.187</v>
      </c>
      <c r="B189">
        <f>Uo*COS(2*PI()*Wn*Sheet2!A189) + (Vo/Wn - (Po*(w/Wn))/(K*(1-(w/Wn)^2)))*SIN(2*PI()*Wn*Sheet2!A189) +(Po*SIN(2*PI()*w*Sheet2!A189))/(K*(1-(w/Wn)^2))</f>
        <v>-19.434577696072246</v>
      </c>
      <c r="C189">
        <f t="shared" si="10"/>
        <v>-16.625595914802282</v>
      </c>
      <c r="D189">
        <f t="shared" si="11"/>
        <v>-2715.7053669540169</v>
      </c>
      <c r="R189">
        <f t="shared" si="8"/>
        <v>0.187</v>
      </c>
      <c r="S189">
        <f t="shared" si="9"/>
        <v>-16.625595914802282</v>
      </c>
    </row>
    <row r="190" spans="1:19" x14ac:dyDescent="0.3">
      <c r="A190">
        <v>0.188</v>
      </c>
      <c r="B190">
        <f>Uo*COS(2*PI()*Wn*Sheet2!A190) + (Vo/Wn - (Po*(w/Wn))/(K*(1-(w/Wn)^2)))*SIN(2*PI()*Wn*Sheet2!A190) +(Po*SIN(2*PI()*w*Sheet2!A190))/(K*(1-(w/Wn)^2))</f>
        <v>-19.346060003561821</v>
      </c>
      <c r="C190">
        <f t="shared" si="10"/>
        <v>-16.552038630391344</v>
      </c>
      <c r="D190">
        <f t="shared" si="11"/>
        <v>-2703.690163825238</v>
      </c>
      <c r="R190">
        <f t="shared" si="8"/>
        <v>0.188</v>
      </c>
      <c r="S190">
        <f t="shared" si="9"/>
        <v>-16.552038630391344</v>
      </c>
    </row>
    <row r="191" spans="1:19" x14ac:dyDescent="0.3">
      <c r="A191">
        <v>0.189</v>
      </c>
      <c r="B191">
        <f>Uo*COS(2*PI()*Wn*Sheet2!A191) + (Vo/Wn - (Po*(w/Wn))/(K*(1-(w/Wn)^2)))*SIN(2*PI()*Wn*Sheet2!A191) +(Po*SIN(2*PI()*w*Sheet2!A191))/(K*(1-(w/Wn)^2))</f>
        <v>-19.25122232481348</v>
      </c>
      <c r="C191">
        <f t="shared" si="10"/>
        <v>-16.473211828056272</v>
      </c>
      <c r="D191">
        <f t="shared" si="11"/>
        <v>-2690.8142121145033</v>
      </c>
      <c r="R191">
        <f t="shared" si="8"/>
        <v>0.189</v>
      </c>
      <c r="S191">
        <f t="shared" si="9"/>
        <v>-16.473211828056272</v>
      </c>
    </row>
    <row r="192" spans="1:19" x14ac:dyDescent="0.3">
      <c r="A192">
        <v>0.19</v>
      </c>
      <c r="B192">
        <f>Uo*COS(2*PI()*Wn*Sheet2!A192) + (Vo/Wn - (Po*(w/Wn))/(K*(1-(w/Wn)^2)))*SIN(2*PI()*Wn*Sheet2!A192) +(Po*SIN(2*PI()*w*Sheet2!A192))/(K*(1-(w/Wn)^2))</f>
        <v>-19.150095641475392</v>
      </c>
      <c r="C192">
        <f t="shared" si="10"/>
        <v>-16.389150751560376</v>
      </c>
      <c r="D192">
        <f t="shared" si="11"/>
        <v>-2677.0832687088246</v>
      </c>
      <c r="R192">
        <f t="shared" si="8"/>
        <v>0.19</v>
      </c>
      <c r="S192">
        <f t="shared" si="9"/>
        <v>-16.389150751560376</v>
      </c>
    </row>
    <row r="193" spans="1:19" x14ac:dyDescent="0.3">
      <c r="A193">
        <v>0.191</v>
      </c>
      <c r="B193">
        <f>Uo*COS(2*PI()*Wn*Sheet2!A193) + (Vo/Wn - (Po*(w/Wn))/(K*(1-(w/Wn)^2)))*SIN(2*PI()*Wn*Sheet2!A193) +(Po*SIN(2*PI()*w*Sheet2!A193))/(K*(1-(w/Wn)^2))</f>
        <v>-19.042712989692745</v>
      </c>
      <c r="C193">
        <f t="shared" si="10"/>
        <v>-16.299892289415421</v>
      </c>
      <c r="D193">
        <f t="shared" si="11"/>
        <v>-2662.5033591563915</v>
      </c>
      <c r="R193">
        <f t="shared" ref="R193:R256" si="12">A193</f>
        <v>0.191</v>
      </c>
      <c r="S193">
        <f t="shared" ref="S193:S256" si="13">C193</f>
        <v>-16.299892289415421</v>
      </c>
    </row>
    <row r="194" spans="1:19" x14ac:dyDescent="0.3">
      <c r="A194">
        <v>0.192</v>
      </c>
      <c r="B194">
        <f>Uo*COS(2*PI()*Wn*Sheet2!A194) + (Vo/Wn - (Po*(w/Wn))/(K*(1-(w/Wn)^2)))*SIN(2*PI()*Wn*Sheet2!A194) +(Po*SIN(2*PI()*w*Sheet2!A194))/(K*(1-(w/Wn)^2))</f>
        <v>-18.929109449315455</v>
      </c>
      <c r="C194">
        <f t="shared" ref="C194:C257" si="14">EXP(-zeta*Wn*A194*2*PI())*($H$1*COS(wnD*2*PI()*A194) + $H$2*SIN(wnD*2*PI()*A194)) + $H$3*SIN(w*2*PI()*A194) + $H$4*COS(w*2*PI()*A194)</f>
        <v>-16.205474959871566</v>
      </c>
      <c r="D194">
        <f t="shared" ref="D194:D257" si="15">K*C194</f>
        <v>-2647.0807752147584</v>
      </c>
      <c r="R194">
        <f t="shared" si="12"/>
        <v>0.192</v>
      </c>
      <c r="S194">
        <f t="shared" si="13"/>
        <v>-16.205474959871566</v>
      </c>
    </row>
    <row r="195" spans="1:19" x14ac:dyDescent="0.3">
      <c r="A195">
        <v>0.193</v>
      </c>
      <c r="B195">
        <f>Uo*COS(2*PI()*Wn*Sheet2!A195) + (Vo/Wn - (Po*(w/Wn))/(K*(1-(w/Wn)^2)))*SIN(2*PI()*Wn*Sheet2!A195) +(Po*SIN(2*PI()*w*Sheet2!A195))/(K*(1-(w/Wn)^2))</f>
        <v>-18.809322132438265</v>
      </c>
      <c r="C195">
        <f t="shared" si="14"/>
        <v>-16.105938895402605</v>
      </c>
      <c r="D195">
        <f t="shared" si="15"/>
        <v>-2630.8220723165859</v>
      </c>
      <c r="R195">
        <f t="shared" si="12"/>
        <v>0.193</v>
      </c>
      <c r="S195">
        <f t="shared" si="13"/>
        <v>-16.105938895402605</v>
      </c>
    </row>
    <row r="196" spans="1:19" x14ac:dyDescent="0.3">
      <c r="A196">
        <v>0.19400000000000001</v>
      </c>
      <c r="B196">
        <f>Uo*COS(2*PI()*Wn*Sheet2!A196) + (Vo/Wn - (Po*(w/Wn))/(K*(1-(w/Wn)^2)))*SIN(2*PI()*Wn*Sheet2!A196) +(Po*SIN(2*PI()*w*Sheet2!A196))/(K*(1-(w/Wn)^2))</f>
        <v>-18.683390171276933</v>
      </c>
      <c r="C196">
        <f t="shared" si="14"/>
        <v>-16.001325826692231</v>
      </c>
      <c r="D196">
        <f t="shared" si="15"/>
        <v>-2613.7340669538821</v>
      </c>
      <c r="R196">
        <f t="shared" si="12"/>
        <v>0.19400000000000001</v>
      </c>
      <c r="S196">
        <f t="shared" si="13"/>
        <v>-16.001325826692231</v>
      </c>
    </row>
    <row r="197" spans="1:19" x14ac:dyDescent="0.3">
      <c r="A197">
        <v>0.19500000000000001</v>
      </c>
      <c r="B197">
        <f>Uo*COS(2*PI()*Wn*Sheet2!A197) + (Vo/Wn - (Po*(w/Wn))/(K*(1-(w/Wn)^2)))*SIN(2*PI()*Wn*Sheet2!A197) +(Po*SIN(2*PI()*w*Sheet2!A197))/(K*(1-(w/Wn)^2))</f>
        <v>-18.551354705384494</v>
      </c>
      <c r="C197">
        <f t="shared" si="14"/>
        <v>-15.891679066127699</v>
      </c>
      <c r="D197">
        <f t="shared" si="15"/>
        <v>-2595.8238339817749</v>
      </c>
      <c r="R197">
        <f t="shared" si="12"/>
        <v>0.19500000000000001</v>
      </c>
      <c r="S197">
        <f t="shared" si="13"/>
        <v>-15.891679066127699</v>
      </c>
    </row>
    <row r="198" spans="1:19" x14ac:dyDescent="0.3">
      <c r="A198">
        <v>0.19600000000000001</v>
      </c>
      <c r="B198">
        <f>Uo*COS(2*PI()*Wn*Sheet2!A198) + (Vo/Wn - (Po*(w/Wn))/(K*(1-(w/Wn)^2)))*SIN(2*PI()*Wn*Sheet2!A198) +(Po*SIN(2*PI()*w*Sheet2!A198))/(K*(1-(w/Wn)^2))</f>
        <v>-18.413258868211749</v>
      </c>
      <c r="C198">
        <f t="shared" si="14"/>
        <v>-15.777043490806975</v>
      </c>
      <c r="D198">
        <f t="shared" si="15"/>
        <v>-2577.0987038428198</v>
      </c>
      <c r="R198">
        <f t="shared" si="12"/>
        <v>0.19600000000000001</v>
      </c>
      <c r="S198">
        <f t="shared" si="13"/>
        <v>-15.777043490806975</v>
      </c>
    </row>
    <row r="199" spans="1:19" x14ac:dyDescent="0.3">
      <c r="A199">
        <v>0.19700000000000001</v>
      </c>
      <c r="B199">
        <f>Uo*COS(2*PI()*Wn*Sheet2!A199) + (Vo/Wn - (Po*(w/Wn))/(K*(1-(w/Wn)^2)))*SIN(2*PI()*Wn*Sheet2!A199) +(Po*SIN(2*PI()*w*Sheet2!A199))/(K*(1-(w/Wn)^2))</f>
        <v>-18.269147773016392</v>
      </c>
      <c r="C199">
        <f t="shared" si="14"/>
        <v>-15.65746552506592</v>
      </c>
      <c r="D199">
        <f t="shared" si="15"/>
        <v>-2557.5662597129044</v>
      </c>
      <c r="R199">
        <f t="shared" si="12"/>
        <v>0.19700000000000001</v>
      </c>
      <c r="S199">
        <f t="shared" si="13"/>
        <v>-15.65746552506592</v>
      </c>
    </row>
    <row r="200" spans="1:19" x14ac:dyDescent="0.3">
      <c r="A200">
        <v>0.19800000000000001</v>
      </c>
      <c r="B200">
        <f>Uo*COS(2*PI()*Wn*Sheet2!A200) + (Vo/Wn - (Po*(w/Wn))/(K*(1-(w/Wn)^2)))*SIN(2*PI()*Wn*Sheet2!A200) +(Po*SIN(2*PI()*w*Sheet2!A200))/(K*(1-(w/Wn)^2))</f>
        <v>-18.119068498125397</v>
      </c>
      <c r="C200">
        <f t="shared" si="14"/>
        <v>-15.532993122531993</v>
      </c>
      <c r="D200">
        <f t="shared" si="15"/>
        <v>-2537.2343345698127</v>
      </c>
      <c r="R200">
        <f t="shared" si="12"/>
        <v>0.19800000000000001</v>
      </c>
      <c r="S200">
        <f t="shared" si="13"/>
        <v>-15.532993122531993</v>
      </c>
    </row>
    <row r="201" spans="1:19" x14ac:dyDescent="0.3">
      <c r="A201">
        <v>0.19900000000000001</v>
      </c>
      <c r="B201">
        <f>Uo*COS(2*PI()*Wn*Sheet2!A201) + (Vo/Wn - (Po*(w/Wn))/(K*(1-(w/Wn)^2)))*SIN(2*PI()*Wn*Sheet2!A201) +(Po*SIN(2*PI()*w*Sheet2!A201))/(K*(1-(w/Wn)^2))</f>
        <v>-17.963070071555403</v>
      </c>
      <c r="C201">
        <f t="shared" si="14"/>
        <v>-15.403675747711249</v>
      </c>
      <c r="D201">
        <f t="shared" si="15"/>
        <v>-2516.1110081855581</v>
      </c>
      <c r="R201">
        <f t="shared" si="12"/>
        <v>0.19900000000000001</v>
      </c>
      <c r="S201">
        <f t="shared" si="13"/>
        <v>-15.403675747711249</v>
      </c>
    </row>
    <row r="202" spans="1:19" x14ac:dyDescent="0.3">
      <c r="A202">
        <v>0.2</v>
      </c>
      <c r="B202">
        <f>Uo*COS(2*PI()*Wn*Sheet2!A202) + (Vo/Wn - (Po*(w/Wn))/(K*(1-(w/Wn)^2)))*SIN(2*PI()*Wn*Sheet2!A202) +(Po*SIN(2*PI()*w*Sheet2!A202))/(K*(1-(w/Wn)^2))</f>
        <v>-17.801203454996237</v>
      </c>
      <c r="C202">
        <f t="shared" si="14"/>
        <v>-15.269564357115442</v>
      </c>
      <c r="D202">
        <f t="shared" si="15"/>
        <v>-2494.2046040435912</v>
      </c>
      <c r="R202">
        <f t="shared" si="12"/>
        <v>0.2</v>
      </c>
      <c r="S202">
        <f t="shared" si="13"/>
        <v>-15.269564357115442</v>
      </c>
    </row>
    <row r="203" spans="1:19" x14ac:dyDescent="0.3">
      <c r="A203">
        <v>0.20100000000000001</v>
      </c>
      <c r="B203">
        <f>Uo*COS(2*PI()*Wn*Sheet2!A203) + (Vo/Wn - (Po*(w/Wn))/(K*(1-(w/Wn)^2)))*SIN(2*PI()*Wn*Sheet2!A203) +(Po*SIN(2*PI()*w*Sheet2!A203))/(K*(1-(w/Wn)^2))</f>
        <v>-17.633521527162667</v>
      </c>
      <c r="C203">
        <f t="shared" si="14"/>
        <v>-15.130711379936267</v>
      </c>
      <c r="D203">
        <f t="shared" si="15"/>
        <v>-2471.5236861820363</v>
      </c>
      <c r="R203">
        <f t="shared" si="12"/>
        <v>0.20100000000000001</v>
      </c>
      <c r="S203">
        <f t="shared" si="13"/>
        <v>-15.130711379936267</v>
      </c>
    </row>
    <row r="204" spans="1:19" x14ac:dyDescent="0.3">
      <c r="A204">
        <v>0.20200000000000001</v>
      </c>
      <c r="B204">
        <f>Uo*COS(2*PI()*Wn*Sheet2!A204) + (Vo/Wn - (Po*(w/Wn))/(K*(1-(w/Wn)^2)))*SIN(2*PI()*Wn*Sheet2!A204) +(Po*SIN(2*PI()*w*Sheet2!A204))/(K*(1-(w/Wn)^2))</f>
        <v>-17.460079066519985</v>
      </c>
      <c r="C204">
        <f t="shared" si="14"/>
        <v>-14.9871706982738</v>
      </c>
      <c r="D204">
        <f t="shared" si="15"/>
        <v>-2448.0770559641123</v>
      </c>
      <c r="R204">
        <f t="shared" si="12"/>
        <v>0.20200000000000001</v>
      </c>
      <c r="S204">
        <f t="shared" si="13"/>
        <v>-14.9871706982738</v>
      </c>
    </row>
    <row r="205" spans="1:19" x14ac:dyDescent="0.3">
      <c r="A205">
        <v>0.20300000000000001</v>
      </c>
      <c r="B205">
        <f>Uo*COS(2*PI()*Wn*Sheet2!A205) + (Vo/Wn - (Po*(w/Wn))/(K*(1-(w/Wn)^2)))*SIN(2*PI()*Wn*Sheet2!A205) +(Po*SIN(2*PI()*w*Sheet2!A205))/(K*(1-(w/Wn)^2))</f>
        <v>-17.280932733388898</v>
      </c>
      <c r="C205">
        <f t="shared" si="14"/>
        <v>-14.838997626926458</v>
      </c>
      <c r="D205">
        <f t="shared" si="15"/>
        <v>-2423.8737487769231</v>
      </c>
      <c r="R205">
        <f t="shared" si="12"/>
        <v>0.20300000000000001</v>
      </c>
      <c r="S205">
        <f t="shared" si="13"/>
        <v>-14.838997626926458</v>
      </c>
    </row>
    <row r="206" spans="1:19" x14ac:dyDescent="0.3">
      <c r="A206">
        <v>0.20399999999999999</v>
      </c>
      <c r="B206">
        <f>Uo*COS(2*PI()*Wn*Sheet2!A206) + (Vo/Wn - (Po*(w/Wn))/(K*(1-(w/Wn)^2)))*SIN(2*PI()*Wn*Sheet2!A206) +(Po*SIN(2*PI()*w*Sheet2!A206))/(K*(1-(w/Wn)^2))</f>
        <v>-17.096141051435719</v>
      </c>
      <c r="C206">
        <f t="shared" si="14"/>
        <v>-14.68624889274983</v>
      </c>
      <c r="D206">
        <f t="shared" si="15"/>
        <v>-2398.9230306598315</v>
      </c>
      <c r="R206">
        <f t="shared" si="12"/>
        <v>0.20399999999999999</v>
      </c>
      <c r="S206">
        <f t="shared" si="13"/>
        <v>-14.68624889274983</v>
      </c>
    </row>
    <row r="207" spans="1:19" x14ac:dyDescent="0.3">
      <c r="A207">
        <v>0.20499999999999999</v>
      </c>
      <c r="B207">
        <f>Uo*COS(2*PI()*Wn*Sheet2!A207) + (Vo/Wn - (Po*(w/Wn))/(K*(1-(w/Wn)^2)))*SIN(2*PI()*Wn*Sheet2!A207) +(Po*SIN(2*PI()*w*Sheet2!A207))/(K*(1-(w/Wn)^2))</f>
        <v>-16.905764388553774</v>
      </c>
      <c r="C207">
        <f t="shared" si="14"/>
        <v>-14.528982613591939</v>
      </c>
      <c r="D207">
        <f t="shared" si="15"/>
        <v>-2373.2343948636417</v>
      </c>
      <c r="R207">
        <f t="shared" si="12"/>
        <v>0.20499999999999999</v>
      </c>
      <c r="S207">
        <f t="shared" si="13"/>
        <v>-14.528982613591939</v>
      </c>
    </row>
    <row r="208" spans="1:19" x14ac:dyDescent="0.3">
      <c r="A208">
        <v>0.20599999999999999</v>
      </c>
      <c r="B208">
        <f>Uo*COS(2*PI()*Wn*Sheet2!A208) + (Vo/Wn - (Po*(w/Wn))/(K*(1-(w/Wn)^2)))*SIN(2*PI()*Wn*Sheet2!A208) +(Po*SIN(2*PI()*w*Sheet2!A208))/(K*(1-(w/Wn)^2))</f>
        <v>-16.709864937142413</v>
      </c>
      <c r="C208">
        <f t="shared" si="14"/>
        <v>-14.367258276812475</v>
      </c>
      <c r="D208">
        <f t="shared" si="15"/>
        <v>-2346.8175583418279</v>
      </c>
      <c r="R208">
        <f t="shared" si="12"/>
        <v>0.20599999999999999</v>
      </c>
      <c r="S208">
        <f t="shared" si="13"/>
        <v>-14.367258276812475</v>
      </c>
    </row>
    <row r="209" spans="1:19" x14ac:dyDescent="0.3">
      <c r="A209">
        <v>0.20699999999999999</v>
      </c>
      <c r="B209">
        <f>Uo*COS(2*PI()*Wn*Sheet2!A209) + (Vo/Wn - (Po*(w/Wn))/(K*(1-(w/Wn)^2)))*SIN(2*PI()*Wn*Sheet2!A209) +(Po*SIN(2*PI()*w*Sheet2!A209))/(K*(1-(w/Wn)^2))</f>
        <v>-16.508506693789911</v>
      </c>
      <c r="C209">
        <f t="shared" si="14"/>
        <v>-14.201136717393929</v>
      </c>
      <c r="D209">
        <f t="shared" si="15"/>
        <v>-2319.6824581750993</v>
      </c>
      <c r="R209">
        <f t="shared" si="12"/>
        <v>0.20699999999999999</v>
      </c>
      <c r="S209">
        <f t="shared" si="13"/>
        <v>-14.201136717393929</v>
      </c>
    </row>
    <row r="210" spans="1:19" x14ac:dyDescent="0.3">
      <c r="A210">
        <v>0.20799999999999999</v>
      </c>
      <c r="B210">
        <f>Uo*COS(2*PI()*Wn*Sheet2!A210) + (Vo/Wn - (Po*(w/Wn))/(K*(1-(w/Wn)^2)))*SIN(2*PI()*Wn*Sheet2!A210) +(Po*SIN(2*PI()*w*Sheet2!A210))/(K*(1-(w/Wn)^2))</f>
        <v>-16.301755438367046</v>
      </c>
      <c r="C210">
        <f t="shared" si="14"/>
        <v>-14.030680095652302</v>
      </c>
      <c r="D210">
        <f t="shared" si="15"/>
        <v>-2291.8392479305603</v>
      </c>
      <c r="R210">
        <f t="shared" si="12"/>
        <v>0.20799999999999999</v>
      </c>
      <c r="S210">
        <f t="shared" si="13"/>
        <v>-14.030680095652302</v>
      </c>
    </row>
    <row r="211" spans="1:19" x14ac:dyDescent="0.3">
      <c r="A211">
        <v>0.20899999999999999</v>
      </c>
      <c r="B211">
        <f>Uo*COS(2*PI()*Wn*Sheet2!A211) + (Vo/Wn - (Po*(w/Wn))/(K*(1-(w/Wn)^2)))*SIN(2*PI()*Wn*Sheet2!A211) +(Po*SIN(2*PI()*w*Sheet2!A211))/(K*(1-(w/Wn)^2))</f>
        <v>-16.089678712538042</v>
      </c>
      <c r="C211">
        <f t="shared" si="14"/>
        <v>-13.855951874555585</v>
      </c>
      <c r="D211">
        <f t="shared" si="15"/>
        <v>-2263.2982939568014</v>
      </c>
      <c r="R211">
        <f t="shared" si="12"/>
        <v>0.20899999999999999</v>
      </c>
      <c r="S211">
        <f t="shared" si="13"/>
        <v>-13.855951874555585</v>
      </c>
    </row>
    <row r="212" spans="1:19" x14ac:dyDescent="0.3">
      <c r="A212">
        <v>0.21</v>
      </c>
      <c r="B212">
        <f>Uo*COS(2*PI()*Wn*Sheet2!A212) + (Vo/Wn - (Po*(w/Wn))/(K*(1-(w/Wn)^2)))*SIN(2*PI()*Wn*Sheet2!A212) +(Po*SIN(2*PI()*w*Sheet2!A212))/(K*(1-(w/Wn)^2))</f>
        <v>-15.872345797696031</v>
      </c>
      <c r="C212">
        <f t="shared" si="14"/>
        <v>-13.677016796657949</v>
      </c>
      <c r="D212">
        <f t="shared" si="15"/>
        <v>-2234.070171616218</v>
      </c>
      <c r="R212">
        <f t="shared" si="12"/>
        <v>0.21</v>
      </c>
      <c r="S212">
        <f t="shared" si="13"/>
        <v>-13.677016796657949</v>
      </c>
    </row>
    <row r="213" spans="1:19" x14ac:dyDescent="0.3">
      <c r="A213">
        <v>0.21099999999999999</v>
      </c>
      <c r="B213">
        <f>Uo*COS(2*PI()*Wn*Sheet2!A213) + (Vo/Wn - (Po*(w/Wn))/(K*(1-(w/Wn)^2)))*SIN(2*PI()*Wn*Sheet2!A213) +(Po*SIN(2*PI()*w*Sheet2!A213))/(K*(1-(w/Wn)^2))</f>
        <v>-15.649827692330135</v>
      </c>
      <c r="C213">
        <f t="shared" si="14"/>
        <v>-13.493940860658046</v>
      </c>
      <c r="D213">
        <f t="shared" si="15"/>
        <v>-2204.1656614559292</v>
      </c>
      <c r="R213">
        <f t="shared" si="12"/>
        <v>0.21099999999999999</v>
      </c>
      <c r="S213">
        <f t="shared" si="13"/>
        <v>-13.493940860658046</v>
      </c>
    </row>
    <row r="214" spans="1:19" x14ac:dyDescent="0.3">
      <c r="A214">
        <v>0.21199999999999999</v>
      </c>
      <c r="B214">
        <f>Uo*COS(2*PI()*Wn*Sheet2!A214) + (Vo/Wn - (Po*(w/Wn))/(K*(1-(w/Wn)^2)))*SIN(2*PI()*Wn*Sheet2!A214) +(Po*SIN(2*PI()*w*Sheet2!A214))/(K*(1-(w/Wn)^2))</f>
        <v>-15.422197088831647</v>
      </c>
      <c r="C214">
        <f t="shared" si="14"/>
        <v>-13.306791297589555</v>
      </c>
      <c r="D214">
        <f t="shared" si="15"/>
        <v>-2173.5957453186256</v>
      </c>
      <c r="R214">
        <f t="shared" si="12"/>
        <v>0.21199999999999999</v>
      </c>
      <c r="S214">
        <f t="shared" si="13"/>
        <v>-13.306791297589555</v>
      </c>
    </row>
    <row r="215" spans="1:19" x14ac:dyDescent="0.3">
      <c r="A215">
        <v>0.21299999999999999</v>
      </c>
      <c r="B215">
        <f>Uo*COS(2*PI()*Wn*Sheet2!A215) + (Vo/Wn - (Po*(w/Wn))/(K*(1-(w/Wn)^2)))*SIN(2*PI()*Wn*Sheet2!A215) +(Po*SIN(2*PI()*w*Sheet2!A215))/(K*(1-(w/Wn)^2))</f>
        <v>-15.1895283497468</v>
      </c>
      <c r="C215">
        <f t="shared" si="14"/>
        <v>-13.115636546652558</v>
      </c>
      <c r="D215">
        <f t="shared" si="15"/>
        <v>-2142.3716023947518</v>
      </c>
      <c r="R215">
        <f t="shared" si="12"/>
        <v>0.21299999999999999</v>
      </c>
      <c r="S215">
        <f t="shared" si="13"/>
        <v>-13.115636546652558</v>
      </c>
    </row>
    <row r="216" spans="1:19" x14ac:dyDescent="0.3">
      <c r="A216">
        <v>0.214</v>
      </c>
      <c r="B216">
        <f>Uo*COS(2*PI()*Wn*Sheet2!A216) + (Vo/Wn - (Po*(w/Wn))/(K*(1-(w/Wn)^2)))*SIN(2*PI()*Wn*Sheet2!A216) +(Po*SIN(2*PI()*w*Sheet2!A216))/(K*(1-(w/Wn)^2))</f>
        <v>-14.951897483483954</v>
      </c>
      <c r="C216">
        <f t="shared" si="14"/>
        <v>-12.920546230694262</v>
      </c>
      <c r="D216">
        <f t="shared" si="15"/>
        <v>-2110.5046052174057</v>
      </c>
      <c r="R216">
        <f t="shared" si="12"/>
        <v>0.214</v>
      </c>
      <c r="S216">
        <f t="shared" si="13"/>
        <v>-12.920546230694262</v>
      </c>
    </row>
    <row r="217" spans="1:19" x14ac:dyDescent="0.3">
      <c r="A217">
        <v>0.215</v>
      </c>
      <c r="B217">
        <f>Uo*COS(2*PI()*Wn*Sheet2!A217) + (Vo/Wn - (Po*(w/Wn))/(K*(1-(w/Wn)^2)))*SIN(2*PI()*Wn*Sheet2!A217) +(Po*SIN(2*PI()*w*Sheet2!A217))/(K*(1-(w/Wn)^2))</f>
        <v>-14.709382119483124</v>
      </c>
      <c r="C217">
        <f t="shared" si="14"/>
        <v>-12.72159113134758</v>
      </c>
      <c r="D217">
        <f t="shared" si="15"/>
        <v>-2078.0063156013562</v>
      </c>
      <c r="R217">
        <f t="shared" si="12"/>
        <v>0.215</v>
      </c>
      <c r="S217">
        <f t="shared" si="13"/>
        <v>-12.72159113134758</v>
      </c>
    </row>
    <row r="218" spans="1:19" x14ac:dyDescent="0.3">
      <c r="A218">
        <v>0.216</v>
      </c>
      <c r="B218">
        <f>Uo*COS(2*PI()*Wn*Sheet2!A218) + (Vo/Wn - (Po*(w/Wn))/(K*(1-(w/Wn)^2)))*SIN(2*PI()*Wn*Sheet2!A218) +(Po*SIN(2*PI()*w*Sheet2!A218))/(K*(1-(w/Wn)^2))</f>
        <v>-14.462061482855917</v>
      </c>
      <c r="C218">
        <f t="shared" si="14"/>
        <v>-12.518843163836504</v>
      </c>
      <c r="D218">
        <f t="shared" si="15"/>
        <v>-2044.8884805276293</v>
      </c>
      <c r="R218">
        <f t="shared" si="12"/>
        <v>0.216</v>
      </c>
      <c r="S218">
        <f t="shared" si="13"/>
        <v>-12.518843163836504</v>
      </c>
    </row>
    <row r="219" spans="1:19" x14ac:dyDescent="0.3">
      <c r="A219">
        <v>0.217</v>
      </c>
      <c r="B219">
        <f>Uo*COS(2*PI()*Wn*Sheet2!A219) + (Vo/Wn - (Po*(w/Wn))/(K*(1-(w/Wn)^2)))*SIN(2*PI()*Wn*Sheet2!A219) +(Po*SIN(2*PI()*w*Sheet2!A219))/(K*(1-(w/Wn)^2))</f>
        <v>-14.210016368504215</v>
      </c>
      <c r="C219">
        <f t="shared" si="14"/>
        <v>-12.3123753514569</v>
      </c>
      <c r="D219">
        <f t="shared" si="15"/>
        <v>-2011.1630279750786</v>
      </c>
      <c r="R219">
        <f t="shared" si="12"/>
        <v>0.217</v>
      </c>
      <c r="S219">
        <f t="shared" si="13"/>
        <v>-12.3123753514569</v>
      </c>
    </row>
    <row r="220" spans="1:19" x14ac:dyDescent="0.3">
      <c r="A220">
        <v>0.218</v>
      </c>
      <c r="B220">
        <f>Uo*COS(2*PI()*Wn*Sheet2!A220) + (Vo/Wn - (Po*(w/Wn))/(K*(1-(w/Wn)^2)))*SIN(2*PI()*Wn*Sheet2!A220) +(Po*SIN(2*PI()*w*Sheet2!A220))/(K*(1-(w/Wn)^2))</f>
        <v>-13.953329114726039</v>
      </c>
      <c r="C220">
        <f t="shared" si="14"/>
        <v>-12.102261799741788</v>
      </c>
      <c r="D220">
        <f t="shared" si="15"/>
        <v>-1976.8420627004161</v>
      </c>
      <c r="R220">
        <f t="shared" si="12"/>
        <v>0.218</v>
      </c>
      <c r="S220">
        <f t="shared" si="13"/>
        <v>-12.102261799741788</v>
      </c>
    </row>
    <row r="221" spans="1:19" x14ac:dyDescent="0.3">
      <c r="A221">
        <v>0.219</v>
      </c>
      <c r="B221">
        <f>Uo*COS(2*PI()*Wn*Sheet2!A221) + (Vo/Wn - (Po*(w/Wn))/(K*(1-(w/Wn)^2)))*SIN(2*PI()*Wn*Sheet2!A221) +(Po*SIN(2*PI()*w*Sheet2!A221))/(K*(1-(w/Wn)^2))</f>
        <v>-13.692083576317192</v>
      </c>
      <c r="C221">
        <f t="shared" si="14"/>
        <v>-11.888577670320007</v>
      </c>
      <c r="D221">
        <f t="shared" si="15"/>
        <v>-1941.9378619681606</v>
      </c>
      <c r="R221">
        <f t="shared" si="12"/>
        <v>0.219</v>
      </c>
      <c r="S221">
        <f t="shared" si="13"/>
        <v>-11.888577670320007</v>
      </c>
    </row>
    <row r="222" spans="1:19" x14ac:dyDescent="0.3">
      <c r="A222">
        <v>0.22</v>
      </c>
      <c r="B222">
        <f>Uo*COS(2*PI()*Wn*Sheet2!A222) + (Vo/Wn - (Po*(w/Wn))/(K*(1-(w/Wn)^2)))*SIN(2*PI()*Wn*Sheet2!A222) +(Po*SIN(2*PI()*w*Sheet2!A222))/(K*(1-(w/Wn)^2))</f>
        <v>-13.426365097177532</v>
      </c>
      <c r="C222">
        <f t="shared" si="14"/>
        <v>-11.671399154477424</v>
      </c>
      <c r="D222">
        <f t="shared" si="15"/>
        <v>-1906.4628712319968</v>
      </c>
      <c r="R222">
        <f t="shared" si="12"/>
        <v>0.22</v>
      </c>
      <c r="S222">
        <f t="shared" si="13"/>
        <v>-11.671399154477424</v>
      </c>
    </row>
    <row r="223" spans="1:19" x14ac:dyDescent="0.3">
      <c r="A223">
        <v>0.221</v>
      </c>
      <c r="B223">
        <f>Uo*COS(2*PI()*Wn*Sheet2!A223) + (Vo/Wn - (Po*(w/Wn))/(K*(1-(w/Wn)^2)))*SIN(2*PI()*Wn*Sheet2!A223) +(Po*SIN(2*PI()*w*Sheet2!A223))/(K*(1-(w/Wn)^2))</f>
        <v>-13.156260482430742</v>
      </c>
      <c r="C223">
        <f t="shared" si="14"/>
        <v>-11.450803446429784</v>
      </c>
      <c r="D223">
        <f t="shared" si="15"/>
        <v>-1870.4296997690346</v>
      </c>
      <c r="R223">
        <f t="shared" si="12"/>
        <v>0.221</v>
      </c>
      <c r="S223">
        <f t="shared" si="13"/>
        <v>-11.450803446429784</v>
      </c>
    </row>
    <row r="224" spans="1:19" x14ac:dyDescent="0.3">
      <c r="A224">
        <v>0.222</v>
      </c>
      <c r="B224">
        <f>Uo*COS(2*PI()*Wn*Sheet2!A224) + (Vo/Wn - (Po*(w/Wn))/(K*(1-(w/Wn)^2)))*SIN(2*PI()*Wn*Sheet2!A224) +(Po*SIN(2*PI()*w*Sheet2!A224))/(K*(1-(w/Wn)^2))</f>
        <v>-12.881857970066758</v>
      </c>
      <c r="C224">
        <f t="shared" si="14"/>
        <v>-11.226868716316526</v>
      </c>
      <c r="D224">
        <f t="shared" si="15"/>
        <v>-1833.8511162684858</v>
      </c>
      <c r="R224">
        <f t="shared" si="12"/>
        <v>0.222</v>
      </c>
      <c r="S224">
        <f t="shared" si="13"/>
        <v>-11.226868716316526</v>
      </c>
    </row>
    <row r="225" spans="1:19" x14ac:dyDescent="0.3">
      <c r="A225">
        <v>0.223</v>
      </c>
      <c r="B225">
        <f>Uo*COS(2*PI()*Wn*Sheet2!A225) + (Vo/Wn - (Po*(w/Wn))/(K*(1-(w/Wn)^2)))*SIN(2*PI()*Wn*Sheet2!A225) +(Po*SIN(2*PI()*w*Sheet2!A225))/(K*(1-(w/Wn)^2))</f>
        <v>-12.603247202116126</v>
      </c>
      <c r="C225">
        <f t="shared" si="14"/>
        <v>-10.999674082924804</v>
      </c>
      <c r="D225">
        <f t="shared" si="15"/>
        <v>-1796.7400443762765</v>
      </c>
      <c r="R225">
        <f t="shared" si="12"/>
        <v>0.223</v>
      </c>
      <c r="S225">
        <f t="shared" si="13"/>
        <v>-10.999674082924804</v>
      </c>
    </row>
    <row r="226" spans="1:19" x14ac:dyDescent="0.3">
      <c r="A226">
        <v>0.224</v>
      </c>
      <c r="B226">
        <f>Uo*COS(2*PI()*Wn*Sheet2!A226) + (Vo/Wn - (Po*(w/Wn))/(K*(1-(w/Wn)^2)))*SIN(2*PI()*Wn*Sheet2!A226) +(Po*SIN(2*PI()*w*Sheet2!A226))/(K*(1-(w/Wn)^2))</f>
        <v>-12.320519195365669</v>
      </c>
      <c r="C226">
        <f t="shared" si="14"/>
        <v>-10.769299586153164</v>
      </c>
      <c r="D226">
        <f t="shared" si="15"/>
        <v>-1759.1095581971281</v>
      </c>
      <c r="R226">
        <f t="shared" si="12"/>
        <v>0.224</v>
      </c>
      <c r="S226">
        <f t="shared" si="13"/>
        <v>-10.769299586153164</v>
      </c>
    </row>
    <row r="227" spans="1:19" x14ac:dyDescent="0.3">
      <c r="A227">
        <v>0.22500000000000001</v>
      </c>
      <c r="B227">
        <f>Uo*COS(2*PI()*Wn*Sheet2!A227) + (Vo/Wn - (Po*(w/Wn))/(K*(1-(w/Wn)^2)))*SIN(2*PI()*Wn*Sheet2!A227) +(Po*SIN(2*PI()*w*Sheet2!A227))/(K*(1-(w/Wn)^2))</f>
        <v>-12.033766311625044</v>
      </c>
      <c r="C227">
        <f t="shared" si="14"/>
        <v>-10.535826159224285</v>
      </c>
      <c r="D227">
        <f t="shared" si="15"/>
        <v>-1720.9728777556534</v>
      </c>
      <c r="R227">
        <f t="shared" si="12"/>
        <v>0.22500000000000001</v>
      </c>
      <c r="S227">
        <f t="shared" si="13"/>
        <v>-10.535826159224285</v>
      </c>
    </row>
    <row r="228" spans="1:19" x14ac:dyDescent="0.3">
      <c r="A228">
        <v>0.22600000000000001</v>
      </c>
      <c r="B228">
        <f>Uo*COS(2*PI()*Wn*Sheet2!A228) + (Vo/Wn - (Po*(w/Wn))/(K*(1-(w/Wn)^2)))*SIN(2*PI()*Wn*Sheet2!A228) +(Po*SIN(2*PI()*w*Sheet2!A228))/(K*(1-(w/Wn)^2))</f>
        <v>-11.743082227553929</v>
      </c>
      <c r="C228">
        <f t="shared" si="14"/>
        <v>-10.299335600656358</v>
      </c>
      <c r="D228">
        <f t="shared" si="15"/>
        <v>-1682.3433644180252</v>
      </c>
      <c r="R228">
        <f t="shared" si="12"/>
        <v>0.22600000000000001</v>
      </c>
      <c r="S228">
        <f t="shared" si="13"/>
        <v>-10.299335600656358</v>
      </c>
    </row>
    <row r="229" spans="1:19" x14ac:dyDescent="0.3">
      <c r="A229">
        <v>0.22700000000000001</v>
      </c>
      <c r="B229">
        <f>Uo*COS(2*PI()*Wn*Sheet2!A229) + (Vo/Wn - (Po*(w/Wn))/(K*(1-(w/Wn)^2)))*SIN(2*PI()*Wn*Sheet2!A229) +(Po*SIN(2*PI()*w*Sheet2!A229))/(K*(1-(w/Wn)^2))</f>
        <v>-11.448561904059636</v>
      </c>
      <c r="C229">
        <f t="shared" si="14"/>
        <v>-10.059910546002628</v>
      </c>
      <c r="D229">
        <f t="shared" si="15"/>
        <v>-1643.2345162757765</v>
      </c>
      <c r="R229">
        <f t="shared" si="12"/>
        <v>0.22700000000000001</v>
      </c>
      <c r="S229">
        <f t="shared" si="13"/>
        <v>-10.059910546002628</v>
      </c>
    </row>
    <row r="230" spans="1:19" x14ac:dyDescent="0.3">
      <c r="A230">
        <v>0.22800000000000001</v>
      </c>
      <c r="B230">
        <f>Uo*COS(2*PI()*Wn*Sheet2!A230) + (Vo/Wn - (Po*(w/Wn))/(K*(1-(w/Wn)^2)))*SIN(2*PI()*Wn*Sheet2!A230) +(Po*SIN(2*PI()*w*Sheet2!A230))/(K*(1-(w/Wn)^2))</f>
        <v>-11.150301555275215</v>
      </c>
      <c r="C230">
        <f t="shared" si="14"/>
        <v>-9.8176344393688115</v>
      </c>
      <c r="D230">
        <f t="shared" si="15"/>
        <v>-1603.6599634933173</v>
      </c>
      <c r="R230">
        <f t="shared" si="12"/>
        <v>0.22800000000000001</v>
      </c>
      <c r="S230">
        <f t="shared" si="13"/>
        <v>-9.8176344393688115</v>
      </c>
    </row>
    <row r="231" spans="1:19" x14ac:dyDescent="0.3">
      <c r="A231">
        <v>0.22900000000000001</v>
      </c>
      <c r="B231">
        <f>Uo*COS(2*PI()*Wn*Sheet2!A231) + (Vo/Wn - (Po*(w/Wn))/(K*(1-(w/Wn)^2)))*SIN(2*PI()*Wn*Sheet2!A231) +(Po*SIN(2*PI()*w*Sheet2!A231))/(K*(1-(w/Wn)^2))</f>
        <v>-10.848398617128156</v>
      </c>
      <c r="C231">
        <f t="shared" si="14"/>
        <v>-9.5725915047180052</v>
      </c>
      <c r="D231">
        <f t="shared" si="15"/>
        <v>-1563.6334636207398</v>
      </c>
      <c r="R231">
        <f t="shared" si="12"/>
        <v>0.22900000000000001</v>
      </c>
      <c r="S231">
        <f t="shared" si="13"/>
        <v>-9.5725915047180052</v>
      </c>
    </row>
    <row r="232" spans="1:19" x14ac:dyDescent="0.3">
      <c r="A232">
        <v>0.23</v>
      </c>
      <c r="B232">
        <f>Uo*COS(2*PI()*Wn*Sheet2!A232) + (Vo/Wn - (Po*(w/Wn))/(K*(1-(w/Wn)^2)))*SIN(2*PI()*Wn*Sheet2!A232) +(Po*SIN(2*PI()*w*Sheet2!A232))/(K*(1-(w/Wn)^2))</f>
        <v>-10.542951715509929</v>
      </c>
      <c r="C232">
        <f t="shared" si="14"/>
        <v>-9.3248667169729131</v>
      </c>
      <c r="D232">
        <f t="shared" si="15"/>
        <v>-1523.1688968735159</v>
      </c>
      <c r="R232">
        <f t="shared" si="12"/>
        <v>0.23</v>
      </c>
      <c r="S232">
        <f t="shared" si="13"/>
        <v>-9.3248667169729131</v>
      </c>
    </row>
    <row r="233" spans="1:19" x14ac:dyDescent="0.3">
      <c r="A233">
        <v>0.23100000000000001</v>
      </c>
      <c r="B233">
        <f>Uo*COS(2*PI()*Wn*Sheet2!A233) + (Vo/Wn - (Po*(w/Wn))/(K*(1-(w/Wn)^2)))*SIN(2*PI()*Wn*Sheet2!A233) +(Po*SIN(2*PI()*w*Sheet2!A233))/(K*(1-(w/Wn)^2))</f>
        <v>-10.234060634056803</v>
      </c>
      <c r="C233">
        <f t="shared" si="14"/>
        <v>-9.0745457729251484</v>
      </c>
      <c r="D233">
        <f t="shared" si="15"/>
        <v>-1482.2802613806814</v>
      </c>
      <c r="R233">
        <f t="shared" si="12"/>
        <v>0.23100000000000001</v>
      </c>
      <c r="S233">
        <f t="shared" si="13"/>
        <v>-9.0745457729251484</v>
      </c>
    </row>
    <row r="234" spans="1:19" x14ac:dyDescent="0.3">
      <c r="A234">
        <v>0.23200000000000001</v>
      </c>
      <c r="B234">
        <f>Uo*COS(2*PI()*Wn*Sheet2!A234) + (Vo/Wn - (Po*(w/Wn))/(K*(1-(w/Wn)^2)))*SIN(2*PI()*Wn*Sheet2!A234) +(Po*SIN(2*PI()*w*Sheet2!A234))/(K*(1-(w/Wn)^2))</f>
        <v>-9.9218262815524341</v>
      </c>
      <c r="C234">
        <f t="shared" si="14"/>
        <v>-8.821715061961422</v>
      </c>
      <c r="D234">
        <f t="shared" si="15"/>
        <v>-1440.98166840311</v>
      </c>
      <c r="R234">
        <f t="shared" si="12"/>
        <v>0.23200000000000001</v>
      </c>
      <c r="S234">
        <f t="shared" si="13"/>
        <v>-8.821715061961422</v>
      </c>
    </row>
    <row r="235" spans="1:19" x14ac:dyDescent="0.3">
      <c r="A235">
        <v>0.23300000000000001</v>
      </c>
      <c r="B235">
        <f>Uo*COS(2*PI()*Wn*Sheet2!A235) + (Vo/Wn - (Po*(w/Wn))/(K*(1-(w/Wn)^2)))*SIN(2*PI()*Wn*Sheet2!A235) +(Po*SIN(2*PI()*w*Sheet2!A235))/(K*(1-(w/Wn)^2))</f>
        <v>-9.6063506589629633</v>
      </c>
      <c r="C235">
        <f t="shared" si="14"/>
        <v>-8.5664616366166459</v>
      </c>
      <c r="D235">
        <f t="shared" si="15"/>
        <v>-1399.2873375235154</v>
      </c>
      <c r="R235">
        <f t="shared" si="12"/>
        <v>0.23300000000000001</v>
      </c>
      <c r="S235">
        <f t="shared" si="13"/>
        <v>-8.5664616366166459</v>
      </c>
    </row>
    <row r="236" spans="1:19" x14ac:dyDescent="0.3">
      <c r="A236">
        <v>0.23400000000000001</v>
      </c>
      <c r="B236">
        <f>Uo*COS(2*PI()*Wn*Sheet2!A236) + (Vo/Wn - (Po*(w/Wn))/(K*(1-(w/Wn)^2)))*SIN(2*PI()*Wn*Sheet2!A236) +(Po*SIN(2*PI()*w*Sheet2!A236))/(K*(1-(w/Wn)^2))</f>
        <v>-9.2877368261151734</v>
      </c>
      <c r="C236">
        <f t="shared" si="14"/>
        <v>-8.308873182963616</v>
      </c>
      <c r="D236">
        <f t="shared" si="15"/>
        <v>-1357.211591809757</v>
      </c>
      <c r="R236">
        <f t="shared" si="12"/>
        <v>0.23400000000000001</v>
      </c>
      <c r="S236">
        <f t="shared" si="13"/>
        <v>-8.308873182963616</v>
      </c>
    </row>
    <row r="237" spans="1:19" x14ac:dyDescent="0.3">
      <c r="A237">
        <v>0.23499999999999999</v>
      </c>
      <c r="B237">
        <f>Uo*COS(2*PI()*Wn*Sheet2!A237) + (Vo/Wn - (Po*(w/Wn))/(K*(1-(w/Wn)^2)))*SIN(2*PI()*Wn*Sheet2!A237) +(Po*SIN(2*PI()*w*Sheet2!A237))/(K*(1-(w/Wn)^2))</f>
        <v>-8.9660888680288959</v>
      </c>
      <c r="C237">
        <f t="shared" si="14"/>
        <v>-8.04903799084952</v>
      </c>
      <c r="D237">
        <f t="shared" si="15"/>
        <v>-1314.7688529531288</v>
      </c>
      <c r="R237">
        <f t="shared" si="12"/>
        <v>0.23499999999999999</v>
      </c>
      <c r="S237">
        <f t="shared" si="13"/>
        <v>-8.04903799084952</v>
      </c>
    </row>
    <row r="238" spans="1:19" x14ac:dyDescent="0.3">
      <c r="A238">
        <v>0.23599999999999999</v>
      </c>
      <c r="B238">
        <f>Uo*COS(2*PI()*Wn*Sheet2!A238) + (Vo/Wn - (Po*(w/Wn))/(K*(1-(w/Wn)^2)))*SIN(2*PI()*Wn*Sheet2!A238) +(Po*SIN(2*PI()*w*Sheet2!A238))/(K*(1-(w/Wn)^2))</f>
        <v>-8.6415118609143526</v>
      </c>
      <c r="C238">
        <f t="shared" si="14"/>
        <v>-7.7870449239890416</v>
      </c>
      <c r="D238">
        <f t="shared" si="15"/>
        <v>-1271.9736363832205</v>
      </c>
      <c r="R238">
        <f t="shared" si="12"/>
        <v>0.23599999999999999</v>
      </c>
      <c r="S238">
        <f t="shared" si="13"/>
        <v>-7.7870449239890416</v>
      </c>
    </row>
    <row r="239" spans="1:19" x14ac:dyDescent="0.3">
      <c r="A239">
        <v>0.23699999999999999</v>
      </c>
      <c r="B239">
        <f>Uo*COS(2*PI()*Wn*Sheet2!A239) + (Vo/Wn - (Po*(w/Wn))/(K*(1-(w/Wn)^2)))*SIN(2*PI()*Wn*Sheet2!A239) +(Po*SIN(2*PI()*w*Sheet2!A239))/(K*(1-(w/Wn)^2))</f>
        <v>-8.3141118378458803</v>
      </c>
      <c r="C239">
        <f t="shared" si="14"/>
        <v>-7.5229833899242644</v>
      </c>
      <c r="D239">
        <f t="shared" si="15"/>
        <v>-1228.8405463610243</v>
      </c>
      <c r="R239">
        <f t="shared" si="12"/>
        <v>0.23699999999999999</v>
      </c>
      <c r="S239">
        <f t="shared" si="13"/>
        <v>-7.5229833899242644</v>
      </c>
    </row>
    <row r="240" spans="1:19" x14ac:dyDescent="0.3">
      <c r="A240">
        <v>0.23799999999999999</v>
      </c>
      <c r="B240">
        <f>Uo*COS(2*PI()*Wn*Sheet2!A240) + (Vo/Wn - (Po*(w/Wn))/(K*(1-(w/Wn)^2)))*SIN(2*PI()*Wn*Sheet2!A240) +(Po*SIN(2*PI()*w*Sheet2!A240))/(K*(1-(w/Wn)^2))</f>
        <v>-7.9839957541228852</v>
      </c>
      <c r="C240">
        <f t="shared" si="14"/>
        <v>-7.2569433098612226</v>
      </c>
      <c r="D240">
        <f t="shared" si="15"/>
        <v>-1185.3842710518893</v>
      </c>
      <c r="R240">
        <f t="shared" si="12"/>
        <v>0.23799999999999999</v>
      </c>
      <c r="S240">
        <f t="shared" si="13"/>
        <v>-7.2569433098612226</v>
      </c>
    </row>
    <row r="241" spans="1:19" x14ac:dyDescent="0.3">
      <c r="A241">
        <v>0.23899999999999999</v>
      </c>
      <c r="B241">
        <f>Uo*COS(2*PI()*Wn*Sheet2!A241) + (Vo/Wn - (Po*(w/Wn))/(K*(1-(w/Wn)^2)))*SIN(2*PI()*Wn*Sheet2!A241) +(Po*SIN(2*PI()*w*Sheet2!A241))/(K*(1-(w/Wn)^2))</f>
        <v>-7.651271452329631</v>
      </c>
      <c r="C241">
        <f t="shared" si="14"/>
        <v>-6.9890150883933364</v>
      </c>
      <c r="D241">
        <f t="shared" si="15"/>
        <v>-1141.619577580002</v>
      </c>
      <c r="R241">
        <f t="shared" si="12"/>
        <v>0.23899999999999999</v>
      </c>
      <c r="S241">
        <f t="shared" si="13"/>
        <v>-6.9890150883933364</v>
      </c>
    </row>
    <row r="242" spans="1:19" x14ac:dyDescent="0.3">
      <c r="A242">
        <v>0.24</v>
      </c>
      <c r="B242">
        <f>Uo*COS(2*PI()*Wn*Sheet2!A242) + (Vo/Wn - (Po*(w/Wn))/(K*(1-(w/Wn)^2)))*SIN(2*PI()*Wn*Sheet2!A242) +(Po*SIN(2*PI()*w*Sheet2!A242))/(K*(1-(w/Wn)^2))</f>
        <v>-7.3160476271051262</v>
      </c>
      <c r="C242">
        <f t="shared" si="14"/>
        <v>-6.7192895831217179</v>
      </c>
      <c r="D242">
        <f t="shared" si="15"/>
        <v>-1097.5613070660197</v>
      </c>
      <c r="R242">
        <f t="shared" si="12"/>
        <v>0.24</v>
      </c>
      <c r="S242">
        <f t="shared" si="13"/>
        <v>-6.7192895831217179</v>
      </c>
    </row>
    <row r="243" spans="1:19" x14ac:dyDescent="0.3">
      <c r="A243">
        <v>0.24099999999999999</v>
      </c>
      <c r="B243">
        <f>Uo*COS(2*PI()*Wn*Sheet2!A243) + (Vo/Wn - (Po*(w/Wn))/(K*(1-(w/Wn)^2)))*SIN(2*PI()*Wn*Sheet2!A243) +(Po*SIN(2*PI()*w*Sheet2!A243))/(K*(1-(w/Wn)^2))</f>
        <v>-6.9784337896346802</v>
      </c>
      <c r="C243">
        <f t="shared" si="14"/>
        <v>-6.447858074182502</v>
      </c>
      <c r="D243">
        <f t="shared" si="15"/>
        <v>-1053.2243696495166</v>
      </c>
      <c r="R243">
        <f t="shared" si="12"/>
        <v>0.24099999999999999</v>
      </c>
      <c r="S243">
        <f t="shared" si="13"/>
        <v>-6.447858074182502</v>
      </c>
    </row>
    <row r="244" spans="1:19" x14ac:dyDescent="0.3">
      <c r="A244">
        <v>0.24199999999999999</v>
      </c>
      <c r="B244">
        <f>Uo*COS(2*PI()*Wn*Sheet2!A244) + (Vo/Wn - (Po*(w/Wn))/(K*(1-(w/Wn)^2)))*SIN(2*PI()*Wn*Sheet2!A244) +(Po*SIN(2*PI()*w*Sheet2!A244))/(K*(1-(w/Wn)^2))</f>
        <v>-6.6385402318746811</v>
      </c>
      <c r="C244">
        <f t="shared" si="14"/>
        <v>-6.1748122336912674</v>
      </c>
      <c r="D244">
        <f t="shared" si="15"/>
        <v>-1008.6237394978886</v>
      </c>
      <c r="R244">
        <f t="shared" si="12"/>
        <v>0.24199999999999999</v>
      </c>
      <c r="S244">
        <f t="shared" si="13"/>
        <v>-6.1748122336912674</v>
      </c>
    </row>
    <row r="245" spans="1:19" x14ac:dyDescent="0.3">
      <c r="A245">
        <v>0.24299999999999999</v>
      </c>
      <c r="B245">
        <f>Uo*COS(2*PI()*Wn*Sheet2!A245) + (Vo/Wn - (Po*(w/Wn))/(K*(1-(w/Wn)^2)))*SIN(2*PI()*Wn*Sheet2!A245) +(Po*SIN(2*PI()*w*Sheet2!A245))/(K*(1-(w/Wn)^2))</f>
        <v>-6.2964779905224031</v>
      </c>
      <c r="C245">
        <f t="shared" si="14"/>
        <v>-5.9002440951147799</v>
      </c>
      <c r="D245">
        <f t="shared" si="15"/>
        <v>-963.77444980338385</v>
      </c>
      <c r="R245">
        <f t="shared" si="12"/>
        <v>0.24299999999999999</v>
      </c>
      <c r="S245">
        <f t="shared" si="13"/>
        <v>-5.9002440951147799</v>
      </c>
    </row>
    <row r="246" spans="1:19" x14ac:dyDescent="0.3">
      <c r="A246">
        <v>0.24399999999999999</v>
      </c>
      <c r="B246">
        <f>Uo*COS(2*PI()*Wn*Sheet2!A246) + (Vo/Wn - (Po*(w/Wn))/(K*(1-(w/Wn)^2)))*SIN(2*PI()*Wn*Sheet2!A246) +(Po*SIN(2*PI()*w*Sheet2!A246))/(K*(1-(w/Wn)^2))</f>
        <v>-5.9523588107423464</v>
      </c>
      <c r="C246">
        <f t="shared" si="14"/>
        <v>-5.6242460225799613</v>
      </c>
      <c r="D246">
        <f t="shared" si="15"/>
        <v>-918.69158776988274</v>
      </c>
      <c r="R246">
        <f t="shared" si="12"/>
        <v>0.24399999999999999</v>
      </c>
      <c r="S246">
        <f t="shared" si="13"/>
        <v>-5.6242460225799613</v>
      </c>
    </row>
    <row r="247" spans="1:19" x14ac:dyDescent="0.3">
      <c r="A247">
        <v>0.245</v>
      </c>
      <c r="B247">
        <f>Uo*COS(2*PI()*Wn*Sheet2!A247) + (Vo/Wn - (Po*(w/Wn))/(K*(1-(w/Wn)^2)))*SIN(2*PI()*Wn*Sheet2!A247) +(Po*SIN(2*PI()*w*Sheet2!A247))/(K*(1-(w/Wn)^2))</f>
        <v>-5.606295109661307</v>
      </c>
      <c r="C247">
        <f t="shared" si="14"/>
        <v>-5.3469106801304935</v>
      </c>
      <c r="D247">
        <f t="shared" si="15"/>
        <v>-873.3902895911217</v>
      </c>
      <c r="R247">
        <f t="shared" si="12"/>
        <v>0.245</v>
      </c>
      <c r="S247">
        <f t="shared" si="13"/>
        <v>-5.3469106801304935</v>
      </c>
    </row>
    <row r="248" spans="1:19" x14ac:dyDescent="0.3">
      <c r="A248">
        <v>0.246</v>
      </c>
      <c r="B248">
        <f>Uo*COS(2*PI()*Wn*Sheet2!A248) + (Vo/Wn - (Po*(w/Wn))/(K*(1-(w/Wn)^2)))*SIN(2*PI()*Wn*Sheet2!A248) +(Po*SIN(2*PI()*w*Sheet2!A248))/(K*(1-(w/Wn)^2))</f>
        <v>-5.2583999396438408</v>
      </c>
      <c r="C248">
        <f t="shared" si="14"/>
        <v>-5.0683310009409883</v>
      </c>
      <c r="D248">
        <f t="shared" si="15"/>
        <v>-827.88573542198685</v>
      </c>
      <c r="R248">
        <f t="shared" si="12"/>
        <v>0.246</v>
      </c>
      <c r="S248">
        <f t="shared" si="13"/>
        <v>-5.0683310009409883</v>
      </c>
    </row>
    <row r="249" spans="1:19" x14ac:dyDescent="0.3">
      <c r="A249">
        <v>0.247</v>
      </c>
      <c r="B249">
        <f>Uo*COS(2*PI()*Wn*Sheet2!A249) + (Vo/Wn - (Po*(w/Wn))/(K*(1-(w/Wn)^2)))*SIN(2*PI()*Wn*Sheet2!A249) +(Po*SIN(2*PI()*w*Sheet2!A249))/(K*(1-(w/Wn)^2))</f>
        <v>-4.9087869513602325</v>
      </c>
      <c r="C249">
        <f t="shared" si="14"/>
        <v>-4.7886001564989229</v>
      </c>
      <c r="D249">
        <f t="shared" si="15"/>
        <v>-782.19314434454213</v>
      </c>
      <c r="R249">
        <f t="shared" si="12"/>
        <v>0.247</v>
      </c>
      <c r="S249">
        <f t="shared" si="13"/>
        <v>-4.7886001564989229</v>
      </c>
    </row>
    <row r="250" spans="1:19" x14ac:dyDescent="0.3">
      <c r="A250">
        <v>0.248</v>
      </c>
      <c r="B250">
        <f>Uo*COS(2*PI()*Wn*Sheet2!A250) + (Vo/Wn - (Po*(w/Wn))/(K*(1-(w/Wn)^2)))*SIN(2*PI()*Wn*Sheet2!A250) +(Po*SIN(2*PI()*w*Sheet2!A250))/(K*(1-(w/Wn)^2))</f>
        <v>-4.5575703566590011</v>
      </c>
      <c r="C250">
        <f t="shared" si="14"/>
        <v>-4.5078115257644384</v>
      </c>
      <c r="D250">
        <f t="shared" si="15"/>
        <v>-736.32776933044124</v>
      </c>
      <c r="R250">
        <f t="shared" si="12"/>
        <v>0.248</v>
      </c>
      <c r="S250">
        <f t="shared" si="13"/>
        <v>-4.5078115257644384</v>
      </c>
    </row>
    <row r="251" spans="1:19" x14ac:dyDescent="0.3">
      <c r="A251">
        <v>0.249</v>
      </c>
      <c r="B251">
        <f>Uo*COS(2*PI()*Wn*Sheet2!A251) + (Vo/Wn - (Po*(w/Wn))/(K*(1-(w/Wn)^2)))*SIN(2*PI()*Wn*Sheet2!A251) +(Po*SIN(2*PI()*w*Sheet2!A251))/(K*(1-(w/Wn)^2))</f>
        <v>-4.2048648912560802</v>
      </c>
      <c r="C251">
        <f t="shared" si="14"/>
        <v>-4.2260586643181242</v>
      </c>
      <c r="D251">
        <f t="shared" si="15"/>
        <v>-690.3048922013777</v>
      </c>
      <c r="R251">
        <f t="shared" si="12"/>
        <v>0.249</v>
      </c>
      <c r="S251">
        <f t="shared" si="13"/>
        <v>-4.2260586643181242</v>
      </c>
    </row>
    <row r="252" spans="1:19" x14ac:dyDescent="0.3">
      <c r="A252">
        <v>0.25</v>
      </c>
      <c r="B252">
        <f>Uo*COS(2*PI()*Wn*Sheet2!A252) + (Vo/Wn - (Po*(w/Wn))/(K*(1-(w/Wn)^2)))*SIN(2*PI()*Wn*Sheet2!A252) +(Po*SIN(2*PI()*w*Sheet2!A252))/(K*(1-(w/Wn)^2))</f>
        <v>-3.8507857772528684</v>
      </c>
      <c r="C252">
        <f t="shared" si="14"/>
        <v>-3.9434352735068638</v>
      </c>
      <c r="D252">
        <f t="shared" si="15"/>
        <v>-644.13981858921716</v>
      </c>
      <c r="R252">
        <f t="shared" si="12"/>
        <v>0.25</v>
      </c>
      <c r="S252">
        <f t="shared" si="13"/>
        <v>-3.9434352735068638</v>
      </c>
    </row>
    <row r="253" spans="1:19" x14ac:dyDescent="0.3">
      <c r="A253">
        <v>0.251</v>
      </c>
      <c r="B253">
        <f>Uo*COS(2*PI()*Wn*Sheet2!A253) + (Vo/Wn - (Po*(w/Wn))/(K*(1-(w/Wn)^2)))*SIN(2*PI()*Wn*Sheet2!A253) +(Po*SIN(2*PI()*w*Sheet2!A253))/(K*(1-(w/Wn)^2))</f>
        <v>-3.4954486854953797</v>
      </c>
      <c r="C253">
        <f t="shared" si="14"/>
        <v>-3.6600351695978248</v>
      </c>
      <c r="D253">
        <f t="shared" si="15"/>
        <v>-597.84787289746146</v>
      </c>
      <c r="R253">
        <f t="shared" si="12"/>
        <v>0.251</v>
      </c>
      <c r="S253">
        <f t="shared" si="13"/>
        <v>-3.6600351695978248</v>
      </c>
    </row>
    <row r="254" spans="1:19" x14ac:dyDescent="0.3">
      <c r="A254">
        <v>0.252</v>
      </c>
      <c r="B254">
        <f>Uo*COS(2*PI()*Wn*Sheet2!A254) + (Vo/Wn - (Po*(w/Wn))/(K*(1-(w/Wn)^2)))*SIN(2*PI()*Wn*Sheet2!A254) +(Po*SIN(2*PI()*w*Sheet2!A254))/(K*(1-(w/Wn)^2))</f>
        <v>-3.1389696977867976</v>
      </c>
      <c r="C254">
        <f t="shared" si="14"/>
        <v>-3.3759522529506385</v>
      </c>
      <c r="D254">
        <f t="shared" si="15"/>
        <v>-551.44439326568249</v>
      </c>
      <c r="R254">
        <f t="shared" si="12"/>
        <v>0.252</v>
      </c>
      <c r="S254">
        <f t="shared" si="13"/>
        <v>-3.3759522529506385</v>
      </c>
    </row>
    <row r="255" spans="1:19" x14ac:dyDescent="0.3">
      <c r="A255">
        <v>0.253</v>
      </c>
      <c r="B255">
        <f>Uo*COS(2*PI()*Wn*Sheet2!A255) + (Vo/Wn - (Po*(w/Wn))/(K*(1-(w/Wn)^2)))*SIN(2*PI()*Wn*Sheet2!A255) +(Po*SIN(2*PI()*w*Sheet2!A255))/(K*(1-(w/Wn)^2))</f>
        <v>-2.7814652689657828</v>
      </c>
      <c r="C255">
        <f t="shared" si="14"/>
        <v>-3.0912804772178055</v>
      </c>
      <c r="D255">
        <f t="shared" si="15"/>
        <v>-504.94472653856786</v>
      </c>
      <c r="R255">
        <f t="shared" si="12"/>
        <v>0.253</v>
      </c>
      <c r="S255">
        <f t="shared" si="13"/>
        <v>-3.0912804772178055</v>
      </c>
    </row>
    <row r="256" spans="1:19" x14ac:dyDescent="0.3">
      <c r="A256">
        <v>0.254</v>
      </c>
      <c r="B256">
        <f>Uo*COS(2*PI()*Wn*Sheet2!A256) + (Vo/Wn - (Po*(w/Wn))/(K*(1-(w/Wn)^2)))*SIN(2*PI()*Wn*Sheet2!A256) +(Po*SIN(2*PI()*w*Sheet2!A256))/(K*(1-(w/Wn)^2))</f>
        <v>-2.4230521888629117</v>
      </c>
      <c r="C256">
        <f t="shared" si="14"/>
        <v>-2.8061138185833285</v>
      </c>
      <c r="D256">
        <f t="shared" si="15"/>
        <v>-458.36422324120963</v>
      </c>
      <c r="R256">
        <f t="shared" si="12"/>
        <v>0.254</v>
      </c>
      <c r="S256">
        <f t="shared" si="13"/>
        <v>-2.8061138185833285</v>
      </c>
    </row>
    <row r="257" spans="1:19" x14ac:dyDescent="0.3">
      <c r="A257">
        <v>0.255</v>
      </c>
      <c r="B257">
        <f>Uo*COS(2*PI()*Wn*Sheet2!A257) + (Vo/Wn - (Po*(w/Wn))/(K*(1-(w/Wn)^2)))*SIN(2*PI()*Wn*Sheet2!A257) +(Po*SIN(2*PI()*w*Sheet2!A257))/(K*(1-(w/Wn)^2))</f>
        <v>-2.0638475441476829</v>
      </c>
      <c r="C257">
        <f t="shared" si="14"/>
        <v>-2.5205462450495353</v>
      </c>
      <c r="D257">
        <f t="shared" si="15"/>
        <v>-411.71823256226554</v>
      </c>
      <c r="R257">
        <f t="shared" ref="R257:R320" si="16">A257</f>
        <v>0.255</v>
      </c>
      <c r="S257">
        <f t="shared" ref="S257:S320" si="17">C257</f>
        <v>-2.5205462450495353</v>
      </c>
    </row>
    <row r="258" spans="1:19" x14ac:dyDescent="0.3">
      <c r="A258">
        <v>0.25600000000000001</v>
      </c>
      <c r="B258">
        <f>Uo*COS(2*PI()*Wn*Sheet2!A258) + (Vo/Wn - (Po*(w/Wn))/(K*(1-(w/Wn)^2)))*SIN(2*PI()*Wn*Sheet2!A258) +(Po*SIN(2*PI()*w*Sheet2!A258))/(K*(1-(w/Wn)^2))</f>
        <v>-1.7039686800785516</v>
      </c>
      <c r="C258">
        <f t="shared" ref="C258:C321" si="18">EXP(-zeta*Wn*A258*2*PI())*($H$1*COS(wnD*2*PI()*A258) + $H$2*SIN(wnD*2*PI()*A258)) + $H$3*SIN(w*2*PI()*A258) + $H$4*COS(w*2*PI()*A258)</f>
        <v>-2.2346716857820383</v>
      </c>
      <c r="D258">
        <f t="shared" ref="D258:D321" si="19">K*C258</f>
        <v>-365.02209734661614</v>
      </c>
      <c r="R258">
        <f t="shared" si="16"/>
        <v>0.25600000000000001</v>
      </c>
      <c r="S258">
        <f t="shared" si="17"/>
        <v>-2.2346716857820383</v>
      </c>
    </row>
    <row r="259" spans="1:19" x14ac:dyDescent="0.3">
      <c r="A259">
        <v>0.25700000000000001</v>
      </c>
      <c r="B259">
        <f>Uo*COS(2*PI()*Wn*Sheet2!A259) + (Vo/Wn - (Po*(w/Wn))/(K*(1-(w/Wn)^2)))*SIN(2*PI()*Wn*Sheet2!A259) +(Po*SIN(2*PI()*w*Sheet2!A259))/(K*(1-(w/Wn)^2))</f>
        <v>-1.3435331621684856</v>
      </c>
      <c r="C259">
        <f t="shared" si="18"/>
        <v>-1.9485840005227262</v>
      </c>
      <c r="D259">
        <f t="shared" si="19"/>
        <v>-318.2911490991346</v>
      </c>
      <c r="R259">
        <f t="shared" si="16"/>
        <v>0.25700000000000001</v>
      </c>
      <c r="S259">
        <f t="shared" si="17"/>
        <v>-1.9485840005227262</v>
      </c>
    </row>
    <row r="260" spans="1:19" x14ac:dyDescent="0.3">
      <c r="A260">
        <v>0.25800000000000001</v>
      </c>
      <c r="B260">
        <f>Uo*COS(2*PI()*Wn*Sheet2!A260) + (Vo/Wn - (Po*(w/Wn))/(K*(1-(w/Wn)^2)))*SIN(2*PI()*Wn*Sheet2!A260) +(Po*SIN(2*PI()*w*Sheet2!A260))/(K*(1-(w/Wn)^2))</f>
        <v>-0.98265873777857171</v>
      </c>
      <c r="C260">
        <f t="shared" si="18"/>
        <v>-1.6623769490806506</v>
      </c>
      <c r="D260">
        <f t="shared" si="19"/>
        <v>-271.54070300118059</v>
      </c>
      <c r="R260">
        <f t="shared" si="16"/>
        <v>0.25800000000000001</v>
      </c>
      <c r="S260">
        <f t="shared" si="17"/>
        <v>-1.6623769490806506</v>
      </c>
    </row>
    <row r="261" spans="1:19" x14ac:dyDescent="0.3">
      <c r="A261">
        <v>0.25900000000000001</v>
      </c>
      <c r="B261">
        <f>Uo*COS(2*PI()*Wn*Sheet2!A261) + (Vo/Wn - (Po*(w/Wn))/(K*(1-(w/Wn)^2)))*SIN(2*PI()*Wn*Sheet2!A261) +(Po*SIN(2*PI()*w*Sheet2!A261))/(K*(1-(w/Wn)^2))</f>
        <v>-0.62146329765219632</v>
      </c>
      <c r="C261">
        <f t="shared" si="18"/>
        <v>-1.3761441609106067</v>
      </c>
      <c r="D261">
        <f t="shared" si="19"/>
        <v>-224.78605294141789</v>
      </c>
      <c r="R261">
        <f t="shared" si="16"/>
        <v>0.25900000000000001</v>
      </c>
      <c r="S261">
        <f t="shared" si="17"/>
        <v>-1.3761441609106067</v>
      </c>
    </row>
    <row r="262" spans="1:19" x14ac:dyDescent="0.3">
      <c r="A262">
        <v>0.26</v>
      </c>
      <c r="B262">
        <f>Uo*COS(2*PI()*Wn*Sheet2!A262) + (Vo/Wn - (Po*(w/Wn))/(K*(1-(w/Wn)^2)))*SIN(2*PI()*Wn*Sheet2!A262) +(Po*SIN(2*PI()*w*Sheet2!A262))/(K*(1-(w/Wn)^2))</f>
        <v>-0.26006483740247471</v>
      </c>
      <c r="C262">
        <f t="shared" si="18"/>
        <v>-1.089979104789268</v>
      </c>
      <c r="D262">
        <f t="shared" si="19"/>
        <v>-178.04246656256785</v>
      </c>
      <c r="R262">
        <f t="shared" si="16"/>
        <v>0.26</v>
      </c>
      <c r="S262">
        <f t="shared" si="17"/>
        <v>-1.089979104789268</v>
      </c>
    </row>
    <row r="263" spans="1:19" x14ac:dyDescent="0.3">
      <c r="A263">
        <v>0.26100000000000001</v>
      </c>
      <c r="B263">
        <f>Uo*COS(2*PI()*Wn*Sheet2!A263) + (Vo/Wn - (Po*(w/Wn))/(K*(1-(w/Wn)^2)))*SIN(2*PI()*Wn*Sheet2!A263) +(Po*SIN(2*PI()*w*Sheet2!A263))/(K*(1-(w/Wn)^2))</f>
        <v>0.10141858103475629</v>
      </c>
      <c r="C263">
        <f t="shared" si="18"/>
        <v>-0.80397505859838303</v>
      </c>
      <c r="D263">
        <f t="shared" si="19"/>
        <v>-131.32518032564997</v>
      </c>
      <c r="R263">
        <f t="shared" si="16"/>
        <v>0.26100000000000001</v>
      </c>
      <c r="S263">
        <f t="shared" si="17"/>
        <v>-0.80397505859838303</v>
      </c>
    </row>
    <row r="264" spans="1:19" x14ac:dyDescent="0.3">
      <c r="A264">
        <v>0.26200000000000001</v>
      </c>
      <c r="B264">
        <f>Uo*COS(2*PI()*Wn*Sheet2!A264) + (Vo/Wn - (Po*(w/Wn))/(K*(1-(w/Wn)^2)))*SIN(2*PI()*Wn*Sheet2!A264) +(Po*SIN(2*PI()*w*Sheet2!A264))/(K*(1-(w/Wn)^2))</f>
        <v>0.46286886796943377</v>
      </c>
      <c r="C264">
        <f t="shared" si="18"/>
        <v>-0.5182250792249824</v>
      </c>
      <c r="D264">
        <f t="shared" si="19"/>
        <v>-84.649394593336112</v>
      </c>
      <c r="R264">
        <f t="shared" si="16"/>
        <v>0.26200000000000001</v>
      </c>
      <c r="S264">
        <f t="shared" si="17"/>
        <v>-0.5182250792249824</v>
      </c>
    </row>
    <row r="265" spans="1:19" x14ac:dyDescent="0.3">
      <c r="A265">
        <v>0.26300000000000001</v>
      </c>
      <c r="B265">
        <f>Uo*COS(2*PI()*Wn*Sheet2!A265) + (Vo/Wn - (Po*(w/Wn))/(K*(1-(w/Wn)^2)))*SIN(2*PI()*Wn*Sheet2!A265) +(Po*SIN(2*PI()*w*Sheet2!A265))/(K*(1-(w/Wn)^2))</f>
        <v>0.82416794453492037</v>
      </c>
      <c r="C265">
        <f t="shared" si="18"/>
        <v>-0.23282197258800166</v>
      </c>
      <c r="D265">
        <f t="shared" si="19"/>
        <v>-38.03026873395391</v>
      </c>
      <c r="R265">
        <f t="shared" si="16"/>
        <v>0.26300000000000001</v>
      </c>
      <c r="S265">
        <f t="shared" si="17"/>
        <v>-0.23282197258800166</v>
      </c>
    </row>
    <row r="266" spans="1:19" x14ac:dyDescent="0.3">
      <c r="A266">
        <v>0.26400000000000001</v>
      </c>
      <c r="B266">
        <f>Uo*COS(2*PI()*Wn*Sheet2!A266) + (Vo/Wn - (Po*(w/Wn))/(K*(1-(w/Wn)^2)))*SIN(2*PI()*Wn*Sheet2!A266) +(Po*SIN(2*PI()*w*Sheet2!A266))/(K*(1-(w/Wn)^2))</f>
        <v>1.1851977812621024</v>
      </c>
      <c r="C266">
        <f t="shared" si="18"/>
        <v>5.2141736199042894E-2</v>
      </c>
      <c r="D266">
        <f t="shared" si="19"/>
        <v>8.5170837522863803</v>
      </c>
      <c r="R266">
        <f t="shared" si="16"/>
        <v>0.26400000000000001</v>
      </c>
      <c r="S266">
        <f t="shared" si="17"/>
        <v>5.2141736199042894E-2</v>
      </c>
    </row>
    <row r="267" spans="1:19" x14ac:dyDescent="0.3">
      <c r="A267">
        <v>0.26500000000000001</v>
      </c>
      <c r="B267">
        <f>Uo*COS(2*PI()*Wn*Sheet2!A267) + (Vo/Wn - (Po*(w/Wn))/(K*(1-(w/Wn)^2)))*SIN(2*PI()*Wn*Sheet2!A267) +(Po*SIN(2*PI()*w*Sheet2!A267))/(K*(1-(w/Wn)^2))</f>
        <v>1.5458404366373499</v>
      </c>
      <c r="C267">
        <f t="shared" si="18"/>
        <v>0.33657383251984724</v>
      </c>
      <c r="D267">
        <f t="shared" si="19"/>
        <v>54.977600083293112</v>
      </c>
      <c r="R267">
        <f t="shared" si="16"/>
        <v>0.26500000000000001</v>
      </c>
      <c r="S267">
        <f t="shared" si="17"/>
        <v>0.33657383251984724</v>
      </c>
    </row>
    <row r="268" spans="1:19" x14ac:dyDescent="0.3">
      <c r="A268">
        <v>0.26600000000000001</v>
      </c>
      <c r="B268">
        <f>Uo*COS(2*PI()*Wn*Sheet2!A268) + (Vo/Wn - (Po*(w/Wn))/(K*(1-(w/Wn)^2)))*SIN(2*PI()*Wn*Sheet2!A268) +(Po*SIN(2*PI()*w*Sheet2!A268))/(K*(1-(w/Wn)^2))</f>
        <v>1.9059780956317445</v>
      </c>
      <c r="C268">
        <f t="shared" si="18"/>
        <v>0.62038244179215329</v>
      </c>
      <c r="D268">
        <f t="shared" si="19"/>
        <v>101.33627301978275</v>
      </c>
      <c r="R268">
        <f t="shared" si="16"/>
        <v>0.26600000000000001</v>
      </c>
      <c r="S268">
        <f t="shared" si="17"/>
        <v>0.62038244179215329</v>
      </c>
    </row>
    <row r="269" spans="1:19" x14ac:dyDescent="0.3">
      <c r="A269">
        <v>0.26700000000000002</v>
      </c>
      <c r="B269">
        <f>Uo*COS(2*PI()*Wn*Sheet2!A269) + (Vo/Wn - (Po*(w/Wn))/(K*(1-(w/Wn)^2)))*SIN(2*PI()*Wn*Sheet2!A269) +(Po*SIN(2*PI()*w*Sheet2!A269))/(K*(1-(w/Wn)^2))</f>
        <v>2.2654931081889864</v>
      </c>
      <c r="C269">
        <f t="shared" si="18"/>
        <v>0.90347605884025917</v>
      </c>
      <c r="D269">
        <f t="shared" si="19"/>
        <v>147.57815566312794</v>
      </c>
      <c r="R269">
        <f t="shared" si="16"/>
        <v>0.26700000000000002</v>
      </c>
      <c r="S269">
        <f t="shared" si="17"/>
        <v>0.90347605884025917</v>
      </c>
    </row>
    <row r="270" spans="1:19" x14ac:dyDescent="0.3">
      <c r="A270">
        <v>0.26800000000000002</v>
      </c>
      <c r="B270">
        <f>Uo*COS(2*PI()*Wn*Sheet2!A270) + (Vo/Wn - (Po*(w/Wn))/(K*(1-(w/Wn)^2)))*SIN(2*PI()*Wn*Sheet2!A270) +(Po*SIN(2*PI()*w*Sheet2!A270))/(K*(1-(w/Wn)^2))</f>
        <v>2.6242680276594084</v>
      </c>
      <c r="C270">
        <f t="shared" si="18"/>
        <v>1.1857635770939221</v>
      </c>
      <c r="D270">
        <f t="shared" si="19"/>
        <v>193.68836622484778</v>
      </c>
      <c r="R270">
        <f t="shared" si="16"/>
        <v>0.26800000000000002</v>
      </c>
      <c r="S270">
        <f t="shared" si="17"/>
        <v>1.1857635770939221</v>
      </c>
    </row>
    <row r="271" spans="1:19" x14ac:dyDescent="0.3">
      <c r="A271">
        <v>0.26900000000000002</v>
      </c>
      <c r="B271">
        <f>Uo*COS(2*PI()*Wn*Sheet2!A271) + (Vo/Wn - (Po*(w/Wn))/(K*(1-(w/Wn)^2)))*SIN(2*PI()*Wn*Sheet2!A271) +(Po*SIN(2*PI()*w*Sheet2!A271))/(K*(1-(w/Wn)^2))</f>
        <v>2.9821856491675391</v>
      </c>
      <c r="C271">
        <f t="shared" si="18"/>
        <v>1.4671543176044319</v>
      </c>
      <c r="D271">
        <f t="shared" si="19"/>
        <v>239.65209276623381</v>
      </c>
      <c r="R271">
        <f t="shared" si="16"/>
        <v>0.26900000000000002</v>
      </c>
      <c r="S271">
        <f t="shared" si="17"/>
        <v>1.4671543176044319</v>
      </c>
    </row>
    <row r="272" spans="1:19" x14ac:dyDescent="0.3">
      <c r="A272">
        <v>0.27</v>
      </c>
      <c r="B272">
        <f>Uo*COS(2*PI()*Wn*Sheet2!A272) + (Vo/Wn - (Po*(w/Wn))/(K*(1-(w/Wn)^2)))*SIN(2*PI()*Wn*Sheet2!A272) +(Po*SIN(2*PI()*w*Sheet2!A272))/(K*(1-(w/Wn)^2))</f>
        <v>3.3391290479006877</v>
      </c>
      <c r="C272">
        <f t="shared" si="18"/>
        <v>1.7475580578687193</v>
      </c>
      <c r="D272">
        <f t="shared" si="19"/>
        <v>285.45459790661943</v>
      </c>
      <c r="R272">
        <f t="shared" si="16"/>
        <v>0.27</v>
      </c>
      <c r="S272">
        <f t="shared" si="17"/>
        <v>1.7475580578687193</v>
      </c>
    </row>
    <row r="273" spans="1:19" x14ac:dyDescent="0.3">
      <c r="A273">
        <v>0.27100000000000002</v>
      </c>
      <c r="B273">
        <f>Uo*COS(2*PI()*Wn*Sheet2!A273) + (Vo/Wn - (Po*(w/Wn))/(K*(1-(w/Wn)^2)))*SIN(2*PI()*Wn*Sheet2!A273) +(Po*SIN(2*PI()*w*Sheet2!A273))/(K*(1-(w/Wn)^2))</f>
        <v>3.6949816173060315</v>
      </c>
      <c r="C273">
        <f t="shared" si="18"/>
        <v>2.0268850604524329</v>
      </c>
      <c r="D273">
        <f t="shared" si="19"/>
        <v>331.08122349881194</v>
      </c>
      <c r="R273">
        <f t="shared" si="16"/>
        <v>0.27100000000000002</v>
      </c>
      <c r="S273">
        <f t="shared" si="17"/>
        <v>2.0268850604524329</v>
      </c>
    </row>
    <row r="274" spans="1:19" x14ac:dyDescent="0.3">
      <c r="A274">
        <v>0.27200000000000002</v>
      </c>
      <c r="B274">
        <f>Uo*COS(2*PI()*Wn*Sheet2!A274) + (Vo/Wn - (Po*(w/Wn))/(K*(1-(w/Wn)^2)))*SIN(2*PI()*Wn*Sheet2!A274) +(Po*SIN(2*PI()*w*Sheet2!A274))/(K*(1-(w/Wn)^2))</f>
        <v>4.0496271071837384</v>
      </c>
      <c r="C274">
        <f t="shared" si="18"/>
        <v>2.3050461014030099</v>
      </c>
      <c r="D274">
        <f t="shared" si="19"/>
        <v>376.5173952702213</v>
      </c>
      <c r="R274">
        <f t="shared" si="16"/>
        <v>0.27200000000000002</v>
      </c>
      <c r="S274">
        <f t="shared" si="17"/>
        <v>2.3050461014030099</v>
      </c>
    </row>
    <row r="275" spans="1:19" x14ac:dyDescent="0.3">
      <c r="A275">
        <v>0.27300000000000002</v>
      </c>
      <c r="B275">
        <f>Uo*COS(2*PI()*Wn*Sheet2!A275) + (Vo/Wn - (Po*(w/Wn))/(K*(1-(w/Wn)^2)))*SIN(2*PI()*Wn*Sheet2!A275) +(Po*SIN(2*PI()*w*Sheet2!A275))/(K*(1-(w/Wn)^2))</f>
        <v>4.4029496616636763</v>
      </c>
      <c r="C275">
        <f t="shared" si="18"/>
        <v>2.5819524984438447</v>
      </c>
      <c r="D275">
        <f t="shared" si="19"/>
        <v>421.74862742823194</v>
      </c>
      <c r="R275">
        <f t="shared" si="16"/>
        <v>0.27300000000000002</v>
      </c>
      <c r="S275">
        <f t="shared" si="17"/>
        <v>2.5819524984438447</v>
      </c>
    </row>
    <row r="276" spans="1:19" x14ac:dyDescent="0.3">
      <c r="A276">
        <v>0.27400000000000002</v>
      </c>
      <c r="B276">
        <f>Uo*COS(2*PI()*Wn*Sheet2!A276) + (Vo/Wn - (Po*(w/Wn))/(K*(1-(w/Wn)^2)))*SIN(2*PI()*Wn*Sheet2!A276) +(Po*SIN(2*PI()*w*Sheet2!A276))/(K*(1-(w/Wn)^2))</f>
        <v>4.7548338570532964</v>
      </c>
      <c r="C276">
        <f t="shared" si="18"/>
        <v>2.8575161389407486</v>
      </c>
      <c r="D276">
        <f t="shared" si="19"/>
        <v>466.76052722837989</v>
      </c>
      <c r="R276">
        <f t="shared" si="16"/>
        <v>0.27400000000000002</v>
      </c>
      <c r="S276">
        <f t="shared" si="17"/>
        <v>2.8575161389407486</v>
      </c>
    </row>
    <row r="277" spans="1:19" x14ac:dyDescent="0.3">
      <c r="A277">
        <v>0.27500000000000002</v>
      </c>
      <c r="B277">
        <f>Uo*COS(2*PI()*Wn*Sheet2!A277) + (Vo/Wn - (Po*(w/Wn))/(K*(1-(w/Wn)^2)))*SIN(2*PI()*Wn*Sheet2!A277) +(Po*SIN(2*PI()*w*Sheet2!A277))/(K*(1-(w/Wn)^2))</f>
        <v>5.1051647395443407</v>
      </c>
      <c r="C277">
        <f t="shared" si="18"/>
        <v>3.131649507631983</v>
      </c>
      <c r="D277">
        <f t="shared" si="19"/>
        <v>511.5387995039107</v>
      </c>
      <c r="R277">
        <f t="shared" si="16"/>
        <v>0.27500000000000002</v>
      </c>
      <c r="S277">
        <f t="shared" si="17"/>
        <v>3.131649507631983</v>
      </c>
    </row>
    <row r="278" spans="1:19" x14ac:dyDescent="0.3">
      <c r="A278">
        <v>0.27600000000000002</v>
      </c>
      <c r="B278">
        <f>Uo*COS(2*PI()*Wn*Sheet2!A278) + (Vo/Wn - (Po*(w/Wn))/(K*(1-(w/Wn)^2)))*SIN(2*PI()*Wn*Sheet2!A278) +(Po*SIN(2*PI()*w*Sheet2!A278))/(K*(1-(w/Wn)^2))</f>
        <v>5.4538278627660599</v>
      </c>
      <c r="C278">
        <f t="shared" si="18"/>
        <v>3.4042657141132566</v>
      </c>
      <c r="D278">
        <f t="shared" si="19"/>
        <v>556.06925115531203</v>
      </c>
      <c r="R278">
        <f t="shared" si="16"/>
        <v>0.27600000000000002</v>
      </c>
      <c r="S278">
        <f t="shared" si="17"/>
        <v>3.4042657141132566</v>
      </c>
    </row>
    <row r="279" spans="1:19" x14ac:dyDescent="0.3">
      <c r="A279">
        <v>0.27700000000000002</v>
      </c>
      <c r="B279">
        <f>Uo*COS(2*PI()*Wn*Sheet2!A279) + (Vo/Wn - (Po*(w/Wn))/(K*(1-(w/Wn)^2)))*SIN(2*PI()*Wn*Sheet2!A279) +(Po*SIN(2*PI()*w*Sheet2!A279))/(K*(1-(w/Wn)^2))</f>
        <v>5.8007093251725719</v>
      </c>
      <c r="C279">
        <f t="shared" si="18"/>
        <v>3.6752785200690821</v>
      </c>
      <c r="D279">
        <f t="shared" si="19"/>
        <v>600.33779559841548</v>
      </c>
      <c r="R279">
        <f t="shared" si="16"/>
        <v>0.27700000000000002</v>
      </c>
      <c r="S279">
        <f t="shared" si="17"/>
        <v>3.6752785200690821</v>
      </c>
    </row>
    <row r="280" spans="1:19" x14ac:dyDescent="0.3">
      <c r="A280">
        <v>0.27800000000000002</v>
      </c>
      <c r="B280">
        <f>Uo*COS(2*PI()*Wn*Sheet2!A280) + (Vo/Wn - (Po*(w/Wn))/(K*(1-(w/Wn)^2)))*SIN(2*PI()*Wn*Sheet2!A280) +(Po*SIN(2*PI()*w*Sheet2!A280))/(K*(1-(w/Wn)^2))</f>
        <v>6.1456958072524195</v>
      </c>
      <c r="C280">
        <f t="shared" si="18"/>
        <v>3.9446023662422491</v>
      </c>
      <c r="D280">
        <f t="shared" si="19"/>
        <v>644.33045716972049</v>
      </c>
      <c r="R280">
        <f t="shared" si="16"/>
        <v>0.27800000000000002</v>
      </c>
      <c r="S280">
        <f t="shared" si="17"/>
        <v>3.9446023662422491</v>
      </c>
    </row>
    <row r="281" spans="1:19" x14ac:dyDescent="0.3">
      <c r="A281">
        <v>0.27900000000000003</v>
      </c>
      <c r="B281">
        <f>Uo*COS(2*PI()*Wn*Sheet2!A281) + (Vo/Wn - (Po*(w/Wn))/(K*(1-(w/Wn)^2)))*SIN(2*PI()*Wn*Sheet2!A281) +(Po*SIN(2*PI()*w*Sheet2!A281))/(K*(1-(w/Wn)^2))</f>
        <v>6.4886746085478011</v>
      </c>
      <c r="C281">
        <f t="shared" si="18"/>
        <v>4.2121523991328429</v>
      </c>
      <c r="D281">
        <f t="shared" si="19"/>
        <v>688.03337548754189</v>
      </c>
      <c r="R281">
        <f t="shared" si="16"/>
        <v>0.27900000000000003</v>
      </c>
      <c r="S281">
        <f t="shared" si="17"/>
        <v>4.2121523991328429</v>
      </c>
    </row>
    <row r="282" spans="1:19" x14ac:dyDescent="0.3">
      <c r="A282">
        <v>0.28000000000000003</v>
      </c>
      <c r="B282">
        <f>Uo*COS(2*PI()*Wn*Sheet2!A282) + (Vo/Wn - (Po*(w/Wn))/(K*(1-(w/Wn)^2)))*SIN(2*PI()*Wn*Sheet2!A282) +(Po*SIN(2*PI()*w*Sheet2!A282))/(K*(1-(w/Wn)^2))</f>
        <v>6.8295336844716727</v>
      </c>
      <c r="C282">
        <f t="shared" si="18"/>
        <v>4.4778444974187428</v>
      </c>
      <c r="D282">
        <f t="shared" si="19"/>
        <v>731.43280976766175</v>
      </c>
      <c r="R282">
        <f t="shared" si="16"/>
        <v>0.28000000000000003</v>
      </c>
      <c r="S282">
        <f t="shared" si="17"/>
        <v>4.4778444974187428</v>
      </c>
    </row>
    <row r="283" spans="1:19" x14ac:dyDescent="0.3">
      <c r="A283">
        <v>0.28100000000000003</v>
      </c>
      <c r="B283">
        <f>Uo*COS(2*PI()*Wn*Sheet2!A283) + (Vo/Wn - (Po*(w/Wn))/(K*(1-(w/Wn)^2)))*SIN(2*PI()*Wn*Sheet2!A283) +(Po*SIN(2*PI()*w*Sheet2!A283))/(K*(1-(w/Wn)^2))</f>
        <v>7.1681616829105526</v>
      </c>
      <c r="C283">
        <f t="shared" si="18"/>
        <v>4.7415952980894556</v>
      </c>
      <c r="D283">
        <f t="shared" si="19"/>
        <v>774.51514309215679</v>
      </c>
      <c r="R283">
        <f t="shared" si="16"/>
        <v>0.28100000000000003</v>
      </c>
      <c r="S283">
        <f t="shared" si="17"/>
        <v>4.7415952980894556</v>
      </c>
    </row>
    <row r="284" spans="1:19" x14ac:dyDescent="0.3">
      <c r="A284">
        <v>0.28199999999999997</v>
      </c>
      <c r="B284">
        <f>Uo*COS(2*PI()*Wn*Sheet2!A284) + (Vo/Wn - (Po*(w/Wn))/(K*(1-(w/Wn)^2)))*SIN(2*PI()*Wn*Sheet2!A284) +(Po*SIN(2*PI()*w*Sheet2!A284))/(K*(1-(w/Wn)^2))</f>
        <v>7.5044479806011077</v>
      </c>
      <c r="C284">
        <f t="shared" si="18"/>
        <v>5.0033222222852078</v>
      </c>
      <c r="D284">
        <f t="shared" si="19"/>
        <v>817.26688663007997</v>
      </c>
      <c r="R284">
        <f t="shared" si="16"/>
        <v>0.28199999999999997</v>
      </c>
      <c r="S284">
        <f t="shared" si="17"/>
        <v>5.0033222222852078</v>
      </c>
    </row>
    <row r="285" spans="1:19" x14ac:dyDescent="0.3">
      <c r="A285">
        <v>0.28299999999999997</v>
      </c>
      <c r="B285">
        <f>Uo*COS(2*PI()*Wn*Sheet2!A285) + (Vo/Wn - (Po*(w/Wn))/(K*(1-(w/Wn)^2)))*SIN(2*PI()*Wn*Sheet2!A285) +(Po*SIN(2*PI()*w*Sheet2!A285))/(K*(1-(w/Wn)^2))</f>
        <v>7.8382827192687143</v>
      </c>
      <c r="C285">
        <f t="shared" si="18"/>
        <v>5.2629435008335301</v>
      </c>
      <c r="D285">
        <f t="shared" si="19"/>
        <v>859.67468380873095</v>
      </c>
      <c r="R285">
        <f t="shared" si="16"/>
        <v>0.28299999999999997</v>
      </c>
      <c r="S285">
        <f t="shared" si="17"/>
        <v>5.2629435008335301</v>
      </c>
    </row>
    <row r="286" spans="1:19" x14ac:dyDescent="0.3">
      <c r="A286">
        <v>0.28399999999999997</v>
      </c>
      <c r="B286">
        <f>Uo*COS(2*PI()*Wn*Sheet2!A286) + (Vo/Wn - (Po*(w/Wn))/(K*(1-(w/Wn)^2)))*SIN(2*PI()*Wn*Sheet2!A286) +(Po*SIN(2*PI()*w*Sheet2!A286))/(K*(1-(w/Wn)^2))</f>
        <v>8.1695568415159485</v>
      </c>
      <c r="C286">
        <f t="shared" si="18"/>
        <v>5.5203781994753234</v>
      </c>
      <c r="D286">
        <f t="shared" si="19"/>
        <v>901.72531443420303</v>
      </c>
      <c r="R286">
        <f t="shared" si="16"/>
        <v>0.28399999999999997</v>
      </c>
      <c r="S286">
        <f t="shared" si="17"/>
        <v>5.5203781994753234</v>
      </c>
    </row>
    <row r="287" spans="1:19" x14ac:dyDescent="0.3">
      <c r="A287">
        <v>0.28499999999999998</v>
      </c>
      <c r="B287">
        <f>Uo*COS(2*PI()*Wn*Sheet2!A287) + (Vo/Wn - (Po*(w/Wn))/(K*(1-(w/Wn)^2)))*SIN(2*PI()*Wn*Sheet2!A287) +(Po*SIN(2*PI()*w*Sheet2!A287))/(K*(1-(w/Wn)^2))</f>
        <v>8.4981621264496017</v>
      </c>
      <c r="C287">
        <f t="shared" si="18"/>
        <v>5.7755462437729816</v>
      </c>
      <c r="D287">
        <f t="shared" si="19"/>
        <v>943.40569875999711</v>
      </c>
      <c r="R287">
        <f t="shared" si="16"/>
        <v>0.28499999999999998</v>
      </c>
      <c r="S287">
        <f t="shared" si="17"/>
        <v>5.7755462437729816</v>
      </c>
    </row>
    <row r="288" spans="1:19" x14ac:dyDescent="0.3">
      <c r="A288">
        <v>0.28599999999999998</v>
      </c>
      <c r="B288">
        <f>Uo*COS(2*PI()*Wn*Sheet2!A288) + (Vo/Wn - (Po*(w/Wn))/(K*(1-(w/Wn)^2)))*SIN(2*PI()*Wn*Sheet2!A288) +(Po*SIN(2*PI()*w*Sheet2!A288))/(K*(1-(w/Wn)^2))</f>
        <v>8.8239912250343639</v>
      </c>
      <c r="C288">
        <f t="shared" si="18"/>
        <v>6.0283684436928553</v>
      </c>
      <c r="D288">
        <f t="shared" si="19"/>
        <v>984.70290150244011</v>
      </c>
      <c r="R288">
        <f t="shared" si="16"/>
        <v>0.28599999999999998</v>
      </c>
      <c r="S288">
        <f t="shared" si="17"/>
        <v>6.0283684436928553</v>
      </c>
    </row>
    <row r="289" spans="1:19" x14ac:dyDescent="0.3">
      <c r="A289">
        <v>0.28699999999999998</v>
      </c>
      <c r="B289">
        <f>Uo*COS(2*PI()*Wn*Sheet2!A289) + (Vo/Wn - (Po*(w/Wn))/(K*(1-(w/Wn)^2)))*SIN(2*PI()*Wn*Sheet2!A289) +(Po*SIN(2*PI()*w*Sheet2!A289))/(K*(1-(w/Wn)^2))</f>
        <v>9.1469376951616805</v>
      </c>
      <c r="C289">
        <f t="shared" si="18"/>
        <v>6.2787665178546694</v>
      </c>
      <c r="D289">
        <f t="shared" si="19"/>
        <v>1025.6041358017026</v>
      </c>
      <c r="R289">
        <f t="shared" si="16"/>
        <v>0.28699999999999998</v>
      </c>
      <c r="S289">
        <f t="shared" si="17"/>
        <v>6.2787665178546694</v>
      </c>
    </row>
    <row r="290" spans="1:19" x14ac:dyDescent="0.3">
      <c r="A290">
        <v>0.28799999999999998</v>
      </c>
      <c r="B290">
        <f>Uo*COS(2*PI()*Wn*Sheet2!A290) + (Vo/Wn - (Po*(w/Wn))/(K*(1-(w/Wn)^2)))*SIN(2*PI()*Wn*Sheet2!A290) +(Po*SIN(2*PI()*w*Sheet2!A290))/(K*(1-(w/Wn)^2))</f>
        <v>9.4668960364223516</v>
      </c>
      <c r="C290">
        <f t="shared" si="18"/>
        <v>6.5266631174405809</v>
      </c>
      <c r="D290">
        <f t="shared" si="19"/>
        <v>1066.0967671272197</v>
      </c>
      <c r="R290">
        <f t="shared" si="16"/>
        <v>0.28799999999999998</v>
      </c>
      <c r="S290">
        <f t="shared" si="17"/>
        <v>6.5266631174405809</v>
      </c>
    </row>
    <row r="291" spans="1:19" x14ac:dyDescent="0.3">
      <c r="A291">
        <v>0.28899999999999998</v>
      </c>
      <c r="B291">
        <f>Uo*COS(2*PI()*Wn*Sheet2!A291) + (Vo/Wn - (Po*(w/Wn))/(K*(1-(w/Wn)^2)))*SIN(2*PI()*Wn*Sheet2!A291) +(Po*SIN(2*PI()*w*Sheet2!A291))/(K*(1-(w/Wn)^2))</f>
        <v>9.7837617245714892</v>
      </c>
      <c r="C291">
        <f t="shared" si="18"/>
        <v>6.7719818497566981</v>
      </c>
      <c r="D291">
        <f t="shared" si="19"/>
        <v>1106.1683171263437</v>
      </c>
      <c r="R291">
        <f t="shared" si="16"/>
        <v>0.28899999999999998</v>
      </c>
      <c r="S291">
        <f t="shared" si="17"/>
        <v>6.7719818497566981</v>
      </c>
    </row>
    <row r="292" spans="1:19" x14ac:dyDescent="0.3">
      <c r="A292">
        <v>0.28999999999999998</v>
      </c>
      <c r="B292">
        <f>Uo*COS(2*PI()*Wn*Sheet2!A292) + (Vo/Wn - (Po*(w/Wn))/(K*(1-(w/Wn)^2)))*SIN(2*PI()*Wn*Sheet2!A292) +(Po*SIN(2*PI()*w*Sheet2!A292))/(K*(1-(w/Wn)^2))</f>
        <v>10.097431245674573</v>
      </c>
      <c r="C292">
        <f t="shared" si="18"/>
        <v>7.0146473014399522</v>
      </c>
      <c r="D292">
        <f t="shared" si="19"/>
        <v>1145.806467415068</v>
      </c>
      <c r="R292">
        <f t="shared" si="16"/>
        <v>0.28999999999999998</v>
      </c>
      <c r="S292">
        <f t="shared" si="17"/>
        <v>7.0146473014399522</v>
      </c>
    </row>
    <row r="293" spans="1:19" x14ac:dyDescent="0.3">
      <c r="A293">
        <v>0.29099999999999998</v>
      </c>
      <c r="B293">
        <f>Uo*COS(2*PI()*Wn*Sheet2!A293) + (Vo/Wn - (Po*(w/Wn))/(K*(1-(w/Wn)^2)))*SIN(2*PI()*Wn*Sheet2!A293) +(Po*SIN(2*PI()*w*Sheet2!A293))/(K*(1-(w/Wn)^2))</f>
        <v>10.407802129923475</v>
      </c>
      <c r="C293">
        <f t="shared" si="18"/>
        <v>7.2545850613034668</v>
      </c>
      <c r="D293">
        <f t="shared" si="19"/>
        <v>1184.9990633096988</v>
      </c>
      <c r="R293">
        <f t="shared" si="16"/>
        <v>0.29099999999999998</v>
      </c>
      <c r="S293">
        <f t="shared" si="17"/>
        <v>7.2545850613034668</v>
      </c>
    </row>
    <row r="294" spans="1:19" x14ac:dyDescent="0.3">
      <c r="A294">
        <v>0.29199999999999998</v>
      </c>
      <c r="B294">
        <f>Uo*COS(2*PI()*Wn*Sheet2!A294) + (Vo/Wn - (Po*(w/Wn))/(K*(1-(w/Wn)^2)))*SIN(2*PI()*Wn*Sheet2!A294) +(Po*SIN(2*PI()*w*Sheet2!A294))/(K*(1-(w/Wn)^2))</f>
        <v>10.714772985111374</v>
      </c>
      <c r="C294">
        <f t="shared" si="18"/>
        <v>7.4917217428135494</v>
      </c>
      <c r="D294">
        <f t="shared" si="19"/>
        <v>1223.7341174983569</v>
      </c>
      <c r="R294">
        <f t="shared" si="16"/>
        <v>0.29199999999999998</v>
      </c>
      <c r="S294">
        <f t="shared" si="17"/>
        <v>7.4917217428135494</v>
      </c>
    </row>
    <row r="295" spans="1:19" x14ac:dyDescent="0.3">
      <c r="A295">
        <v>0.29299999999999998</v>
      </c>
      <c r="B295">
        <f>Uo*COS(2*PI()*Wn*Sheet2!A295) + (Vo/Wn - (Po*(w/Wn))/(K*(1-(w/Wn)^2)))*SIN(2*PI()*Wn*Sheet2!A295) +(Po*SIN(2*PI()*w*Sheet2!A295))/(K*(1-(w/Wn)^2))</f>
        <v>11.018243529755633</v>
      </c>
      <c r="C295">
        <f t="shared" si="18"/>
        <v>7.7259850061916593</v>
      </c>
      <c r="D295">
        <f t="shared" si="19"/>
        <v>1261.9998136512193</v>
      </c>
      <c r="R295">
        <f t="shared" si="16"/>
        <v>0.29299999999999998</v>
      </c>
      <c r="S295">
        <f t="shared" si="17"/>
        <v>7.7259850061916593</v>
      </c>
    </row>
    <row r="296" spans="1:19" x14ac:dyDescent="0.3">
      <c r="A296">
        <v>0.29399999999999998</v>
      </c>
      <c r="B296">
        <f>Uo*COS(2*PI()*Wn*Sheet2!A296) + (Vo/Wn - (Po*(w/Wn))/(K*(1-(w/Wn)^2)))*SIN(2*PI()*Wn*Sheet2!A296) +(Po*SIN(2*PI()*w*Sheet2!A296))/(K*(1-(w/Wn)^2))</f>
        <v>11.318114625857856</v>
      </c>
      <c r="C296">
        <f t="shared" si="18"/>
        <v>7.9573035801348331</v>
      </c>
      <c r="D296">
        <f t="shared" si="19"/>
        <v>1299.7845099684398</v>
      </c>
      <c r="R296">
        <f t="shared" si="16"/>
        <v>0.29399999999999998</v>
      </c>
      <c r="S296">
        <f t="shared" si="17"/>
        <v>7.9573035801348331</v>
      </c>
    </row>
    <row r="297" spans="1:19" x14ac:dyDescent="0.3">
      <c r="A297">
        <v>0.29499999999999998</v>
      </c>
      <c r="B297">
        <f>Uo*COS(2*PI()*Wn*Sheet2!A297) + (Vo/Wn - (Po*(w/Wn))/(K*(1-(w/Wn)^2)))*SIN(2*PI()*Wn*Sheet2!A297) +(Po*SIN(2*PI()*w*Sheet2!A297))/(K*(1-(w/Wn)^2))</f>
        <v>11.614288311290338</v>
      </c>
      <c r="C297">
        <f t="shared" si="18"/>
        <v>8.1856072831481406</v>
      </c>
      <c r="D297">
        <f t="shared" si="19"/>
        <v>1337.0767426646951</v>
      </c>
      <c r="R297">
        <f t="shared" si="16"/>
        <v>0.29499999999999998</v>
      </c>
      <c r="S297">
        <f t="shared" si="17"/>
        <v>8.1856072831481406</v>
      </c>
    </row>
    <row r="298" spans="1:19" x14ac:dyDescent="0.3">
      <c r="A298">
        <v>0.29599999999999999</v>
      </c>
      <c r="B298">
        <f>Uo*COS(2*PI()*Wn*Sheet2!A298) + (Vo/Wn - (Po*(w/Wn))/(K*(1-(w/Wn)^2)))*SIN(2*PI()*Wn*Sheet2!A298) +(Po*SIN(2*PI()*w*Sheet2!A298))/(K*(1-(w/Wn)^2))</f>
        <v>11.906667831798449</v>
      </c>
      <c r="C298">
        <f t="shared" si="18"/>
        <v>8.4108270444829323</v>
      </c>
      <c r="D298">
        <f t="shared" si="19"/>
        <v>1373.8652293893388</v>
      </c>
      <c r="R298">
        <f t="shared" si="16"/>
        <v>0.29599999999999999</v>
      </c>
      <c r="S298">
        <f t="shared" si="17"/>
        <v>8.4108270444829323</v>
      </c>
    </row>
    <row r="299" spans="1:19" x14ac:dyDescent="0.3">
      <c r="A299">
        <v>0.29699999999999999</v>
      </c>
      <c r="B299">
        <f>Uo*COS(2*PI()*Wn*Sheet2!A299) + (Vo/Wn - (Po*(w/Wn))/(K*(1-(w/Wn)^2)))*SIN(2*PI()*Wn*Sheet2!A299) +(Po*SIN(2*PI()*w*Sheet2!A299))/(K*(1-(w/Wn)^2))</f>
        <v>12.195157672608328</v>
      </c>
      <c r="C299">
        <f t="shared" si="18"/>
        <v>8.632894924674698</v>
      </c>
      <c r="D299">
        <f t="shared" si="19"/>
        <v>1410.1388725811564</v>
      </c>
      <c r="R299">
        <f t="shared" si="16"/>
        <v>0.29699999999999999</v>
      </c>
      <c r="S299">
        <f t="shared" si="17"/>
        <v>8.632894924674698</v>
      </c>
    </row>
    <row r="300" spans="1:19" x14ac:dyDescent="0.3">
      <c r="A300">
        <v>0.29799999999999999</v>
      </c>
      <c r="B300">
        <f>Uo*COS(2*PI()*Wn*Sheet2!A300) + (Vo/Wn - (Po*(w/Wn))/(K*(1-(w/Wn)^2)))*SIN(2*PI()*Wn*Sheet2!A300) +(Po*SIN(2*PI()*w*Sheet2!A300))/(K*(1-(w/Wn)^2))</f>
        <v>12.479663589629801</v>
      </c>
      <c r="C300">
        <f t="shared" si="18"/>
        <v>8.8517441356746911</v>
      </c>
      <c r="D300">
        <f t="shared" si="19"/>
        <v>1445.8867627567611</v>
      </c>
      <c r="R300">
        <f t="shared" si="16"/>
        <v>0.29799999999999999</v>
      </c>
      <c r="S300">
        <f t="shared" si="17"/>
        <v>8.8517441356746911</v>
      </c>
    </row>
    <row r="301" spans="1:19" x14ac:dyDescent="0.3">
      <c r="A301">
        <v>0.29899999999999999</v>
      </c>
      <c r="B301">
        <f>Uo*COS(2*PI()*Wn*Sheet2!A301) + (Vo/Wn - (Po*(w/Wn))/(K*(1-(w/Wn)^2)))*SIN(2*PI()*Wn*Sheet2!A301) +(Po*SIN(2*PI()*w*Sheet2!A301))/(K*(1-(w/Wn)^2))</f>
        <v>12.760092640244071</v>
      </c>
      <c r="C301">
        <f t="shared" si="18"/>
        <v>9.0673090605693165</v>
      </c>
      <c r="D301">
        <f t="shared" si="19"/>
        <v>1481.0981817316542</v>
      </c>
      <c r="R301">
        <f t="shared" si="16"/>
        <v>0.29899999999999999</v>
      </c>
      <c r="S301">
        <f t="shared" si="17"/>
        <v>9.0673090605693165</v>
      </c>
    </row>
    <row r="302" spans="1:19" x14ac:dyDescent="0.3">
      <c r="A302">
        <v>0.3</v>
      </c>
      <c r="B302">
        <f>Uo*COS(2*PI()*Wn*Sheet2!A302) + (Vo/Wn - (Po*(w/Wn))/(K*(1-(w/Wn)^2)))*SIN(2*PI()*Wn*Sheet2!A302) +(Po*SIN(2*PI()*w*Sheet2!A302))/(K*(1-(w/Wn)^2))</f>
        <v>13.036353213666292</v>
      </c>
      <c r="C302">
        <f t="shared" si="18"/>
        <v>9.2795252728816902</v>
      </c>
      <c r="D302">
        <f t="shared" si="19"/>
        <v>1515.7626057730358</v>
      </c>
      <c r="R302">
        <f t="shared" si="16"/>
        <v>0.3</v>
      </c>
      <c r="S302">
        <f t="shared" si="17"/>
        <v>9.2795252728816902</v>
      </c>
    </row>
    <row r="303" spans="1:19" x14ac:dyDescent="0.3">
      <c r="A303">
        <v>0.30099999999999999</v>
      </c>
      <c r="B303">
        <f>Uo*COS(2*PI()*Wn*Sheet2!A303) + (Vo/Wn - (Po*(w/Wn))/(K*(1-(w/Wn)^2)))*SIN(2*PI()*Wn*Sheet2!A303) +(Po*SIN(2*PI()*w*Sheet2!A303))/(K*(1-(w/Wn)^2))</f>
        <v>13.308355060873057</v>
      </c>
      <c r="C303">
        <f t="shared" si="18"/>
        <v>9.4883295554498126</v>
      </c>
      <c r="D303">
        <f t="shared" si="19"/>
        <v>1549.8697086834566</v>
      </c>
      <c r="R303">
        <f t="shared" si="16"/>
        <v>0.30099999999999999</v>
      </c>
      <c r="S303">
        <f t="shared" si="17"/>
        <v>9.4883295554498126</v>
      </c>
    </row>
    <row r="304" spans="1:19" x14ac:dyDescent="0.3">
      <c r="A304">
        <v>0.30199999999999999</v>
      </c>
      <c r="B304">
        <f>Uo*COS(2*PI()*Wn*Sheet2!A304) + (Vo/Wn - (Po*(w/Wn))/(K*(1-(w/Wn)^2)))*SIN(2*PI()*Wn*Sheet2!A304) +(Po*SIN(2*PI()*w*Sheet2!A304))/(K*(1-(w/Wn)^2))</f>
        <v>13.576009324085014</v>
      </c>
      <c r="C304">
        <f t="shared" si="18"/>
        <v>9.693659918875932</v>
      </c>
      <c r="D304">
        <f t="shared" si="19"/>
        <v>1583.4093648144267</v>
      </c>
      <c r="R304">
        <f t="shared" si="16"/>
        <v>0.30199999999999999</v>
      </c>
      <c r="S304">
        <f t="shared" si="17"/>
        <v>9.693659918875932</v>
      </c>
    </row>
    <row r="305" spans="1:19" x14ac:dyDescent="0.3">
      <c r="A305">
        <v>0.30299999999999999</v>
      </c>
      <c r="B305">
        <f>Uo*COS(2*PI()*Wn*Sheet2!A305) + (Vo/Wn - (Po*(w/Wn))/(K*(1-(w/Wn)^2)))*SIN(2*PI()*Wn*Sheet2!A305) +(Po*SIN(2*PI()*w*Sheet2!A305))/(K*(1-(w/Wn)^2))</f>
        <v>13.839228565795011</v>
      </c>
      <c r="C305">
        <f t="shared" si="18"/>
        <v>9.8954556195418721</v>
      </c>
      <c r="D305">
        <f t="shared" si="19"/>
        <v>1616.3716520091266</v>
      </c>
      <c r="R305">
        <f t="shared" si="16"/>
        <v>0.30299999999999999</v>
      </c>
      <c r="S305">
        <f t="shared" si="17"/>
        <v>9.8954556195418721</v>
      </c>
    </row>
    <row r="306" spans="1:19" x14ac:dyDescent="0.3">
      <c r="A306">
        <v>0.30399999999999999</v>
      </c>
      <c r="B306">
        <f>Uo*COS(2*PI()*Wn*Sheet2!A306) + (Vo/Wn - (Po*(w/Wn))/(K*(1-(w/Wn)^2)))*SIN(2*PI()*Wn*Sheet2!A306) +(Po*SIN(2*PI()*w*Sheet2!A306))/(K*(1-(w/Wn)^2))</f>
        <v>14.097926797332237</v>
      </c>
      <c r="C306">
        <f t="shared" si="18"/>
        <v>10.093657177185246</v>
      </c>
      <c r="D306">
        <f t="shared" si="19"/>
        <v>1648.7468544733902</v>
      </c>
      <c r="R306">
        <f t="shared" si="16"/>
        <v>0.30399999999999999</v>
      </c>
      <c r="S306">
        <f t="shared" si="17"/>
        <v>10.093657177185246</v>
      </c>
    </row>
    <row r="307" spans="1:19" x14ac:dyDescent="0.3">
      <c r="A307">
        <v>0.30499999999999999</v>
      </c>
      <c r="B307">
        <f>Uo*COS(2*PI()*Wn*Sheet2!A307) + (Vo/Wn - (Po*(w/Wn))/(K*(1-(w/Wn)^2)))*SIN(2*PI()*Wn*Sheet2!A307) +(Po*SIN(2*PI()*w*Sheet2!A307))/(K*(1-(w/Wn)^2))</f>
        <v>14.352019506953068</v>
      </c>
      <c r="C307">
        <f t="shared" si="18"/>
        <v>10.288206392031535</v>
      </c>
      <c r="D307">
        <f t="shared" si="19"/>
        <v>1680.5254655741423</v>
      </c>
      <c r="R307">
        <f t="shared" si="16"/>
        <v>0.30499999999999999</v>
      </c>
      <c r="S307">
        <f t="shared" si="17"/>
        <v>10.288206392031535</v>
      </c>
    </row>
    <row r="308" spans="1:19" x14ac:dyDescent="0.3">
      <c r="A308">
        <v>0.30599999999999999</v>
      </c>
      <c r="B308">
        <f>Uo*COS(2*PI()*Wn*Sheet2!A308) + (Vo/Wn - (Po*(w/Wn))/(K*(1-(w/Wn)^2)))*SIN(2*PI()*Wn*Sheet2!A308) +(Po*SIN(2*PI()*w*Sheet2!A308))/(K*(1-(w/Wn)^2))</f>
        <v>14.60142368744944</v>
      </c>
      <c r="C308">
        <f t="shared" si="18"/>
        <v>10.47904636147736</v>
      </c>
      <c r="D308">
        <f t="shared" si="19"/>
        <v>1711.6981905645255</v>
      </c>
      <c r="R308">
        <f t="shared" si="16"/>
        <v>0.30599999999999999</v>
      </c>
      <c r="S308">
        <f t="shared" si="17"/>
        <v>10.47904636147736</v>
      </c>
    </row>
    <row r="309" spans="1:19" x14ac:dyDescent="0.3">
      <c r="A309">
        <v>0.307</v>
      </c>
      <c r="B309">
        <f>Uo*COS(2*PI()*Wn*Sheet2!A309) + (Vo/Wn - (Po*(w/Wn))/(K*(1-(w/Wn)^2)))*SIN(2*PI()*Wn*Sheet2!A309) +(Po*SIN(2*PI()*w*Sheet2!A309))/(K*(1-(w/Wn)^2))</f>
        <v>14.846057863265703</v>
      </c>
      <c r="C309">
        <f t="shared" si="18"/>
        <v>10.666121496320205</v>
      </c>
      <c r="D309">
        <f t="shared" si="19"/>
        <v>1742.2559492349401</v>
      </c>
      <c r="R309">
        <f t="shared" si="16"/>
        <v>0.307</v>
      </c>
      <c r="S309">
        <f t="shared" si="17"/>
        <v>10.666121496320205</v>
      </c>
    </row>
    <row r="310" spans="1:19" x14ac:dyDescent="0.3">
      <c r="A310">
        <v>0.308</v>
      </c>
      <c r="B310">
        <f>Uo*COS(2*PI()*Wn*Sheet2!A310) + (Vo/Wn - (Po*(w/Wn))/(K*(1-(w/Wn)^2)))*SIN(2*PI()*Wn*Sheet2!A310) +(Po*SIN(2*PI()*w*Sheet2!A310))/(K*(1-(w/Wn)^2))</f>
        <v>15.085842117115122</v>
      </c>
      <c r="C310">
        <f t="shared" si="18"/>
        <v>10.849377536530167</v>
      </c>
      <c r="D310">
        <f t="shared" si="19"/>
        <v>1772.1898784892799</v>
      </c>
      <c r="R310">
        <f t="shared" si="16"/>
        <v>0.308</v>
      </c>
      <c r="S310">
        <f t="shared" si="17"/>
        <v>10.849377536530167</v>
      </c>
    </row>
    <row r="311" spans="1:19" x14ac:dyDescent="0.3">
      <c r="A311">
        <v>0.309</v>
      </c>
      <c r="B311">
        <f>Uo*COS(2*PI()*Wn*Sheet2!A311) + (Vo/Wn - (Po*(w/Wn))/(K*(1-(w/Wn)^2)))*SIN(2*PI()*Wn*Sheet2!A311) +(Po*SIN(2*PI()*w*Sheet2!A311))/(K*(1-(w/Wn)^2))</f>
        <v>15.320698116087323</v>
      </c>
      <c r="C311">
        <f t="shared" si="18"/>
        <v>11.028761566559405</v>
      </c>
      <c r="D311">
        <f t="shared" si="19"/>
        <v>1801.4913348456512</v>
      </c>
      <c r="R311">
        <f t="shared" si="16"/>
        <v>0.309</v>
      </c>
      <c r="S311">
        <f t="shared" si="17"/>
        <v>11.028761566559405</v>
      </c>
    </row>
    <row r="312" spans="1:19" x14ac:dyDescent="0.3">
      <c r="A312">
        <v>0.31</v>
      </c>
      <c r="B312">
        <f>Uo*COS(2*PI()*Wn*Sheet2!A312) + (Vo/Wn - (Po*(w/Wn))/(K*(1-(w/Wn)^2)))*SIN(2*PI()*Wn*Sheet2!A312) +(Po*SIN(2*PI()*w*Sheet2!A312))/(K*(1-(w/Wn)^2))</f>
        <v>15.550549137238143</v>
      </c>
      <c r="C312">
        <f t="shared" si="18"/>
        <v>11.204222030185136</v>
      </c>
      <c r="D312">
        <f t="shared" si="19"/>
        <v>1830.1518968608987</v>
      </c>
      <c r="R312">
        <f t="shared" si="16"/>
        <v>0.31</v>
      </c>
      <c r="S312">
        <f t="shared" si="17"/>
        <v>11.204222030185136</v>
      </c>
    </row>
    <row r="313" spans="1:19" x14ac:dyDescent="0.3">
      <c r="A313">
        <v>0.311</v>
      </c>
      <c r="B313">
        <f>Uo*COS(2*PI()*Wn*Sheet2!A313) + (Vo/Wn - (Po*(w/Wn))/(K*(1-(w/Wn)^2)))*SIN(2*PI()*Wn*Sheet2!A313) +(Po*SIN(2*PI()*w*Sheet2!A313))/(K*(1-(w/Wn)^2))</f>
        <v>15.775320092653551</v>
      </c>
      <c r="C313">
        <f t="shared" si="18"/>
        <v>11.375708744882138</v>
      </c>
      <c r="D313">
        <f t="shared" si="19"/>
        <v>1858.1633674782813</v>
      </c>
      <c r="R313">
        <f t="shared" si="16"/>
        <v>0.311</v>
      </c>
      <c r="S313">
        <f t="shared" si="17"/>
        <v>11.375708744882138</v>
      </c>
    </row>
    <row r="314" spans="1:19" x14ac:dyDescent="0.3">
      <c r="A314">
        <v>0.312</v>
      </c>
      <c r="B314">
        <f>Uo*COS(2*PI()*Wn*Sheet2!A314) + (Vo/Wn - (Po*(w/Wn))/(K*(1-(w/Wn)^2)))*SIN(2*PI()*Wn*Sheet2!A314) +(Po*SIN(2*PI()*w*Sheet2!A314))/(K*(1-(w/Wn)^2))</f>
        <v>15.994937553979414</v>
      </c>
      <c r="C314">
        <f t="shared" si="18"/>
        <v>11.543172915720957</v>
      </c>
      <c r="D314">
        <f t="shared" si="19"/>
        <v>1885.5177762976716</v>
      </c>
      <c r="R314">
        <f t="shared" si="16"/>
        <v>0.312</v>
      </c>
      <c r="S314">
        <f t="shared" si="17"/>
        <v>11.543172915720957</v>
      </c>
    </row>
    <row r="315" spans="1:19" x14ac:dyDescent="0.3">
      <c r="A315">
        <v>0.313</v>
      </c>
      <c r="B315">
        <f>Uo*COS(2*PI()*Wn*Sheet2!A315) + (Vo/Wn - (Po*(w/Wn))/(K*(1-(w/Wn)^2)))*SIN(2*PI()*Wn*Sheet2!A315) +(Po*SIN(2*PI()*w*Sheet2!A315))/(K*(1-(w/Wn)^2))</f>
        <v>16.20932977640916</v>
      </c>
      <c r="C315">
        <f t="shared" si="18"/>
        <v>11.70656714878813</v>
      </c>
      <c r="D315">
        <f t="shared" si="19"/>
        <v>1912.2073817676801</v>
      </c>
      <c r="R315">
        <f t="shared" si="16"/>
        <v>0.313</v>
      </c>
      <c r="S315">
        <f t="shared" si="17"/>
        <v>11.70656714878813</v>
      </c>
    </row>
    <row r="316" spans="1:19" x14ac:dyDescent="0.3">
      <c r="A316">
        <v>0.314</v>
      </c>
      <c r="B316">
        <f>Uo*COS(2*PI()*Wn*Sheet2!A316) + (Vo/Wn - (Po*(w/Wn))/(K*(1-(w/Wn)^2)))*SIN(2*PI()*Wn*Sheet2!A316) +(Po*SIN(2*PI()*w*Sheet2!A316))/(K*(1-(w/Wn)^2))</f>
        <v>16.418426722121367</v>
      </c>
      <c r="C316">
        <f t="shared" si="18"/>
        <v>11.86584546412487</v>
      </c>
      <c r="D316">
        <f t="shared" si="19"/>
        <v>1938.2246732991232</v>
      </c>
      <c r="R316">
        <f t="shared" si="16"/>
        <v>0.314</v>
      </c>
      <c r="S316">
        <f t="shared" si="17"/>
        <v>11.86584546412487</v>
      </c>
    </row>
    <row r="317" spans="1:19" x14ac:dyDescent="0.3">
      <c r="A317">
        <v>0.315</v>
      </c>
      <c r="B317">
        <f>Uo*COS(2*PI()*Wn*Sheet2!A317) + (Vo/Wn - (Po*(w/Wn))/(K*(1-(w/Wn)^2)))*SIN(2*PI()*Wn*Sheet2!A317) +(Po*SIN(2*PI()*w*Sheet2!A317))/(K*(1-(w/Wn)^2))</f>
        <v>16.622160083159851</v>
      </c>
      <c r="C317">
        <f t="shared" si="18"/>
        <v>12.020963308180958</v>
      </c>
      <c r="D317">
        <f t="shared" si="19"/>
        <v>1963.5623732993017</v>
      </c>
      <c r="R317">
        <f t="shared" si="16"/>
        <v>0.315</v>
      </c>
      <c r="S317">
        <f t="shared" si="17"/>
        <v>12.020963308180958</v>
      </c>
    </row>
    <row r="318" spans="1:19" x14ac:dyDescent="0.3">
      <c r="A318">
        <v>0.316</v>
      </c>
      <c r="B318">
        <f>Uo*COS(2*PI()*Wn*Sheet2!A318) + (Vo/Wn - (Po*(w/Wn))/(K*(1-(w/Wn)^2)))*SIN(2*PI()*Wn*Sheet2!A318) +(Po*SIN(2*PI()*w*Sheet2!A318))/(K*(1-(w/Wn)^2))</f>
        <v>16.820463303748515</v>
      </c>
      <c r="C318">
        <f t="shared" si="18"/>
        <v>12.171877565780514</v>
      </c>
      <c r="D318">
        <f t="shared" si="19"/>
        <v>1988.2134391265483</v>
      </c>
      <c r="R318">
        <f t="shared" si="16"/>
        <v>0.316</v>
      </c>
      <c r="S318">
        <f t="shared" si="17"/>
        <v>12.171877565780514</v>
      </c>
    </row>
    <row r="319" spans="1:19" x14ac:dyDescent="0.3">
      <c r="A319">
        <v>0.317</v>
      </c>
      <c r="B319">
        <f>Uo*COS(2*PI()*Wn*Sheet2!A319) + (Vo/Wn - (Po*(w/Wn))/(K*(1-(w/Wn)^2)))*SIN(2*PI()*Wn*Sheet2!A319) +(Po*SIN(2*PI()*w*Sheet2!A319))/(K*(1-(w/Wn)^2))</f>
        <v>17.013271602033853</v>
      </c>
      <c r="C319">
        <f t="shared" si="18"/>
        <v>12.318546571596737</v>
      </c>
      <c r="D319">
        <f t="shared" si="19"/>
        <v>2012.1710649645672</v>
      </c>
      <c r="R319">
        <f t="shared" si="16"/>
        <v>0.317</v>
      </c>
      <c r="S319">
        <f t="shared" si="17"/>
        <v>12.318546571596737</v>
      </c>
    </row>
    <row r="320" spans="1:19" x14ac:dyDescent="0.3">
      <c r="A320">
        <v>0.318</v>
      </c>
      <c r="B320">
        <f>Uo*COS(2*PI()*Wn*Sheet2!A320) + (Vo/Wn - (Po*(w/Wn))/(K*(1-(w/Wn)^2)))*SIN(2*PI()*Wn*Sheet2!A320) +(Po*SIN(2*PI()*w*Sheet2!A320))/(K*(1-(w/Wn)^2))</f>
        <v>17.200521991247943</v>
      </c>
      <c r="C320">
        <f t="shared" si="18"/>
        <v>12.460930121132693</v>
      </c>
      <c r="D320">
        <f t="shared" si="19"/>
        <v>2035.4286836160882</v>
      </c>
      <c r="R320">
        <f t="shared" si="16"/>
        <v>0.318</v>
      </c>
      <c r="S320">
        <f t="shared" si="17"/>
        <v>12.460930121132693</v>
      </c>
    </row>
    <row r="321" spans="1:19" x14ac:dyDescent="0.3">
      <c r="A321">
        <v>0.31900000000000001</v>
      </c>
      <c r="B321">
        <f>Uo*COS(2*PI()*Wn*Sheet2!A321) + (Vo/Wn - (Po*(w/Wn))/(K*(1-(w/Wn)^2)))*SIN(2*PI()*Wn*Sheet2!A321) +(Po*SIN(2*PI()*w*Sheet2!A321))/(K*(1-(w/Wn)^2))</f>
        <v>17.382153300284997</v>
      </c>
      <c r="C321">
        <f t="shared" si="18"/>
        <v>12.5989894812055</v>
      </c>
      <c r="D321">
        <f t="shared" si="19"/>
        <v>2057.9799682154057</v>
      </c>
      <c r="R321">
        <f t="shared" ref="R321:R384" si="20">A321</f>
        <v>0.31900000000000001</v>
      </c>
      <c r="S321">
        <f t="shared" ref="S321:S384" si="21">C321</f>
        <v>12.5989894812055</v>
      </c>
    </row>
    <row r="322" spans="1:19" x14ac:dyDescent="0.3">
      <c r="A322">
        <v>0.32</v>
      </c>
      <c r="B322">
        <f>Uo*COS(2*PI()*Wn*Sheet2!A322) + (Vo/Wn - (Po*(w/Wn))/(K*(1-(w/Wn)^2)))*SIN(2*PI()*Wn*Sheet2!A322) +(Po*SIN(2*PI()*w*Sheet2!A322))/(K*(1-(w/Wn)^2))</f>
        <v>17.558106193684818</v>
      </c>
      <c r="C322">
        <f t="shared" ref="C322:C385" si="22">EXP(-zeta*Wn*A322*2*PI())*($H$1*COS(wnD*2*PI()*A322) + $H$2*SIN(wnD*2*PI()*A322)) + $H$3*SIN(w*2*PI()*A322) + $H$4*COS(w*2*PI()*A322)</f>
        <v>12.732687399931345</v>
      </c>
      <c r="D322">
        <f t="shared" ref="D322:D385" si="23">K*C322</f>
        <v>2079.8188338593791</v>
      </c>
      <c r="R322">
        <f t="shared" si="20"/>
        <v>0.32</v>
      </c>
      <c r="S322">
        <f t="shared" si="21"/>
        <v>12.732687399931345</v>
      </c>
    </row>
    <row r="323" spans="1:19" x14ac:dyDescent="0.3">
      <c r="A323">
        <v>0.32100000000000001</v>
      </c>
      <c r="B323">
        <f>Uo*COS(2*PI()*Wn*Sheet2!A323) + (Vo/Wn - (Po*(w/Wn))/(K*(1-(w/Wn)^2)))*SIN(2*PI()*Wn*Sheet2!A323) +(Po*SIN(2*PI()*w*Sheet2!A323))/(K*(1-(w/Wn)^2))</f>
        <v>17.728323191016525</v>
      </c>
      <c r="C323">
        <f t="shared" si="22"/>
        <v>12.861988116209011</v>
      </c>
      <c r="D323">
        <f t="shared" si="23"/>
        <v>2100.9394391565174</v>
      </c>
      <c r="R323">
        <f t="shared" si="20"/>
        <v>0.32100000000000001</v>
      </c>
      <c r="S323">
        <f t="shared" si="21"/>
        <v>12.861988116209011</v>
      </c>
    </row>
    <row r="324" spans="1:19" x14ac:dyDescent="0.3">
      <c r="A324">
        <v>0.32200000000000001</v>
      </c>
      <c r="B324">
        <f>Uo*COS(2*PI()*Wn*Sheet2!A324) + (Vo/Wn - (Po*(w/Wn))/(K*(1-(w/Wn)^2)))*SIN(2*PI()*Wn*Sheet2!A324) +(Po*SIN(2*PI()*w*Sheet2!A324))/(K*(1-(w/Wn)^2))</f>
        <v>17.892748685656318</v>
      </c>
      <c r="C324">
        <f t="shared" si="22"/>
        <v>12.986857368699685</v>
      </c>
      <c r="D324">
        <f t="shared" si="23"/>
        <v>2121.3361876937861</v>
      </c>
      <c r="R324">
        <f t="shared" si="20"/>
        <v>0.32200000000000001</v>
      </c>
      <c r="S324">
        <f t="shared" si="21"/>
        <v>12.986857368699685</v>
      </c>
    </row>
    <row r="325" spans="1:19" x14ac:dyDescent="0.3">
      <c r="A325">
        <v>0.32300000000000001</v>
      </c>
      <c r="B325">
        <f>Uo*COS(2*PI()*Wn*Sheet2!A325) + (Vo/Wn - (Po*(w/Wn))/(K*(1-(w/Wn)^2)))*SIN(2*PI()*Wn*Sheet2!A325) +(Po*SIN(2*PI()*w*Sheet2!A325))/(K*(1-(w/Wn)^2))</f>
        <v>18.051328962953097</v>
      </c>
      <c r="C325">
        <f t="shared" si="22"/>
        <v>13.107262404301084</v>
      </c>
      <c r="D325">
        <f t="shared" si="23"/>
        <v>2141.0037294208096</v>
      </c>
      <c r="R325">
        <f t="shared" si="20"/>
        <v>0.32300000000000001</v>
      </c>
      <c r="S325">
        <f t="shared" si="21"/>
        <v>13.107262404301084</v>
      </c>
    </row>
    <row r="326" spans="1:19" x14ac:dyDescent="0.3">
      <c r="A326">
        <v>0.32400000000000001</v>
      </c>
      <c r="B326">
        <f>Uo*COS(2*PI()*Wn*Sheet2!A326) + (Vo/Wn - (Po*(w/Wn))/(K*(1-(w/Wn)^2)))*SIN(2*PI()*Wn*Sheet2!A326) +(Po*SIN(2*PI()*w*Sheet2!A326))/(K*(1-(w/Wn)^2))</f>
        <v>18.204012217776</v>
      </c>
      <c r="C326">
        <f t="shared" si="22"/>
        <v>13.223171986113982</v>
      </c>
      <c r="D326">
        <f t="shared" si="23"/>
        <v>2159.9369619511654</v>
      </c>
      <c r="R326">
        <f t="shared" si="20"/>
        <v>0.32400000000000001</v>
      </c>
      <c r="S326">
        <f t="shared" si="21"/>
        <v>13.223171986113982</v>
      </c>
    </row>
    <row r="327" spans="1:19" x14ac:dyDescent="0.3">
      <c r="A327">
        <v>0.32500000000000001</v>
      </c>
      <c r="B327">
        <f>Uo*COS(2*PI()*Wn*Sheet2!A327) + (Vo/Wn - (Po*(w/Wn))/(K*(1-(w/Wn)^2)))*SIN(2*PI()*Wn*Sheet2!A327) +(Po*SIN(2*PI()*w*Sheet2!A327))/(K*(1-(w/Wn)^2))</f>
        <v>18.35074857143815</v>
      </c>
      <c r="C327">
        <f t="shared" si="22"/>
        <v>13.334556400899489</v>
      </c>
      <c r="D327">
        <f t="shared" si="23"/>
        <v>2178.1310317804891</v>
      </c>
      <c r="R327">
        <f t="shared" si="20"/>
        <v>0.32500000000000001</v>
      </c>
      <c r="S327">
        <f t="shared" si="21"/>
        <v>13.334556400899489</v>
      </c>
    </row>
    <row r="328" spans="1:19" x14ac:dyDescent="0.3">
      <c r="A328">
        <v>0.32600000000000001</v>
      </c>
      <c r="B328">
        <f>Uo*COS(2*PI()*Wn*Sheet2!A328) + (Vo/Wn - (Po*(w/Wn))/(K*(1-(w/Wn)^2)))*SIN(2*PI()*Wn*Sheet2!A328) +(Po*SIN(2*PI()*w*Sheet2!A328))/(K*(1-(w/Wn)^2))</f>
        <v>18.49149008799106</v>
      </c>
      <c r="C328">
        <f t="shared" si="22"/>
        <v>13.441387466025578</v>
      </c>
      <c r="D328">
        <f t="shared" si="23"/>
        <v>2195.5813354211564</v>
      </c>
      <c r="R328">
        <f t="shared" si="20"/>
        <v>0.32600000000000001</v>
      </c>
      <c r="S328">
        <f t="shared" si="21"/>
        <v>13.441387466025578</v>
      </c>
    </row>
    <row r="329" spans="1:19" x14ac:dyDescent="0.3">
      <c r="A329">
        <v>0.32700000000000001</v>
      </c>
      <c r="B329">
        <f>Uo*COS(2*PI()*Wn*Sheet2!A329) + (Vo/Wn - (Po*(w/Wn))/(K*(1-(w/Wn)^2)))*SIN(2*PI()*Wn*Sheet2!A329) +(Po*SIN(2*PI()*w*Sheet2!A329))/(K*(1-(w/Wn)^2))</f>
        <v>18.62619078988439</v>
      </c>
      <c r="C329">
        <f t="shared" si="22"/>
        <v>13.543638535901474</v>
      </c>
      <c r="D329">
        <f t="shared" si="23"/>
        <v>2212.2835204533048</v>
      </c>
      <c r="R329">
        <f t="shared" si="20"/>
        <v>0.32700000000000001</v>
      </c>
      <c r="S329">
        <f t="shared" si="21"/>
        <v>13.543638535901474</v>
      </c>
    </row>
    <row r="330" spans="1:19" x14ac:dyDescent="0.3">
      <c r="A330">
        <v>0.32800000000000001</v>
      </c>
      <c r="B330">
        <f>Uo*COS(2*PI()*Wn*Sheet2!A330) + (Vo/Wn - (Po*(w/Wn))/(K*(1-(w/Wn)^2)))*SIN(2*PI()*Wn*Sheet2!A330) +(Po*SIN(2*PI()*w*Sheet2!A330))/(K*(1-(w/Wn)^2))</f>
        <v>18.754806672985925</v>
      </c>
      <c r="C330">
        <f t="shared" si="22"/>
        <v>13.641284507898781</v>
      </c>
      <c r="D330">
        <f t="shared" si="23"/>
        <v>2228.2334864920222</v>
      </c>
      <c r="R330">
        <f t="shared" si="20"/>
        <v>0.32800000000000001</v>
      </c>
      <c r="S330">
        <f t="shared" si="21"/>
        <v>13.641284507898781</v>
      </c>
    </row>
    <row r="331" spans="1:19" x14ac:dyDescent="0.3">
      <c r="A331">
        <v>0.32900000000000001</v>
      </c>
      <c r="B331">
        <f>Uo*COS(2*PI()*Wn*Sheet2!A331) + (Vo/Wn - (Po*(w/Wn))/(K*(1-(w/Wn)^2)))*SIN(2*PI()*Wn*Sheet2!A331) +(Po*SIN(2*PI()*w*Sheet2!A331))/(K*(1-(w/Wn)^2))</f>
        <v>18.877295720956884</v>
      </c>
      <c r="C331">
        <f t="shared" si="22"/>
        <v>13.734301827758308</v>
      </c>
      <c r="D331">
        <f t="shared" si="23"/>
        <v>2243.4273860705202</v>
      </c>
      <c r="R331">
        <f t="shared" si="20"/>
        <v>0.32900000000000001</v>
      </c>
      <c r="S331">
        <f t="shared" si="21"/>
        <v>13.734301827758308</v>
      </c>
    </row>
    <row r="332" spans="1:19" x14ac:dyDescent="0.3">
      <c r="A332">
        <v>0.33</v>
      </c>
      <c r="B332">
        <f>Uo*COS(2*PI()*Wn*Sheet2!A332) + (Vo/Wn - (Po*(w/Wn))/(K*(1-(w/Wn)^2)))*SIN(2*PI()*Wn*Sheet2!A332) +(Po*SIN(2*PI()*w*Sheet2!A332))/(K*(1-(w/Wn)^2))</f>
        <v>18.993617918977858</v>
      </c>
      <c r="C332">
        <f t="shared" si="22"/>
        <v>13.82266849448175</v>
      </c>
      <c r="D332">
        <f t="shared" si="23"/>
        <v>2257.8616254391691</v>
      </c>
      <c r="R332">
        <f t="shared" si="20"/>
        <v>0.33</v>
      </c>
      <c r="S332">
        <f t="shared" si="21"/>
        <v>13.82266849448175</v>
      </c>
    </row>
    <row r="333" spans="1:19" x14ac:dyDescent="0.3">
      <c r="A333">
        <v>0.33100000000000002</v>
      </c>
      <c r="B333">
        <f>Uo*COS(2*PI()*Wn*Sheet2!A333) + (Vo/Wn - (Po*(w/Wn))/(K*(1-(w/Wn)^2)))*SIN(2*PI()*Wn*Sheet2!A333) +(Po*SIN(2*PI()*w*Sheet2!A333))/(K*(1-(w/Wn)^2))</f>
        <v>19.103735266820852</v>
      </c>
      <c r="C333">
        <f t="shared" si="22"/>
        <v>13.906364064707587</v>
      </c>
      <c r="D333">
        <f t="shared" si="23"/>
        <v>2271.5328652802755</v>
      </c>
      <c r="R333">
        <f t="shared" si="20"/>
        <v>0.33100000000000002</v>
      </c>
      <c r="S333">
        <f t="shared" si="21"/>
        <v>13.906364064707587</v>
      </c>
    </row>
    <row r="334" spans="1:19" x14ac:dyDescent="0.3">
      <c r="A334">
        <v>0.33200000000000002</v>
      </c>
      <c r="B334">
        <f>Uo*COS(2*PI()*Wn*Sheet2!A334) + (Vo/Wn - (Po*(w/Wn))/(K*(1-(w/Wn)^2)))*SIN(2*PI()*Wn*Sheet2!A334) +(Po*SIN(2*PI()*w*Sheet2!A334))/(K*(1-(w/Wn)^2))</f>
        <v>19.207611791263275</v>
      </c>
      <c r="C334">
        <f t="shared" si="22"/>
        <v>13.98536965657069</v>
      </c>
      <c r="D334">
        <f t="shared" si="23"/>
        <v>2284.4380213385302</v>
      </c>
      <c r="R334">
        <f t="shared" si="20"/>
        <v>0.33200000000000002</v>
      </c>
      <c r="S334">
        <f t="shared" si="21"/>
        <v>13.98536965657069</v>
      </c>
    </row>
    <row r="335" spans="1:19" x14ac:dyDescent="0.3">
      <c r="A335">
        <v>0.33300000000000002</v>
      </c>
      <c r="B335">
        <f>Uo*COS(2*PI()*Wn*Sheet2!A335) + (Vo/Wn - (Po*(w/Wn))/(K*(1-(w/Wn)^2)))*SIN(2*PI()*Wn*Sheet2!A335) +(Po*SIN(2*PI()*w*Sheet2!A335))/(K*(1-(w/Wn)^2))</f>
        <v>19.305213557839672</v>
      </c>
      <c r="C335">
        <f t="shared" si="22"/>
        <v>14.059667953045327</v>
      </c>
      <c r="D335">
        <f t="shared" si="23"/>
        <v>2296.574264967071</v>
      </c>
      <c r="R335">
        <f t="shared" si="20"/>
        <v>0.33300000000000002</v>
      </c>
      <c r="S335">
        <f t="shared" si="21"/>
        <v>14.059667953045327</v>
      </c>
    </row>
    <row r="336" spans="1:19" x14ac:dyDescent="0.3">
      <c r="A336">
        <v>0.33400000000000002</v>
      </c>
      <c r="B336">
        <f>Uo*COS(2*PI()*Wn*Sheet2!A336) + (Vo/Wn - (Po*(w/Wn))/(K*(1-(w/Wn)^2)))*SIN(2*PI()*Wn*Sheet2!A336) +(Po*SIN(2*PI()*w*Sheet2!A336))/(K*(1-(w/Wn)^2))</f>
        <v>19.396508681927465</v>
      </c>
      <c r="C336">
        <f t="shared" si="22"/>
        <v>14.129243204771322</v>
      </c>
      <c r="D336">
        <f t="shared" si="23"/>
        <v>2307.939023589121</v>
      </c>
      <c r="R336">
        <f t="shared" si="20"/>
        <v>0.33400000000000002</v>
      </c>
      <c r="S336">
        <f t="shared" si="21"/>
        <v>14.129243204771322</v>
      </c>
    </row>
    <row r="337" spans="1:19" x14ac:dyDescent="0.3">
      <c r="A337">
        <v>0.33500000000000002</v>
      </c>
      <c r="B337">
        <f>Uo*COS(2*PI()*Wn*Sheet2!A337) + (Vo/Wn - (Po*(w/Wn))/(K*(1-(w/Wn)^2)))*SIN(2*PI()*Wn*Sheet2!A337) +(Po*SIN(2*PI()*w*Sheet2!A337))/(K*(1-(w/Wn)^2))</f>
        <v>19.481467339163046</v>
      </c>
      <c r="C337">
        <f t="shared" si="22"/>
        <v>14.194081232363551</v>
      </c>
      <c r="D337">
        <f t="shared" si="23"/>
        <v>2318.5299810752317</v>
      </c>
      <c r="R337">
        <f t="shared" si="20"/>
        <v>0.33500000000000002</v>
      </c>
      <c r="S337">
        <f t="shared" si="21"/>
        <v>14.194081232363551</v>
      </c>
    </row>
    <row r="338" spans="1:19" x14ac:dyDescent="0.3">
      <c r="A338">
        <v>0.33600000000000002</v>
      </c>
      <c r="B338">
        <f>Uo*COS(2*PI()*Wn*Sheet2!A338) + (Vo/Wn - (Po*(w/Wn))/(K*(1-(w/Wn)^2)))*SIN(2*PI()*Wn*Sheet2!A338) +(Po*SIN(2*PI()*w*Sheet2!A338))/(K*(1-(w/Wn)^2))</f>
        <v>19.560061775184842</v>
      </c>
      <c r="C338">
        <f t="shared" si="22"/>
        <v>14.254169428204747</v>
      </c>
      <c r="D338">
        <f t="shared" si="23"/>
        <v>2328.3450780361313</v>
      </c>
      <c r="R338">
        <f t="shared" si="20"/>
        <v>0.33600000000000002</v>
      </c>
      <c r="S338">
        <f t="shared" si="21"/>
        <v>14.254169428204747</v>
      </c>
    </row>
    <row r="339" spans="1:19" x14ac:dyDescent="0.3">
      <c r="A339">
        <v>0.33700000000000002</v>
      </c>
      <c r="B339">
        <f>Uo*COS(2*PI()*Wn*Sheet2!A339) + (Vo/Wn - (Po*(w/Wn))/(K*(1-(w/Wn)^2)))*SIN(2*PI()*Wn*Sheet2!A339) +(Po*SIN(2*PI()*w*Sheet2!A339))/(K*(1-(w/Wn)^2))</f>
        <v>19.632266314700104</v>
      </c>
      <c r="C339">
        <f t="shared" si="22"/>
        <v>14.309496757722135</v>
      </c>
      <c r="D339">
        <f t="shared" si="23"/>
        <v>2337.3825120312536</v>
      </c>
      <c r="R339">
        <f t="shared" si="20"/>
        <v>0.33700000000000002</v>
      </c>
      <c r="S339">
        <f t="shared" si="21"/>
        <v>14.309496757722135</v>
      </c>
    </row>
    <row r="340" spans="1:19" x14ac:dyDescent="0.3">
      <c r="A340">
        <v>0.33800000000000002</v>
      </c>
      <c r="B340">
        <f>Uo*COS(2*PI()*Wn*Sheet2!A340) + (Vo/Wn - (Po*(w/Wn))/(K*(1-(w/Wn)^2)))*SIN(2*PI()*Wn*Sheet2!A340) +(Po*SIN(2*PI()*w*Sheet2!A340))/(K*(1-(w/Wn)^2))</f>
        <v>19.698057369872551</v>
      </c>
      <c r="C340">
        <f t="shared" si="22"/>
        <v>14.360053760148309</v>
      </c>
      <c r="D340">
        <f t="shared" si="23"/>
        <v>2345.6407376930256</v>
      </c>
      <c r="R340">
        <f t="shared" si="20"/>
        <v>0.33800000000000002</v>
      </c>
      <c r="S340">
        <f t="shared" si="21"/>
        <v>14.360053760148309</v>
      </c>
    </row>
    <row r="341" spans="1:19" x14ac:dyDescent="0.3">
      <c r="A341">
        <v>0.33900000000000002</v>
      </c>
      <c r="B341">
        <f>Uo*COS(2*PI()*Wn*Sheet2!A341) + (Vo/Wn - (Po*(w/Wn))/(K*(1-(w/Wn)^2)))*SIN(2*PI()*Wn*Sheet2!A341) +(Po*SIN(2*PI()*w*Sheet2!A341))/(K*(1-(w/Wn)^2))</f>
        <v>19.757413448028057</v>
      </c>
      <c r="C341">
        <f t="shared" si="22"/>
        <v>14.405832548767085</v>
      </c>
      <c r="D341">
        <f t="shared" si="23"/>
        <v>2353.1184667670236</v>
      </c>
      <c r="R341">
        <f t="shared" si="20"/>
        <v>0.33900000000000002</v>
      </c>
      <c r="S341">
        <f t="shared" si="21"/>
        <v>14.405832548767085</v>
      </c>
    </row>
    <row r="342" spans="1:19" x14ac:dyDescent="0.3">
      <c r="A342">
        <v>0.34</v>
      </c>
      <c r="B342">
        <f>Uo*COS(2*PI()*Wn*Sheet2!A342) + (Vo/Wn - (Po*(w/Wn))/(K*(1-(w/Wn)^2)))*SIN(2*PI()*Wn*Sheet2!A342) +(Po*SIN(2*PI()*w*Sheet2!A342))/(K*(1-(w/Wn)^2))</f>
        <v>19.810315158675898</v>
      </c>
      <c r="C342">
        <f t="shared" si="22"/>
        <v>14.446826810645154</v>
      </c>
      <c r="D342">
        <f t="shared" si="23"/>
        <v>2359.8146680681434</v>
      </c>
      <c r="R342">
        <f t="shared" si="20"/>
        <v>0.34</v>
      </c>
      <c r="S342">
        <f t="shared" si="21"/>
        <v>14.446826810645154</v>
      </c>
    </row>
    <row r="343" spans="1:19" x14ac:dyDescent="0.3">
      <c r="A343">
        <v>0.34100000000000003</v>
      </c>
      <c r="B343">
        <f>Uo*COS(2*PI()*Wn*Sheet2!A343) + (Vo/Wn - (Po*(w/Wn))/(K*(1-(w/Wn)^2)))*SIN(2*PI()*Wn*Sheet2!A343) +(Po*SIN(2*PI()*w*Sheet2!A343))/(K*(1-(w/Wn)^2))</f>
        <v>19.856745219843251</v>
      </c>
      <c r="C343">
        <f t="shared" si="22"/>
        <v>14.483031805850549</v>
      </c>
      <c r="D343">
        <f t="shared" si="23"/>
        <v>2365.7285673529382</v>
      </c>
      <c r="R343">
        <f t="shared" si="20"/>
        <v>0.34100000000000003</v>
      </c>
      <c r="S343">
        <f t="shared" si="21"/>
        <v>14.483031805850549</v>
      </c>
    </row>
    <row r="344" spans="1:19" x14ac:dyDescent="0.3">
      <c r="A344">
        <v>0.34200000000000003</v>
      </c>
      <c r="B344">
        <f>Uo*COS(2*PI()*Wn*Sheet2!A344) + (Vo/Wn - (Po*(w/Wn))/(K*(1-(w/Wn)^2)))*SIN(2*PI()*Wn*Sheet2!A344) +(Po*SIN(2*PI()*w*Sheet2!A344))/(K*(1-(w/Wn)^2))</f>
        <v>19.896688463720874</v>
      </c>
      <c r="C344">
        <f t="shared" si="22"/>
        <v>14.514444366159138</v>
      </c>
      <c r="D344">
        <f t="shared" si="23"/>
        <v>2370.859647108332</v>
      </c>
      <c r="R344">
        <f t="shared" si="20"/>
        <v>0.34200000000000003</v>
      </c>
      <c r="S344">
        <f t="shared" si="21"/>
        <v>14.514444366159138</v>
      </c>
    </row>
    <row r="345" spans="1:19" x14ac:dyDescent="0.3">
      <c r="A345">
        <v>0.34300000000000003</v>
      </c>
      <c r="B345">
        <f>Uo*COS(2*PI()*Wn*Sheet2!A345) + (Vo/Wn - (Po*(w/Wn))/(K*(1-(w/Wn)^2)))*SIN(2*PI()*Wn*Sheet2!A345) +(Po*SIN(2*PI()*w*Sheet2!A345))/(K*(1-(w/Wn)^2))</f>
        <v>19.930131841618156</v>
      </c>
      <c r="C345">
        <f t="shared" si="22"/>
        <v>14.54106289325045</v>
      </c>
      <c r="D345">
        <f t="shared" si="23"/>
        <v>2375.2076462569175</v>
      </c>
      <c r="R345">
        <f t="shared" si="20"/>
        <v>0.34300000000000003</v>
      </c>
      <c r="S345">
        <f t="shared" si="21"/>
        <v>14.54106289325045</v>
      </c>
    </row>
    <row r="346" spans="1:19" x14ac:dyDescent="0.3">
      <c r="A346">
        <v>0.34399999999999997</v>
      </c>
      <c r="B346">
        <f>Uo*COS(2*PI()*Wn*Sheet2!A346) + (Vo/Wn - (Po*(w/Wn))/(K*(1-(w/Wn)^2)))*SIN(2*PI()*Wn*Sheet2!A346) +(Po*SIN(2*PI()*w*Sheet2!A346))/(K*(1-(w/Wn)^2))</f>
        <v>19.957064428225859</v>
      </c>
      <c r="C346">
        <f t="shared" si="22"/>
        <v>14.562887356394397</v>
      </c>
      <c r="D346">
        <f t="shared" si="23"/>
        <v>2378.7725597790932</v>
      </c>
      <c r="R346">
        <f t="shared" si="20"/>
        <v>0.34399999999999997</v>
      </c>
      <c r="S346">
        <f t="shared" si="21"/>
        <v>14.562887356394397</v>
      </c>
    </row>
    <row r="347" spans="1:19" x14ac:dyDescent="0.3">
      <c r="A347">
        <v>0.34499999999999997</v>
      </c>
      <c r="B347">
        <f>Uo*COS(2*PI()*Wn*Sheet2!A347) + (Vo/Wn - (Po*(w/Wn))/(K*(1-(w/Wn)^2)))*SIN(2*PI()*Wn*Sheet2!A347) +(Po*SIN(2*PI()*w*Sheet2!A347))/(K*(1-(w/Wn)^2))</f>
        <v>19.977477425185214</v>
      </c>
      <c r="C347">
        <f t="shared" si="22"/>
        <v>14.579919289630487</v>
      </c>
      <c r="D347">
        <f t="shared" si="23"/>
        <v>2381.554638252303</v>
      </c>
      <c r="R347">
        <f t="shared" si="20"/>
        <v>0.34499999999999997</v>
      </c>
      <c r="S347">
        <f t="shared" si="21"/>
        <v>14.579919289630487</v>
      </c>
    </row>
    <row r="348" spans="1:19" x14ac:dyDescent="0.3">
      <c r="A348">
        <v>0.34599999999999997</v>
      </c>
      <c r="B348">
        <f>Uo*COS(2*PI()*Wn*Sheet2!A348) + (Vo/Wn - (Po*(w/Wn))/(K*(1-(w/Wn)^2)))*SIN(2*PI()*Wn*Sheet2!A348) +(Po*SIN(2*PI()*w*Sheet2!A348))/(K*(1-(w/Wn)^2))</f>
        <v>19.991364163962167</v>
      </c>
      <c r="C348">
        <f t="shared" si="22"/>
        <v>14.592161788441453</v>
      </c>
      <c r="D348">
        <f t="shared" si="23"/>
        <v>2383.5543873076899</v>
      </c>
      <c r="R348">
        <f t="shared" si="20"/>
        <v>0.34599999999999997</v>
      </c>
      <c r="S348">
        <f t="shared" si="21"/>
        <v>14.592161788441453</v>
      </c>
    </row>
    <row r="349" spans="1:19" x14ac:dyDescent="0.3">
      <c r="A349">
        <v>0.34699999999999998</v>
      </c>
      <c r="B349">
        <f>Uo*COS(2*PI()*Wn*Sheet2!A349) + (Vo/Wn - (Po*(w/Wn))/(K*(1-(w/Wn)^2)))*SIN(2*PI()*Wn*Sheet2!A349) +(Po*SIN(2*PI()*w*Sheet2!A349))/(K*(1-(w/Wn)^2))</f>
        <v>19.998720108025875</v>
      </c>
      <c r="C349">
        <f t="shared" si="22"/>
        <v>14.599619505923227</v>
      </c>
      <c r="D349">
        <f t="shared" si="23"/>
        <v>2384.7725670044815</v>
      </c>
      <c r="R349">
        <f t="shared" si="20"/>
        <v>0.34699999999999998</v>
      </c>
      <c r="S349">
        <f t="shared" si="21"/>
        <v>14.599619505923227</v>
      </c>
    </row>
    <row r="350" spans="1:19" x14ac:dyDescent="0.3">
      <c r="A350">
        <v>0.34799999999999998</v>
      </c>
      <c r="B350">
        <f>Uo*COS(2*PI()*Wn*Sheet2!A350) + (Vo/Wn - (Po*(w/Wn))/(K*(1-(w/Wn)^2)))*SIN(2*PI()*Wn*Sheet2!A350) +(Po*SIN(2*PI()*w*Sheet2!A350))/(K*(1-(w/Wn)^2))</f>
        <v>19.999542854330691</v>
      </c>
      <c r="C350">
        <f t="shared" si="22"/>
        <v>14.602298648453488</v>
      </c>
      <c r="D350">
        <f t="shared" si="23"/>
        <v>2385.2101911224709</v>
      </c>
      <c r="R350">
        <f t="shared" si="20"/>
        <v>0.34799999999999998</v>
      </c>
      <c r="S350">
        <f t="shared" si="21"/>
        <v>14.602298648453488</v>
      </c>
    </row>
    <row r="351" spans="1:19" x14ac:dyDescent="0.3">
      <c r="A351">
        <v>0.34899999999999998</v>
      </c>
      <c r="B351">
        <f>Uo*COS(2*PI()*Wn*Sheet2!A351) + (Vo/Wn - (Po*(w/Wn))/(K*(1-(w/Wn)^2)))*SIN(2*PI()*Wn*Sheet2!A351) +(Po*SIN(2*PI()*w*Sheet2!A351))/(K*(1-(w/Wn)^2))</f>
        <v>19.993832134101204</v>
      </c>
      <c r="C351">
        <f t="shared" si="22"/>
        <v>14.600206970861</v>
      </c>
      <c r="D351">
        <f t="shared" si="23"/>
        <v>2384.8685263729508</v>
      </c>
      <c r="R351">
        <f t="shared" si="20"/>
        <v>0.34899999999999998</v>
      </c>
      <c r="S351">
        <f t="shared" si="21"/>
        <v>14.600206970861</v>
      </c>
    </row>
    <row r="352" spans="1:19" x14ac:dyDescent="0.3">
      <c r="A352">
        <v>0.35</v>
      </c>
      <c r="B352">
        <f>Uo*COS(2*PI()*Wn*Sheet2!A352) + (Vo/Wn - (Po*(w/Wn))/(K*(1-(w/Wn)^2)))*SIN(2*PI()*Wn*Sheet2!A352) +(Po*SIN(2*PI()*w*Sheet2!A352))/(K*(1-(w/Wn)^2))</f>
        <v>19.981589812920021</v>
      </c>
      <c r="C352">
        <f t="shared" si="22"/>
        <v>14.593353771098357</v>
      </c>
      <c r="D352">
        <f t="shared" si="23"/>
        <v>2383.7490915285343</v>
      </c>
      <c r="R352">
        <f t="shared" si="20"/>
        <v>0.35</v>
      </c>
      <c r="S352">
        <f t="shared" si="21"/>
        <v>14.593353771098357</v>
      </c>
    </row>
    <row r="353" spans="1:19" x14ac:dyDescent="0.3">
      <c r="A353">
        <v>0.35099999999999998</v>
      </c>
      <c r="B353">
        <f>Uo*COS(2*PI()*Wn*Sheet2!A353) + (Vo/Wn - (Po*(w/Wn))/(K*(1-(w/Wn)^2)))*SIN(2*PI()*Wn*Sheet2!A353) +(Po*SIN(2*PI()*w*Sheet2!A353))/(K*(1-(w/Wn)^2))</f>
        <v>19.962819890118354</v>
      </c>
      <c r="C353">
        <f t="shared" si="22"/>
        <v>14.581749884420613</v>
      </c>
      <c r="D353">
        <f t="shared" si="23"/>
        <v>2381.8536564722658</v>
      </c>
      <c r="R353">
        <f t="shared" si="20"/>
        <v>0.35099999999999998</v>
      </c>
      <c r="S353">
        <f t="shared" si="21"/>
        <v>14.581749884420613</v>
      </c>
    </row>
    <row r="354" spans="1:19" x14ac:dyDescent="0.3">
      <c r="A354">
        <v>0.35199999999999998</v>
      </c>
      <c r="B354">
        <f>Uo*COS(2*PI()*Wn*Sheet2!A354) + (Vo/Wn - (Po*(w/Wn))/(K*(1-(w/Wn)^2)))*SIN(2*PI()*Wn*Sheet2!A354) +(Po*SIN(2*PI()*w*Sheet2!A354))/(K*(1-(w/Wn)^2))</f>
        <v>19.937528497469476</v>
      </c>
      <c r="C354">
        <f t="shared" si="22"/>
        <v>14.565407677072749</v>
      </c>
      <c r="D354">
        <f t="shared" si="23"/>
        <v>2379.1842411664984</v>
      </c>
      <c r="R354">
        <f t="shared" si="20"/>
        <v>0.35199999999999998</v>
      </c>
      <c r="S354">
        <f t="shared" si="21"/>
        <v>14.565407677072749</v>
      </c>
    </row>
    <row r="355" spans="1:19" x14ac:dyDescent="0.3">
      <c r="A355">
        <v>0.35299999999999998</v>
      </c>
      <c r="B355">
        <f>Uo*COS(2*PI()*Wn*Sheet2!A355) + (Vo/Wn - (Po*(w/Wn))/(K*(1-(w/Wn)^2)))*SIN(2*PI()*Wn*Sheet2!A355) +(Po*SIN(2*PI()*w*Sheet2!A355))/(K*(1-(w/Wn)^2))</f>
        <v>19.905723897185617</v>
      </c>
      <c r="C355">
        <f t="shared" si="22"/>
        <v>14.54434103948878</v>
      </c>
      <c r="D355">
        <f t="shared" si="23"/>
        <v>2375.7431145420073</v>
      </c>
      <c r="R355">
        <f t="shared" si="20"/>
        <v>0.35299999999999998</v>
      </c>
      <c r="S355">
        <f t="shared" si="21"/>
        <v>14.54434103948878</v>
      </c>
    </row>
    <row r="356" spans="1:19" x14ac:dyDescent="0.3">
      <c r="A356">
        <v>0.35399999999999998</v>
      </c>
      <c r="B356">
        <f>Uo*COS(2*PI()*Wn*Sheet2!A356) + (Vo/Wn - (Po*(w/Wn))/(K*(1-(w/Wn)^2)))*SIN(2*PI()*Wn*Sheet2!A356) +(Po*SIN(2*PI()*w*Sheet2!A356))/(K*(1-(w/Wn)^2))</f>
        <v>19.867416479218839</v>
      </c>
      <c r="C356">
        <f t="shared" si="22"/>
        <v>14.518565379005731</v>
      </c>
      <c r="D356">
        <f t="shared" si="23"/>
        <v>2371.5327933078506</v>
      </c>
      <c r="R356">
        <f t="shared" si="20"/>
        <v>0.35399999999999998</v>
      </c>
      <c r="S356">
        <f t="shared" si="21"/>
        <v>14.518565379005731</v>
      </c>
    </row>
    <row r="357" spans="1:19" x14ac:dyDescent="0.3">
      <c r="A357">
        <v>0.35499999999999998</v>
      </c>
      <c r="B357">
        <f>Uo*COS(2*PI()*Wn*Sheet2!A357) + (Vo/Wn - (Po*(w/Wn))/(K*(1-(w/Wn)^2)))*SIN(2*PI()*Wn*Sheet2!A357) +(Po*SIN(2*PI()*w*Sheet2!A357))/(K*(1-(w/Wn)^2))</f>
        <v>19.822618757866849</v>
      </c>
      <c r="C357">
        <f t="shared" si="22"/>
        <v>14.488097612095604</v>
      </c>
      <c r="D357">
        <f t="shared" si="23"/>
        <v>2366.5560406825043</v>
      </c>
      <c r="R357">
        <f t="shared" si="20"/>
        <v>0.35499999999999998</v>
      </c>
      <c r="S357">
        <f t="shared" si="21"/>
        <v>14.488097612095604</v>
      </c>
    </row>
    <row r="358" spans="1:19" x14ac:dyDescent="0.3">
      <c r="A358">
        <v>0.35599999999999998</v>
      </c>
      <c r="B358">
        <f>Uo*COS(2*PI()*Wn*Sheet2!A358) + (Vo/Wn - (Po*(w/Wn))/(K*(1-(w/Wn)^2)))*SIN(2*PI()*Wn*Sheet2!A358) +(Po*SIN(2*PI()*w*Sheet2!A358))/(K*(1-(w/Wn)^2))</f>
        <v>19.77134536768482</v>
      </c>
      <c r="C358">
        <f t="shared" si="22"/>
        <v>14.452956156118892</v>
      </c>
      <c r="D358">
        <f t="shared" si="23"/>
        <v>2360.8158650468408</v>
      </c>
      <c r="R358">
        <f t="shared" si="20"/>
        <v>0.35599999999999998</v>
      </c>
      <c r="S358">
        <f t="shared" si="21"/>
        <v>14.452956156118892</v>
      </c>
    </row>
    <row r="359" spans="1:19" x14ac:dyDescent="0.3">
      <c r="A359">
        <v>0.35699999999999998</v>
      </c>
      <c r="B359">
        <f>Uo*COS(2*PI()*Wn*Sheet2!A359) + (Vo/Wn - (Po*(w/Wn))/(K*(1-(w/Wn)^2)))*SIN(2*PI()*Wn*Sheet2!A359) +(Po*SIN(2*PI()*w*Sheet2!A359))/(K*(1-(w/Wn)^2))</f>
        <v>19.713613058704553</v>
      </c>
      <c r="C359">
        <f t="shared" si="22"/>
        <v>14.413160920603039</v>
      </c>
      <c r="D359">
        <f t="shared" si="23"/>
        <v>2354.3155185195096</v>
      </c>
      <c r="R359">
        <f t="shared" si="20"/>
        <v>0.35699999999999998</v>
      </c>
      <c r="S359">
        <f t="shared" si="21"/>
        <v>14.413160920603039</v>
      </c>
    </row>
    <row r="360" spans="1:19" x14ac:dyDescent="0.3">
      <c r="A360">
        <v>0.35799999999999998</v>
      </c>
      <c r="B360">
        <f>Uo*COS(2*PI()*Wn*Sheet2!A360) + (Vo/Wn - (Po*(w/Wn))/(K*(1-(w/Wn)^2)))*SIN(2*PI()*Wn*Sheet2!A360) +(Po*SIN(2*PI()*w*Sheet2!A360))/(K*(1-(w/Wn)^2))</f>
        <v>19.649440690962571</v>
      </c>
      <c r="C360">
        <f t="shared" si="22"/>
        <v>14.368733298049694</v>
      </c>
      <c r="D360">
        <f t="shared" si="23"/>
        <v>2347.0584954553492</v>
      </c>
      <c r="R360">
        <f t="shared" si="20"/>
        <v>0.35799999999999998</v>
      </c>
      <c r="S360">
        <f t="shared" si="21"/>
        <v>14.368733298049694</v>
      </c>
    </row>
    <row r="361" spans="1:19" x14ac:dyDescent="0.3">
      <c r="A361">
        <v>0.35899999999999999</v>
      </c>
      <c r="B361">
        <f>Uo*COS(2*PI()*Wn*Sheet2!A361) + (Vo/Wn - (Po*(w/Wn))/(K*(1-(w/Wn)^2)))*SIN(2*PI()*Wn*Sheet2!A361) +(Po*SIN(2*PI()*w*Sheet2!A361))/(K*(1-(w/Wn)^2))</f>
        <v>19.578849228338903</v>
      </c>
      <c r="C361">
        <f t="shared" si="22"/>
        <v>14.319696154274485</v>
      </c>
      <c r="D361">
        <f t="shared" si="23"/>
        <v>2339.0485308674415</v>
      </c>
      <c r="R361">
        <f t="shared" si="20"/>
        <v>0.35899999999999999</v>
      </c>
      <c r="S361">
        <f t="shared" si="21"/>
        <v>14.319696154274485</v>
      </c>
    </row>
    <row r="362" spans="1:19" x14ac:dyDescent="0.3">
      <c r="A362">
        <v>0.36</v>
      </c>
      <c r="B362">
        <f>Uo*COS(2*PI()*Wn*Sheet2!A362) + (Vo/Wn - (Po*(w/Wn))/(K*(1-(w/Wn)^2)))*SIN(2*PI()*Wn*Sheet2!A362) +(Po*SIN(2*PI()*w*Sheet2!A362))/(K*(1-(w/Wn)^2))</f>
        <v>19.501861731708598</v>
      </c>
      <c r="C362">
        <f t="shared" si="22"/>
        <v>14.266073818283434</v>
      </c>
      <c r="D362">
        <f t="shared" si="23"/>
        <v>2330.2895987734732</v>
      </c>
      <c r="R362">
        <f t="shared" si="20"/>
        <v>0.36</v>
      </c>
      <c r="S362">
        <f t="shared" si="21"/>
        <v>14.266073818283434</v>
      </c>
    </row>
    <row r="363" spans="1:19" x14ac:dyDescent="0.3">
      <c r="A363">
        <v>0.36099999999999999</v>
      </c>
      <c r="B363">
        <f>Uo*COS(2*PI()*Wn*Sheet2!A363) + (Vo/Wn - (Po*(w/Wn))/(K*(1-(w/Wn)^2)))*SIN(2*PI()*Wn*Sheet2!A363) +(Po*SIN(2*PI()*w*Sheet2!A363))/(K*(1-(w/Wn)^2))</f>
        <v>19.418503351408155</v>
      </c>
      <c r="C363">
        <f t="shared" si="22"/>
        <v>14.20789207169001</v>
      </c>
      <c r="D363">
        <f t="shared" si="23"/>
        <v>2320.7859104670683</v>
      </c>
      <c r="R363">
        <f t="shared" si="20"/>
        <v>0.36099999999999999</v>
      </c>
      <c r="S363">
        <f t="shared" si="21"/>
        <v>14.20789207169001</v>
      </c>
    </row>
    <row r="364" spans="1:19" x14ac:dyDescent="0.3">
      <c r="A364">
        <v>0.36199999999999999</v>
      </c>
      <c r="B364">
        <f>Uo*COS(2*PI()*Wn*Sheet2!A364) + (Vo/Wn - (Po*(w/Wn))/(K*(1-(w/Wn)^2)))*SIN(2*PI()*Wn*Sheet2!A364) +(Po*SIN(2*PI()*w*Sheet2!A364))/(K*(1-(w/Wn)^2))</f>
        <v>19.328801319019419</v>
      </c>
      <c r="C364">
        <f t="shared" si="22"/>
        <v>14.14517813767727</v>
      </c>
      <c r="D364">
        <f t="shared" si="23"/>
        <v>2310.5419127148098</v>
      </c>
      <c r="R364">
        <f t="shared" si="20"/>
        <v>0.36199999999999999</v>
      </c>
      <c r="S364">
        <f t="shared" si="21"/>
        <v>14.14517813767727</v>
      </c>
    </row>
    <row r="365" spans="1:19" x14ac:dyDescent="0.3">
      <c r="A365">
        <v>0.36299999999999999</v>
      </c>
      <c r="B365">
        <f>Uo*COS(2*PI()*Wn*Sheet2!A365) + (Vo/Wn - (Po*(w/Wn))/(K*(1-(w/Wn)^2)))*SIN(2*PI()*Wn*Sheet2!A365) +(Po*SIN(2*PI()*w*Sheet2!A365))/(K*(1-(w/Wn)^2))</f>
        <v>19.232784938473536</v>
      </c>
      <c r="C365">
        <f t="shared" si="22"/>
        <v>14.07796066950934</v>
      </c>
      <c r="D365">
        <f t="shared" si="23"/>
        <v>2299.5622858796482</v>
      </c>
      <c r="R365">
        <f t="shared" si="20"/>
        <v>0.36299999999999999</v>
      </c>
      <c r="S365">
        <f t="shared" si="21"/>
        <v>14.07796066950934</v>
      </c>
    </row>
    <row r="366" spans="1:19" x14ac:dyDescent="0.3">
      <c r="A366">
        <v>0.36399999999999999</v>
      </c>
      <c r="B366">
        <f>Uo*COS(2*PI()*Wn*Sheet2!A366) + (Vo/Wn - (Po*(w/Wn))/(K*(1-(w/Wn)^2)))*SIN(2*PI()*Wn*Sheet2!A366) +(Po*SIN(2*PI()*w*Sheet2!A366))/(K*(1-(w/Wn)^2))</f>
        <v>19.130485576477913</v>
      </c>
      <c r="C366">
        <f t="shared" si="22"/>
        <v>14.00626973859695</v>
      </c>
      <c r="D366">
        <f t="shared" si="23"/>
        <v>2287.8519419714721</v>
      </c>
      <c r="R366">
        <f t="shared" si="20"/>
        <v>0.36399999999999999</v>
      </c>
      <c r="S366">
        <f t="shared" si="21"/>
        <v>14.00626973859695</v>
      </c>
    </row>
    <row r="367" spans="1:19" x14ac:dyDescent="0.3">
      <c r="A367">
        <v>0.36499999999999999</v>
      </c>
      <c r="B367">
        <f>Uo*COS(2*PI()*Wn*Sheet2!A367) + (Vo/Wn - (Po*(w/Wn))/(K*(1-(w/Wn)^2)))*SIN(2*PI()*Wn*Sheet2!A367) +(Po*SIN(2*PI()*w*Sheet2!A367))/(K*(1-(w/Wn)^2))</f>
        <v>19.021936652269325</v>
      </c>
      <c r="C367">
        <f t="shared" si="22"/>
        <v>13.930136822121625</v>
      </c>
      <c r="D367">
        <f t="shared" si="23"/>
        <v>2275.4160226255785</v>
      </c>
      <c r="R367">
        <f t="shared" si="20"/>
        <v>0.36499999999999999</v>
      </c>
      <c r="S367">
        <f t="shared" si="21"/>
        <v>13.930136822121625</v>
      </c>
    </row>
    <row r="368" spans="1:19" x14ac:dyDescent="0.3">
      <c r="A368">
        <v>0.36599999999999999</v>
      </c>
      <c r="B368">
        <f>Uo*COS(2*PI()*Wn*Sheet2!A368) + (Vo/Wn - (Po*(w/Wn))/(K*(1-(w/Wn)^2)))*SIN(2*PI()*Wn*Sheet2!A368) +(Po*SIN(2*PI()*w*Sheet2!A368))/(K*(1-(w/Wn)^2))</f>
        <v>18.907173626696498</v>
      </c>
      <c r="C368">
        <f t="shared" si="22"/>
        <v>13.849594790223403</v>
      </c>
      <c r="D368">
        <f t="shared" si="23"/>
        <v>2262.2598970098556</v>
      </c>
      <c r="R368">
        <f t="shared" si="20"/>
        <v>0.36599999999999999</v>
      </c>
      <c r="S368">
        <f t="shared" si="21"/>
        <v>13.849594790223403</v>
      </c>
    </row>
    <row r="369" spans="1:19" x14ac:dyDescent="0.3">
      <c r="A369">
        <v>0.36699999999999999</v>
      </c>
      <c r="B369">
        <f>Uo*COS(2*PI()*Wn*Sheet2!A369) + (Vo/Wn - (Po*(w/Wn))/(K*(1-(w/Wn)^2)))*SIN(2*PI()*Wn*Sheet2!A369) +(Po*SIN(2*PI()*w*Sheet2!A369))/(K*(1-(w/Wn)^2))</f>
        <v>18.786233990635708</v>
      </c>
      <c r="C369">
        <f t="shared" si="22"/>
        <v>13.764677892757057</v>
      </c>
      <c r="D369">
        <f t="shared" si="23"/>
        <v>2248.3891596614808</v>
      </c>
      <c r="R369">
        <f t="shared" si="20"/>
        <v>0.36699999999999999</v>
      </c>
      <c r="S369">
        <f t="shared" si="21"/>
        <v>13.764677892757057</v>
      </c>
    </row>
    <row r="370" spans="1:19" x14ac:dyDescent="0.3">
      <c r="A370">
        <v>0.36799999999999999</v>
      </c>
      <c r="B370">
        <f>Uo*COS(2*PI()*Wn*Sheet2!A370) + (Vo/Wn - (Po*(w/Wn))/(K*(1-(w/Wn)^2)))*SIN(2*PI()*Wn*Sheet2!A370) +(Po*SIN(2*PI()*w*Sheet2!A370))/(K*(1-(w/Wn)^2))</f>
        <v>18.659157252743274</v>
      </c>
      <c r="C370">
        <f t="shared" si="22"/>
        <v>13.675421745621916</v>
      </c>
      <c r="D370">
        <f t="shared" si="23"/>
        <v>2233.8096282539641</v>
      </c>
      <c r="R370">
        <f t="shared" si="20"/>
        <v>0.36799999999999999</v>
      </c>
      <c r="S370">
        <f t="shared" si="21"/>
        <v>13.675421745621916</v>
      </c>
    </row>
    <row r="371" spans="1:19" x14ac:dyDescent="0.3">
      <c r="A371">
        <v>0.36899999999999999</v>
      </c>
      <c r="B371">
        <f>Uo*COS(2*PI()*Wn*Sheet2!A371) + (Vo/Wn - (Po*(w/Wn))/(K*(1-(w/Wn)^2)))*SIN(2*PI()*Wn*Sheet2!A371) +(Po*SIN(2*PI()*w*Sheet2!A371))/(K*(1-(w/Wn)^2))</f>
        <v>18.525984926548794</v>
      </c>
      <c r="C371">
        <f t="shared" si="22"/>
        <v>13.581863316670493</v>
      </c>
      <c r="D371">
        <f t="shared" si="23"/>
        <v>2218.5273412953984</v>
      </c>
      <c r="R371">
        <f t="shared" si="20"/>
        <v>0.36899999999999999</v>
      </c>
      <c r="S371">
        <f t="shared" si="21"/>
        <v>13.581863316670493</v>
      </c>
    </row>
    <row r="372" spans="1:19" x14ac:dyDescent="0.3">
      <c r="A372">
        <v>0.37</v>
      </c>
      <c r="B372">
        <f>Uo*COS(2*PI()*Wn*Sheet2!A372) + (Vo/Wn - (Po*(w/Wn))/(K*(1-(w/Wn)^2)))*SIN(2*PI()*Wn*Sheet2!A372) +(Po*SIN(2*PI()*w*Sheet2!A372))/(K*(1-(w/Wn)^2))</f>
        <v>18.386760516893489</v>
      </c>
      <c r="C372">
        <f t="shared" si="22"/>
        <v>13.484040911201326</v>
      </c>
      <c r="D372">
        <f t="shared" si="23"/>
        <v>2202.5485557587881</v>
      </c>
      <c r="R372">
        <f t="shared" si="20"/>
        <v>0.37</v>
      </c>
      <c r="S372">
        <f t="shared" si="21"/>
        <v>13.484040911201326</v>
      </c>
    </row>
    <row r="373" spans="1:19" x14ac:dyDescent="0.3">
      <c r="A373">
        <v>0.371</v>
      </c>
      <c r="B373">
        <f>Uo*COS(2*PI()*Wn*Sheet2!A373) + (Vo/Wn - (Po*(w/Wn))/(K*(1-(w/Wn)^2)))*SIN(2*PI()*Wn*Sheet2!A373) +(Po*SIN(2*PI()*w*Sheet2!A373))/(K*(1-(w/Wn)^2))</f>
        <v>18.24152950571802</v>
      </c>
      <c r="C373">
        <f t="shared" si="22"/>
        <v>13.381994157041493</v>
      </c>
      <c r="D373">
        <f t="shared" si="23"/>
        <v>2185.8797446453555</v>
      </c>
      <c r="R373">
        <f t="shared" si="20"/>
        <v>0.371</v>
      </c>
      <c r="S373">
        <f t="shared" si="21"/>
        <v>13.381994157041493</v>
      </c>
    </row>
    <row r="374" spans="1:19" x14ac:dyDescent="0.3">
      <c r="A374">
        <v>0.372</v>
      </c>
      <c r="B374">
        <f>Uo*COS(2*PI()*Wn*Sheet2!A374) + (Vo/Wn - (Po*(w/Wn))/(K*(1-(w/Wn)^2)))*SIN(2*PI()*Wn*Sheet2!A374) +(Po*SIN(2*PI()*w*Sheet2!A374))/(K*(1-(w/Wn)^2))</f>
        <v>18.090339337204394</v>
      </c>
      <c r="C374">
        <f t="shared" si="22"/>
        <v>13.275763989224368</v>
      </c>
      <c r="D374">
        <f t="shared" si="23"/>
        <v>2168.5275944817308</v>
      </c>
      <c r="R374">
        <f t="shared" si="20"/>
        <v>0.372</v>
      </c>
      <c r="S374">
        <f t="shared" si="21"/>
        <v>13.275763989224368</v>
      </c>
    </row>
    <row r="375" spans="1:19" x14ac:dyDescent="0.3">
      <c r="A375">
        <v>0.373</v>
      </c>
      <c r="B375">
        <f>Uo*COS(2*PI()*Wn*Sheet2!A375) + (Vo/Wn - (Po*(w/Wn))/(K*(1-(w/Wn)^2)))*SIN(2*PI()*Wn*Sheet2!A375) +(Po*SIN(2*PI()*w*Sheet2!A375))/(K*(1-(w/Wn)^2))</f>
        <v>17.933239402276868</v>
      </c>
      <c r="C375">
        <f t="shared" si="22"/>
        <v>13.165392634268471</v>
      </c>
      <c r="D375">
        <f t="shared" si="23"/>
        <v>2150.4990027519843</v>
      </c>
      <c r="R375">
        <f t="shared" si="20"/>
        <v>0.373</v>
      </c>
      <c r="S375">
        <f t="shared" si="21"/>
        <v>13.165392634268471</v>
      </c>
    </row>
    <row r="376" spans="1:19" x14ac:dyDescent="0.3">
      <c r="A376">
        <v>0.374</v>
      </c>
      <c r="B376">
        <f>Uo*COS(2*PI()*Wn*Sheet2!A376) + (Vo/Wn - (Po*(w/Wn))/(K*(1-(w/Wn)^2)))*SIN(2*PI()*Wn*Sheet2!A376) +(Po*SIN(2*PI()*w*Sheet2!A376))/(K*(1-(w/Wn)^2))</f>
        <v>17.770281022466882</v>
      </c>
      <c r="C376">
        <f t="shared" si="22"/>
        <v>13.050923594063102</v>
      </c>
      <c r="D376">
        <f t="shared" si="23"/>
        <v>2131.8010752654259</v>
      </c>
      <c r="R376">
        <f t="shared" si="20"/>
        <v>0.374</v>
      </c>
      <c r="S376">
        <f t="shared" si="21"/>
        <v>13.050923594063102</v>
      </c>
    </row>
    <row r="377" spans="1:19" x14ac:dyDescent="0.3">
      <c r="A377">
        <v>0.375</v>
      </c>
      <c r="B377">
        <f>Uo*COS(2*PI()*Wn*Sheet2!A377) + (Vo/Wn - (Po*(w/Wn))/(K*(1-(w/Wn)^2)))*SIN(2*PI()*Wn*Sheet2!A377) +(Po*SIN(2*PI()*w*Sheet2!A377))/(K*(1-(w/Wn)^2))</f>
        <v>17.601517433147301</v>
      </c>
      <c r="C377">
        <f t="shared" si="22"/>
        <v>12.932401629366881</v>
      </c>
      <c r="D377">
        <f t="shared" si="23"/>
        <v>2112.4411234611784</v>
      </c>
      <c r="R377">
        <f t="shared" si="20"/>
        <v>0.375</v>
      </c>
      <c r="S377">
        <f t="shared" si="21"/>
        <v>12.932401629366881</v>
      </c>
    </row>
    <row r="378" spans="1:19" x14ac:dyDescent="0.3">
      <c r="A378">
        <v>0.376</v>
      </c>
      <c r="B378">
        <f>Uo*COS(2*PI()*Wn*Sheet2!A378) + (Vo/Wn - (Po*(w/Wn))/(K*(1-(w/Wn)^2)))*SIN(2*PI()*Wn*Sheet2!A378) +(Po*SIN(2*PI()*w*Sheet2!A378))/(K*(1-(w/Wn)^2))</f>
        <v>17.427003766141439</v>
      </c>
      <c r="C378">
        <f t="shared" si="22"/>
        <v>12.80987274292514</v>
      </c>
      <c r="D378">
        <f t="shared" si="23"/>
        <v>2092.426661650491</v>
      </c>
      <c r="R378">
        <f t="shared" si="20"/>
        <v>0.376</v>
      </c>
      <c r="S378">
        <f t="shared" si="21"/>
        <v>12.80987274292514</v>
      </c>
    </row>
    <row r="379" spans="1:19" x14ac:dyDescent="0.3">
      <c r="A379">
        <v>0.377</v>
      </c>
      <c r="B379">
        <f>Uo*COS(2*PI()*Wn*Sheet2!A379) + (Vo/Wn - (Po*(w/Wn))/(K*(1-(w/Wn)^2)))*SIN(2*PI()*Wn*Sheet2!A379) +(Po*SIN(2*PI()*w*Sheet2!A379))/(K*(1-(w/Wn)^2))</f>
        <v>17.246797031712553</v>
      </c>
      <c r="C379">
        <f t="shared" si="22"/>
        <v>12.683384162212521</v>
      </c>
      <c r="D379">
        <f t="shared" si="23"/>
        <v>2071.765404197829</v>
      </c>
      <c r="R379">
        <f t="shared" si="20"/>
        <v>0.377</v>
      </c>
      <c r="S379">
        <f t="shared" si="21"/>
        <v>12.683384162212521</v>
      </c>
    </row>
    <row r="380" spans="1:19" x14ac:dyDescent="0.3">
      <c r="A380">
        <v>0.378</v>
      </c>
      <c r="B380">
        <f>Uo*COS(2*PI()*Wn*Sheet2!A380) + (Vo/Wn - (Po*(w/Wn))/(K*(1-(w/Wn)^2)))*SIN(2*PI()*Wn*Sheet2!A380) +(Po*SIN(2*PI()*w*Sheet2!A380))/(K*(1-(w/Wn)^2))</f>
        <v>17.060956099939691</v>
      </c>
      <c r="C380">
        <f t="shared" si="22"/>
        <v>12.552984321806925</v>
      </c>
      <c r="D380">
        <f t="shared" si="23"/>
        <v>2050.4652626417519</v>
      </c>
      <c r="R380">
        <f t="shared" si="20"/>
        <v>0.378</v>
      </c>
      <c r="S380">
        <f t="shared" si="21"/>
        <v>12.552984321806925</v>
      </c>
    </row>
    <row r="381" spans="1:19" x14ac:dyDescent="0.3">
      <c r="A381">
        <v>0.379</v>
      </c>
      <c r="B381">
        <f>Uo*COS(2*PI()*Wn*Sheet2!A381) + (Vo/Wn - (Po*(w/Wn))/(K*(1-(w/Wn)^2)))*SIN(2*PI()*Wn*Sheet2!A381) +(Po*SIN(2*PI()*w*Sheet2!A381))/(K*(1-(w/Wn)^2))</f>
        <v>16.869541681485952</v>
      </c>
      <c r="C381">
        <f t="shared" si="22"/>
        <v>12.418722845401343</v>
      </c>
      <c r="D381">
        <f t="shared" si="23"/>
        <v>2028.5343427566377</v>
      </c>
      <c r="R381">
        <f t="shared" si="20"/>
        <v>0.379</v>
      </c>
      <c r="S381">
        <f t="shared" si="21"/>
        <v>12.418722845401343</v>
      </c>
    </row>
    <row r="382" spans="1:19" x14ac:dyDescent="0.3">
      <c r="A382">
        <v>0.38</v>
      </c>
      <c r="B382">
        <f>Uo*COS(2*PI()*Wn*Sheet2!A382) + (Vo/Wn - (Po*(w/Wn))/(K*(1-(w/Wn)^2)))*SIN(2*PI()*Wn*Sheet2!A382) +(Po*SIN(2*PI()*w*Sheet2!A382))/(K*(1-(w/Wn)^2))</f>
        <v>16.672616307765487</v>
      </c>
      <c r="C382">
        <f t="shared" si="22"/>
        <v>12.280650527460081</v>
      </c>
      <c r="D382">
        <f t="shared" si="23"/>
        <v>2005.9809415563218</v>
      </c>
      <c r="R382">
        <f t="shared" si="20"/>
        <v>0.38</v>
      </c>
      <c r="S382">
        <f t="shared" si="21"/>
        <v>12.280650527460081</v>
      </c>
    </row>
    <row r="383" spans="1:19" x14ac:dyDescent="0.3">
      <c r="A383">
        <v>0.38100000000000001</v>
      </c>
      <c r="B383">
        <f>Uo*COS(2*PI()*Wn*Sheet2!A383) + (Vo/Wn - (Po*(w/Wn))/(K*(1-(w/Wn)^2)))*SIN(2*PI()*Wn*Sheet2!A383) +(Po*SIN(2*PI()*w*Sheet2!A383))/(K*(1-(w/Wn)^2))</f>
        <v>16.470244310515703</v>
      </c>
      <c r="C383">
        <f t="shared" si="22"/>
        <v>12.138819314525932</v>
      </c>
      <c r="D383">
        <f t="shared" si="23"/>
        <v>1982.8135442407204</v>
      </c>
      <c r="R383">
        <f t="shared" si="20"/>
        <v>0.38100000000000001</v>
      </c>
      <c r="S383">
        <f t="shared" si="21"/>
        <v>12.138819314525932</v>
      </c>
    </row>
    <row r="384" spans="1:19" x14ac:dyDescent="0.3">
      <c r="A384">
        <v>0.38200000000000001</v>
      </c>
      <c r="B384">
        <f>Uo*COS(2*PI()*Wn*Sheet2!A384) + (Vo/Wn - (Po*(w/Wn))/(K*(1-(w/Wn)^2)))*SIN(2*PI()*Wn*Sheet2!A384) +(Po*SIN(2*PI()*w*Sheet2!A384))/(K*(1-(w/Wn)^2))</f>
        <v>16.262491800781287</v>
      </c>
      <c r="C384">
        <f t="shared" si="22"/>
        <v>11.993282286185135</v>
      </c>
      <c r="D384">
        <f t="shared" si="23"/>
        <v>1959.0408210865537</v>
      </c>
      <c r="R384">
        <f t="shared" si="20"/>
        <v>0.38200000000000001</v>
      </c>
      <c r="S384">
        <f t="shared" si="21"/>
        <v>11.993282286185135</v>
      </c>
    </row>
    <row r="385" spans="1:19" x14ac:dyDescent="0.3">
      <c r="A385">
        <v>0.38300000000000001</v>
      </c>
      <c r="B385">
        <f>Uo*COS(2*PI()*Wn*Sheet2!A385) + (Vo/Wn - (Po*(w/Wn))/(K*(1-(w/Wn)^2)))*SIN(2*PI()*Wn*Sheet2!A385) +(Po*SIN(2*PI()*w*Sheet2!A385))/(K*(1-(w/Wn)^2))</f>
        <v>16.049426647317024</v>
      </c>
      <c r="C385">
        <f t="shared" si="22"/>
        <v>11.844093635696888</v>
      </c>
      <c r="D385">
        <f t="shared" si="23"/>
        <v>1934.6716242832777</v>
      </c>
      <c r="R385">
        <f t="shared" ref="R385:R448" si="24">A385</f>
        <v>0.38300000000000001</v>
      </c>
      <c r="S385">
        <f t="shared" ref="S385:S448" si="25">C385</f>
        <v>11.844093635696888</v>
      </c>
    </row>
    <row r="386" spans="1:19" x14ac:dyDescent="0.3">
      <c r="A386">
        <v>0.38400000000000001</v>
      </c>
      <c r="B386">
        <f>Uo*COS(2*PI()*Wn*Sheet2!A386) + (Vo/Wn - (Po*(w/Wn))/(K*(1-(w/Wn)^2)))*SIN(2*PI()*Wn*Sheet2!A386) +(Po*SIN(2*PI()*w*Sheet2!A386))/(K*(1-(w/Wn)^2))</f>
        <v>15.831118454416362</v>
      </c>
      <c r="C386">
        <f t="shared" ref="C386:C449" si="26">EXP(-zeta*Wn*A386*2*PI())*($H$1*COS(wnD*2*PI()*A386) + $H$2*SIN(wnD*2*PI()*A386)) + $H$3*SIN(w*2*PI()*A386) + $H$4*COS(w*2*PI()*A386)</f>
        <v>11.691308650294305</v>
      </c>
      <c r="D386">
        <f t="shared" ref="D386:D449" si="27">K*C386</f>
        <v>1909.7149847153466</v>
      </c>
      <c r="R386">
        <f t="shared" si="24"/>
        <v>0.38400000000000001</v>
      </c>
      <c r="S386">
        <f t="shared" si="25"/>
        <v>11.691308650294305</v>
      </c>
    </row>
    <row r="387" spans="1:19" x14ac:dyDescent="0.3">
      <c r="A387">
        <v>0.38500000000000001</v>
      </c>
      <c r="B387">
        <f>Uo*COS(2*PI()*Wn*Sheet2!A387) + (Vo/Wn - (Po*(w/Wn))/(K*(1-(w/Wn)^2)))*SIN(2*PI()*Wn*Sheet2!A387) +(Po*SIN(2*PI()*w*Sheet2!A387))/(K*(1-(w/Wn)^2))</f>
        <v>15.607638539173054</v>
      </c>
      <c r="C387">
        <f t="shared" si="26"/>
        <v>11.53498369116399</v>
      </c>
      <c r="D387">
        <f t="shared" si="27"/>
        <v>1884.1801086919802</v>
      </c>
      <c r="R387">
        <f t="shared" si="24"/>
        <v>0.38500000000000001</v>
      </c>
      <c r="S387">
        <f t="shared" si="25"/>
        <v>11.53498369116399</v>
      </c>
    </row>
    <row r="388" spans="1:19" x14ac:dyDescent="0.3">
      <c r="A388">
        <v>0.38600000000000001</v>
      </c>
      <c r="B388">
        <f>Uo*COS(2*PI()*Wn*Sheet2!A388) + (Vo/Wn - (Po*(w/Wn))/(K*(1-(w/Wn)^2)))*SIN(2*PI()*Wn*Sheet2!A388) +(Po*SIN(2*PI()*w*Sheet2!A388))/(K*(1-(w/Wn)^2))</f>
        <v>15.379059908183194</v>
      </c>
      <c r="C388">
        <f t="shared" si="26"/>
        <v>11.375176173111116</v>
      </c>
      <c r="D388">
        <f t="shared" si="27"/>
        <v>1858.0763746255582</v>
      </c>
      <c r="R388">
        <f t="shared" si="24"/>
        <v>0.38600000000000001</v>
      </c>
      <c r="S388">
        <f t="shared" si="25"/>
        <v>11.375176173111116</v>
      </c>
    </row>
    <row r="389" spans="1:19" x14ac:dyDescent="0.3">
      <c r="A389">
        <v>0.38700000000000001</v>
      </c>
      <c r="B389">
        <f>Uo*COS(2*PI()*Wn*Sheet2!A389) + (Vo/Wn - (Po*(w/Wn))/(K*(1-(w/Wn)^2)))*SIN(2*PI()*Wn*Sheet2!A389) +(Po*SIN(2*PI()*w*Sheet2!A389))/(K*(1-(w/Wn)^2))</f>
        <v>15.145457233695387</v>
      </c>
      <c r="C389">
        <f t="shared" si="26"/>
        <v>11.211944543917433</v>
      </c>
      <c r="D389">
        <f t="shared" si="27"/>
        <v>1831.4133296598579</v>
      </c>
      <c r="R389">
        <f t="shared" si="24"/>
        <v>0.38700000000000001</v>
      </c>
      <c r="S389">
        <f t="shared" si="25"/>
        <v>11.211944543917433</v>
      </c>
    </row>
    <row r="390" spans="1:19" x14ac:dyDescent="0.3">
      <c r="A390">
        <v>0.38800000000000001</v>
      </c>
      <c r="B390">
        <f>Uo*COS(2*PI()*Wn*Sheet2!A390) + (Vo/Wn - (Po*(w/Wn))/(K*(1-(w/Wn)^2)))*SIN(2*PI()*Wn*Sheet2!A390) +(Po*SIN(2*PI()*w*Sheet2!A390))/(K*(1-(w/Wn)^2))</f>
        <v>14.906906829216757</v>
      </c>
      <c r="C390">
        <f t="shared" si="26"/>
        <v>11.045348263399376</v>
      </c>
      <c r="D390">
        <f t="shared" si="27"/>
        <v>1804.2006862493049</v>
      </c>
      <c r="R390">
        <f t="shared" si="24"/>
        <v>0.38800000000000001</v>
      </c>
      <c r="S390">
        <f t="shared" si="25"/>
        <v>11.045348263399376</v>
      </c>
    </row>
    <row r="391" spans="1:19" x14ac:dyDescent="0.3">
      <c r="A391">
        <v>0.38900000000000001</v>
      </c>
      <c r="B391">
        <f>Uo*COS(2*PI()*Wn*Sheet2!A391) + (Vo/Wn - (Po*(w/Wn))/(K*(1-(w/Wn)^2)))*SIN(2*PI()*Wn*Sheet2!A391) +(Po*SIN(2*PI()*w*Sheet2!A391))/(K*(1-(w/Wn)^2))</f>
        <v>14.663486624582788</v>
      </c>
      <c r="C391">
        <f t="shared" si="26"/>
        <v>10.875447782173657</v>
      </c>
      <c r="D391">
        <f t="shared" si="27"/>
        <v>1776.4483186904399</v>
      </c>
      <c r="R391">
        <f t="shared" si="24"/>
        <v>0.38900000000000001</v>
      </c>
      <c r="S391">
        <f t="shared" si="25"/>
        <v>10.875447782173657</v>
      </c>
    </row>
    <row r="392" spans="1:19" x14ac:dyDescent="0.3">
      <c r="A392">
        <v>0.39</v>
      </c>
      <c r="B392">
        <f>Uo*COS(2*PI()*Wn*Sheet2!A392) + (Vo/Wn - (Po*(w/Wn))/(K*(1-(w/Wn)^2)))*SIN(2*PI()*Wn*Sheet2!A392) +(Po*SIN(2*PI()*w*Sheet2!A392))/(K*(1-(w/Wn)^2))</f>
        <v>14.415276140499147</v>
      </c>
      <c r="C392">
        <f t="shared" si="26"/>
        <v>10.702304520137849</v>
      </c>
      <c r="D392">
        <f t="shared" si="27"/>
        <v>1748.1662596068356</v>
      </c>
      <c r="R392">
        <f t="shared" si="24"/>
        <v>0.39</v>
      </c>
      <c r="S392">
        <f t="shared" si="25"/>
        <v>10.702304520137849</v>
      </c>
    </row>
    <row r="393" spans="1:19" x14ac:dyDescent="0.3">
      <c r="A393">
        <v>0.39100000000000001</v>
      </c>
      <c r="B393">
        <f>Uo*COS(2*PI()*Wn*Sheet2!A393) + (Vo/Wn - (Po*(w/Wn))/(K*(1-(w/Wn)^2)))*SIN(2*PI()*Wn*Sheet2!A393) +(Po*SIN(2*PI()*w*Sheet2!A393))/(K*(1-(w/Wn)^2))</f>
        <v>14.162356462563787</v>
      </c>
      <c r="C393">
        <f t="shared" si="26"/>
        <v>10.525980844673445</v>
      </c>
      <c r="D393">
        <f t="shared" si="27"/>
        <v>1719.3646963886767</v>
      </c>
      <c r="R393">
        <f t="shared" si="24"/>
        <v>0.39100000000000001</v>
      </c>
      <c r="S393">
        <f t="shared" si="25"/>
        <v>10.525980844673445</v>
      </c>
    </row>
    <row r="394" spans="1:19" x14ac:dyDescent="0.3">
      <c r="A394">
        <v>0.39200000000000002</v>
      </c>
      <c r="B394">
        <f>Uo*COS(2*PI()*Wn*Sheet2!A394) + (Vo/Wn - (Po*(w/Wn))/(K*(1-(w/Wn)^2)))*SIN(2*PI()*Wn*Sheet2!A394) +(Po*SIN(2*PI()*w*Sheet2!A394))/(K*(1-(w/Wn)^2))</f>
        <v>13.904810214777857</v>
      </c>
      <c r="C394">
        <f t="shared" si="26"/>
        <v>10.34654004857906</v>
      </c>
      <c r="D394">
        <f t="shared" si="27"/>
        <v>1690.053967588264</v>
      </c>
      <c r="R394">
        <f t="shared" si="24"/>
        <v>0.39200000000000002</v>
      </c>
      <c r="S394">
        <f t="shared" si="25"/>
        <v>10.34654004857906</v>
      </c>
    </row>
    <row r="395" spans="1:19" x14ac:dyDescent="0.3">
      <c r="A395">
        <v>0.39300000000000002</v>
      </c>
      <c r="B395">
        <f>Uo*COS(2*PI()*Wn*Sheet2!A395) + (Vo/Wn - (Po*(w/Wn))/(K*(1-(w/Wn)^2)))*SIN(2*PI()*Wn*Sheet2!A395) +(Po*SIN(2*PI()*w*Sheet2!A395))/(K*(1-(w/Wn)^2))</f>
        <v>13.642721532554006</v>
      </c>
      <c r="C395">
        <f t="shared" si="26"/>
        <v>10.164046327741408</v>
      </c>
      <c r="D395">
        <f t="shared" si="27"/>
        <v>1660.2445592726815</v>
      </c>
      <c r="R395">
        <f t="shared" si="24"/>
        <v>0.39300000000000002</v>
      </c>
      <c r="S395">
        <f t="shared" si="25"/>
        <v>10.164046327741408</v>
      </c>
    </row>
    <row r="396" spans="1:19" x14ac:dyDescent="0.3">
      <c r="A396">
        <v>0.39400000000000002</v>
      </c>
      <c r="B396">
        <f>Uo*COS(2*PI()*Wn*Sheet2!A396) + (Vo/Wn - (Po*(w/Wn))/(K*(1-(w/Wn)^2)))*SIN(2*PI()*Wn*Sheet2!A396) +(Po*SIN(2*PI()*w*Sheet2!A396))/(K*(1-(w/Wn)^2))</f>
        <v>13.37617603523098</v>
      </c>
      <c r="C396">
        <f t="shared" si="26"/>
        <v>9.9785647585518742</v>
      </c>
      <c r="D396">
        <f t="shared" si="27"/>
        <v>1629.9471013349123</v>
      </c>
      <c r="R396">
        <f t="shared" si="24"/>
        <v>0.39400000000000002</v>
      </c>
      <c r="S396">
        <f t="shared" si="25"/>
        <v>9.9785647585518742</v>
      </c>
    </row>
    <row r="397" spans="1:19" x14ac:dyDescent="0.3">
      <c r="A397">
        <v>0.39500000000000002</v>
      </c>
      <c r="B397">
        <f>Uo*COS(2*PI()*Wn*Sheet2!A397) + (Vo/Wn - (Po*(w/Wn))/(K*(1-(w/Wn)^2)))*SIN(2*PI()*Wn*Sheet2!A397) +(Po*SIN(2*PI()*w*Sheet2!A397))/(K*(1-(w/Wn)^2))</f>
        <v>13.105260798103412</v>
      </c>
      <c r="C397">
        <f t="shared" si="26"/>
        <v>9.7901612750764695</v>
      </c>
      <c r="D397">
        <f t="shared" si="27"/>
        <v>1599.1723637646667</v>
      </c>
      <c r="R397">
        <f t="shared" si="24"/>
        <v>0.39500000000000002</v>
      </c>
      <c r="S397">
        <f t="shared" si="25"/>
        <v>9.7901612750764695</v>
      </c>
    </row>
    <row r="398" spans="1:19" x14ac:dyDescent="0.3">
      <c r="A398">
        <v>0.39600000000000002</v>
      </c>
      <c r="B398">
        <f>Uo*COS(2*PI()*Wn*Sheet2!A398) + (Vo/Wn - (Po*(w/Wn))/(K*(1-(w/Wn)^2)))*SIN(2*PI()*Wn*Sheet2!A398) +(Po*SIN(2*PI()*w*Sheet2!A398))/(K*(1-(w/Wn)^2))</f>
        <v>12.830064323976009</v>
      </c>
      <c r="C398">
        <f t="shared" si="26"/>
        <v>9.5989026459870779</v>
      </c>
      <c r="D398">
        <f t="shared" si="27"/>
        <v>1567.9312528802207</v>
      </c>
      <c r="R398">
        <f t="shared" si="24"/>
        <v>0.39600000000000002</v>
      </c>
      <c r="S398">
        <f t="shared" si="25"/>
        <v>9.5989026459870779</v>
      </c>
    </row>
    <row r="399" spans="1:19" x14ac:dyDescent="0.3">
      <c r="A399">
        <v>0.39700000000000002</v>
      </c>
      <c r="B399">
        <f>Uo*COS(2*PI()*Wn*Sheet2!A399) + (Vo/Wn - (Po*(w/Wn))/(K*(1-(w/Wn)^2)))*SIN(2*PI()*Wn*Sheet2!A399) +(Po*SIN(2*PI()*w*Sheet2!A399))/(K*(1-(w/Wn)^2))</f>
        <v>12.550676514251373</v>
      </c>
      <c r="C399">
        <f t="shared" si="26"/>
        <v>9.4048564512619706</v>
      </c>
      <c r="D399">
        <f t="shared" si="27"/>
        <v>1536.2348075225659</v>
      </c>
      <c r="R399">
        <f t="shared" si="24"/>
        <v>0.39700000000000002</v>
      </c>
      <c r="S399">
        <f t="shared" si="25"/>
        <v>9.4048564512619706</v>
      </c>
    </row>
    <row r="400" spans="1:19" x14ac:dyDescent="0.3">
      <c r="A400">
        <v>0.39800000000000002</v>
      </c>
      <c r="B400">
        <f>Uo*COS(2*PI()*Wn*Sheet2!A400) + (Vo/Wn - (Po*(w/Wn))/(K*(1-(w/Wn)^2)))*SIN(2*PI()*Wn*Sheet2!A400) +(Po*SIN(2*PI()*w*Sheet2!A400))/(K*(1-(w/Wn)^2))</f>
        <v>12.267188639560953</v>
      </c>
      <c r="C400">
        <f t="shared" si="26"/>
        <v>9.2080910586635802</v>
      </c>
      <c r="D400">
        <f t="shared" si="27"/>
        <v>1504.0941952131745</v>
      </c>
      <c r="R400">
        <f t="shared" si="24"/>
        <v>0.39800000000000002</v>
      </c>
      <c r="S400">
        <f t="shared" si="25"/>
        <v>9.2080910586635802</v>
      </c>
    </row>
    <row r="401" spans="1:19" x14ac:dyDescent="0.3">
      <c r="A401">
        <v>0.39900000000000002</v>
      </c>
      <c r="B401">
        <f>Uo*COS(2*PI()*Wn*Sheet2!A401) + (Vo/Wn - (Po*(w/Wn))/(K*(1-(w/Wn)^2)))*SIN(2*PI()*Wn*Sheet2!A401) +(Po*SIN(2*PI()*w*Sheet2!A401))/(K*(1-(w/Wn)^2))</f>
        <v>11.979693309948669</v>
      </c>
      <c r="C401">
        <f t="shared" si="26"/>
        <v>9.0086756000016504</v>
      </c>
      <c r="D401">
        <f t="shared" si="27"/>
        <v>1471.520708276707</v>
      </c>
      <c r="R401">
        <f t="shared" si="24"/>
        <v>0.39900000000000002</v>
      </c>
      <c r="S401">
        <f t="shared" si="25"/>
        <v>9.0086756000016504</v>
      </c>
    </row>
    <row r="402" spans="1:19" x14ac:dyDescent="0.3">
      <c r="A402">
        <v>0.4</v>
      </c>
      <c r="B402">
        <f>Uo*COS(2*PI()*Wn*Sheet2!A402) + (Vo/Wn - (Po*(w/Wn))/(K*(1-(w/Wn)^2)))*SIN(2*PI()*Wn*Sheet2!A402) +(Po*SIN(2*PI()*w*Sheet2!A402))/(K*(1-(w/Wn)^2))</f>
        <v>11.688284444617</v>
      </c>
      <c r="C402">
        <f t="shared" si="26"/>
        <v>8.8066799471898527</v>
      </c>
      <c r="D402">
        <f t="shared" si="27"/>
        <v>1438.5257599299846</v>
      </c>
      <c r="R402">
        <f t="shared" si="24"/>
        <v>0.4</v>
      </c>
      <c r="S402">
        <f t="shared" si="25"/>
        <v>8.8066799471898527</v>
      </c>
    </row>
    <row r="403" spans="1:19" x14ac:dyDescent="0.3">
      <c r="A403">
        <v>0.40100000000000002</v>
      </c>
      <c r="B403">
        <f>Uo*COS(2*PI()*Wn*Sheet2!A403) + (Vo/Wn - (Po*(w/Wn))/(K*(1-(w/Wn)^2)))*SIN(2*PI()*Wn*Sheet2!A403) +(Po*SIN(2*PI()*w*Sheet2!A403))/(K*(1-(w/Wn)^2))</f>
        <v>11.393057241245364</v>
      </c>
      <c r="C403">
        <f t="shared" si="26"/>
        <v>8.602174688104089</v>
      </c>
      <c r="D403">
        <f t="shared" si="27"/>
        <v>1405.1208803385673</v>
      </c>
      <c r="R403">
        <f t="shared" si="24"/>
        <v>0.40100000000000002</v>
      </c>
      <c r="S403">
        <f t="shared" si="25"/>
        <v>8.602174688104089</v>
      </c>
    </row>
    <row r="404" spans="1:19" x14ac:dyDescent="0.3">
      <c r="A404">
        <v>0.40200000000000002</v>
      </c>
      <c r="B404">
        <f>Uo*COS(2*PI()*Wn*Sheet2!A404) + (Vo/Wn - (Po*(w/Wn))/(K*(1-(w/Wn)^2)))*SIN(2*PI()*Wn*Sheet2!A404) +(Po*SIN(2*PI()*w*Sheet2!A404))/(K*(1-(w/Wn)^2))</f>
        <v>11.094108144890921</v>
      </c>
      <c r="C404">
        <f t="shared" si="26"/>
        <v>8.3952311022507526</v>
      </c>
      <c r="D404">
        <f t="shared" si="27"/>
        <v>1371.3177126422895</v>
      </c>
      <c r="R404">
        <f t="shared" si="24"/>
        <v>0.40200000000000002</v>
      </c>
      <c r="S404">
        <f t="shared" si="25"/>
        <v>8.3952311022507526</v>
      </c>
    </row>
    <row r="405" spans="1:19" x14ac:dyDescent="0.3">
      <c r="A405">
        <v>0.40300000000000002</v>
      </c>
      <c r="B405">
        <f>Uo*COS(2*PI()*Wn*Sheet2!A405) + (Vo/Wn - (Po*(w/Wn))/(K*(1-(w/Wn)^2)))*SIN(2*PI()*Wn*Sheet2!A405) +(Po*SIN(2*PI()*w*Sheet2!A405))/(K*(1-(w/Wn)^2))</f>
        <v>10.791534816481747</v>
      </c>
      <c r="C405">
        <f t="shared" si="26"/>
        <v>8.1859211362530946</v>
      </c>
      <c r="D405">
        <f t="shared" si="27"/>
        <v>1337.1280089510842</v>
      </c>
      <c r="R405">
        <f t="shared" si="24"/>
        <v>0.40300000000000002</v>
      </c>
      <c r="S405">
        <f t="shared" si="25"/>
        <v>8.1859211362530946</v>
      </c>
    </row>
    <row r="406" spans="1:19" x14ac:dyDescent="0.3">
      <c r="A406">
        <v>0.40400000000000003</v>
      </c>
      <c r="B406">
        <f>Uo*COS(2*PI()*Wn*Sheet2!A406) + (Vo/Wn - (Po*(w/Wn))/(K*(1-(w/Wn)^2)))*SIN(2*PI()*Wn*Sheet2!A406) +(Po*SIN(2*PI()*w*Sheet2!A406))/(K*(1-(w/Wn)^2))</f>
        <v>10.485436100912937</v>
      </c>
      <c r="C406">
        <f t="shared" si="26"/>
        <v>7.974317379164213</v>
      </c>
      <c r="D406">
        <f t="shared" si="27"/>
        <v>1302.5636263124879</v>
      </c>
      <c r="R406">
        <f t="shared" si="24"/>
        <v>0.40400000000000003</v>
      </c>
      <c r="S406">
        <f t="shared" si="25"/>
        <v>7.974317379164213</v>
      </c>
    </row>
    <row r="407" spans="1:19" x14ac:dyDescent="0.3">
      <c r="A407">
        <v>0.40500000000000003</v>
      </c>
      <c r="B407">
        <f>Uo*COS(2*PI()*Wn*Sheet2!A407) + (Vo/Wn - (Po*(w/Wn))/(K*(1-(w/Wn)^2)))*SIN(2*PI()*Wn*Sheet2!A407) +(Po*SIN(2*PI()*w*Sheet2!A407))/(K*(1-(w/Wn)^2))</f>
        <v>10.175911994755856</v>
      </c>
      <c r="C407">
        <f t="shared" si="26"/>
        <v>7.7604930376148875</v>
      </c>
      <c r="D407">
        <f t="shared" si="27"/>
        <v>1267.6365226521666</v>
      </c>
      <c r="R407">
        <f t="shared" si="24"/>
        <v>0.40500000000000003</v>
      </c>
      <c r="S407">
        <f t="shared" si="25"/>
        <v>7.7604930376148875</v>
      </c>
    </row>
    <row r="408" spans="1:19" x14ac:dyDescent="0.3">
      <c r="A408">
        <v>0.40600000000000003</v>
      </c>
      <c r="B408">
        <f>Uo*COS(2*PI()*Wn*Sheet2!A408) + (Vo/Wn - (Po*(w/Wn))/(K*(1-(w/Wn)^2)))*SIN(2*PI()*Wn*Sheet2!A408) +(Po*SIN(2*PI()*w*Sheet2!A408))/(K*(1-(w/Wn)^2))</f>
        <v>9.8630636135911889</v>
      </c>
      <c r="C408">
        <f t="shared" si="26"/>
        <v>7.5445219108047663</v>
      </c>
      <c r="D408">
        <f t="shared" si="27"/>
        <v>1232.3587526888559</v>
      </c>
      <c r="R408">
        <f t="shared" si="24"/>
        <v>0.40600000000000003</v>
      </c>
      <c r="S408">
        <f t="shared" si="25"/>
        <v>7.5445219108047663</v>
      </c>
    </row>
    <row r="409" spans="1:19" x14ac:dyDescent="0.3">
      <c r="A409">
        <v>0.40699999999999997</v>
      </c>
      <c r="B409">
        <f>Uo*COS(2*PI()*Wn*Sheet2!A409) + (Vo/Wn - (Po*(w/Wn))/(K*(1-(w/Wn)^2)))*SIN(2*PI()*Wn*Sheet2!A409) +(Po*SIN(2*PI()*w*Sheet2!A409))/(K*(1-(w/Wn)^2))</f>
        <v>9.5469931589764343</v>
      </c>
      <c r="C409">
        <f t="shared" si="26"/>
        <v>7.326478365345273</v>
      </c>
      <c r="D409">
        <f t="shared" si="27"/>
        <v>1196.7424638250791</v>
      </c>
      <c r="R409">
        <f t="shared" si="24"/>
        <v>0.40699999999999997</v>
      </c>
      <c r="S409">
        <f t="shared" si="25"/>
        <v>7.326478365345273</v>
      </c>
    </row>
    <row r="410" spans="1:19" x14ac:dyDescent="0.3">
      <c r="A410">
        <v>0.40799999999999997</v>
      </c>
      <c r="B410">
        <f>Uo*COS(2*PI()*Wn*Sheet2!A410) + (Vo/Wn - (Po*(w/Wn))/(K*(1-(w/Wn)^2)))*SIN(2*PI()*Wn*Sheet2!A410) +(Po*SIN(2*PI()*w*Sheet2!A410))/(K*(1-(w/Wn)^2))</f>
        <v>9.227803885058556</v>
      </c>
      <c r="C410">
        <f t="shared" si="26"/>
        <v>7.1064373099627254</v>
      </c>
      <c r="D410">
        <f t="shared" si="27"/>
        <v>1160.7998920150317</v>
      </c>
      <c r="R410">
        <f t="shared" si="24"/>
        <v>0.40799999999999997</v>
      </c>
      <c r="S410">
        <f t="shared" si="25"/>
        <v>7.1064373099627254</v>
      </c>
    </row>
    <row r="411" spans="1:19" x14ac:dyDescent="0.3">
      <c r="A411">
        <v>0.40899999999999997</v>
      </c>
      <c r="B411">
        <f>Uo*COS(2*PI()*Wn*Sheet2!A411) + (Vo/Wn - (Po*(w/Wn))/(K*(1-(w/Wn)^2)))*SIN(2*PI()*Wn*Sheet2!A411) +(Po*SIN(2*PI()*w*Sheet2!A411))/(K*(1-(w/Wn)^2))</f>
        <v>8.9056000648429308</v>
      </c>
      <c r="C411">
        <f t="shared" si="26"/>
        <v>6.8844741700702965</v>
      </c>
      <c r="D411">
        <f t="shared" si="27"/>
        <v>1124.5433576110436</v>
      </c>
      <c r="R411">
        <f t="shared" si="24"/>
        <v>0.40899999999999997</v>
      </c>
      <c r="S411">
        <f t="shared" si="25"/>
        <v>6.8844741700702965</v>
      </c>
    </row>
    <row r="412" spans="1:19" x14ac:dyDescent="0.3">
      <c r="A412">
        <v>0.41</v>
      </c>
      <c r="B412">
        <f>Uo*COS(2*PI()*Wn*Sheet2!A412) + (Vo/Wn - (Po*(w/Wn))/(K*(1-(w/Wn)^2)))*SIN(2*PI()*Wn*Sheet2!A412) +(Po*SIN(2*PI()*w*Sheet2!A412))/(K*(1-(w/Wn)^2))</f>
        <v>8.5804869561292936</v>
      </c>
      <c r="C412">
        <f t="shared" si="26"/>
        <v>6.6606648622171498</v>
      </c>
      <c r="D412">
        <f t="shared" si="27"/>
        <v>1087.9852611899755</v>
      </c>
      <c r="R412">
        <f t="shared" si="24"/>
        <v>0.41</v>
      </c>
      <c r="S412">
        <f t="shared" si="25"/>
        <v>6.6606648622171498</v>
      </c>
    </row>
    <row r="413" spans="1:19" x14ac:dyDescent="0.3">
      <c r="A413">
        <v>0.41099999999999998</v>
      </c>
      <c r="B413">
        <f>Uo*COS(2*PI()*Wn*Sheet2!A413) + (Vo/Wn - (Po*(w/Wn))/(K*(1-(w/Wn)^2)))*SIN(2*PI()*Wn*Sheet2!A413) +(Po*SIN(2*PI()*w*Sheet2!A413))/(K*(1-(w/Wn)^2))</f>
        <v>8.2525707671260591</v>
      </c>
      <c r="C413">
        <f t="shared" si="26"/>
        <v>6.4350857684234519</v>
      </c>
      <c r="D413">
        <f t="shared" si="27"/>
        <v>1051.1380793609774</v>
      </c>
      <c r="R413">
        <f t="shared" si="24"/>
        <v>0.41099999999999998</v>
      </c>
      <c r="S413">
        <f t="shared" si="25"/>
        <v>6.4350857684234519</v>
      </c>
    </row>
    <row r="414" spans="1:19" x14ac:dyDescent="0.3">
      <c r="A414">
        <v>0.41199999999999998</v>
      </c>
      <c r="B414">
        <f>Uo*COS(2*PI()*Wn*Sheet2!A414) + (Vo/Wn - (Po*(w/Wn))/(K*(1-(w/Wn)^2)))*SIN(2*PI()*Wn*Sheet2!A414) +(Po*SIN(2*PI()*w*Sheet2!A414))/(K*(1-(w/Wn)^2))</f>
        <v>7.9219586217541345</v>
      </c>
      <c r="C414">
        <f t="shared" si="26"/>
        <v>6.207813710409833</v>
      </c>
      <c r="D414">
        <f t="shared" si="27"/>
        <v>1014.0143605560019</v>
      </c>
      <c r="R414">
        <f t="shared" si="24"/>
        <v>0.41199999999999998</v>
      </c>
      <c r="S414">
        <f t="shared" si="25"/>
        <v>6.207813710409833</v>
      </c>
    </row>
    <row r="415" spans="1:19" x14ac:dyDescent="0.3">
      <c r="A415">
        <v>0.41299999999999998</v>
      </c>
      <c r="B415">
        <f>Uo*COS(2*PI()*Wn*Sheet2!A415) + (Vo/Wn - (Po*(w/Wn))/(K*(1-(w/Wn)^2)))*SIN(2*PI()*Wn*Sheet2!A415) +(Po*SIN(2*PI()*w*Sheet2!A415))/(K*(1-(w/Wn)^2))</f>
        <v>7.5887585246515945</v>
      </c>
      <c r="C415">
        <f t="shared" si="26"/>
        <v>5.9789259237298324</v>
      </c>
      <c r="D415">
        <f t="shared" si="27"/>
        <v>976.62672080447385</v>
      </c>
      <c r="R415">
        <f t="shared" si="24"/>
        <v>0.41299999999999998</v>
      </c>
      <c r="S415">
        <f t="shared" si="25"/>
        <v>5.9789259237298324</v>
      </c>
    </row>
    <row r="416" spans="1:19" x14ac:dyDescent="0.3">
      <c r="A416">
        <v>0.41399999999999998</v>
      </c>
      <c r="B416">
        <f>Uo*COS(2*PI()*Wn*Sheet2!A416) + (Vo/Wn - (Po*(w/Wn))/(K*(1-(w/Wn)^2)))*SIN(2*PI()*Wn*Sheet2!A416) +(Po*SIN(2*PI()*w*Sheet2!A416))/(K*(1-(w/Wn)^2))</f>
        <v>7.2530793258906376</v>
      </c>
      <c r="C416">
        <f t="shared" si="26"/>
        <v>5.7485000318140189</v>
      </c>
      <c r="D416">
        <f t="shared" si="27"/>
        <v>938.98783949353094</v>
      </c>
      <c r="R416">
        <f t="shared" si="24"/>
        <v>0.41399999999999998</v>
      </c>
      <c r="S416">
        <f t="shared" si="25"/>
        <v>5.7485000318140189</v>
      </c>
    </row>
    <row r="417" spans="1:19" x14ac:dyDescent="0.3">
      <c r="A417">
        <v>0.41499999999999998</v>
      </c>
      <c r="B417">
        <f>Uo*COS(2*PI()*Wn*Sheet2!A417) + (Vo/Wn - (Po*(w/Wn))/(K*(1-(w/Wn)^2)))*SIN(2*PI()*Wn*Sheet2!A417) +(Po*SIN(2*PI()*w*Sheet2!A417))/(K*(1-(w/Wn)^2))</f>
        <v>6.915030685418361</v>
      </c>
      <c r="C417">
        <f t="shared" si="26"/>
        <v>5.5166140199343641</v>
      </c>
      <c r="D417">
        <f t="shared" si="27"/>
        <v>901.1104551152381</v>
      </c>
      <c r="R417">
        <f t="shared" si="24"/>
        <v>0.41499999999999998</v>
      </c>
      <c r="S417">
        <f t="shared" si="25"/>
        <v>5.5166140199343641</v>
      </c>
    </row>
    <row r="418" spans="1:19" x14ac:dyDescent="0.3">
      <c r="A418">
        <v>0.41599999999999998</v>
      </c>
      <c r="B418">
        <f>Uo*COS(2*PI()*Wn*Sheet2!A418) + (Vo/Wn - (Po*(w/Wn))/(K*(1-(w/Wn)^2)))*SIN(2*PI()*Wn*Sheet2!A418) +(Po*SIN(2*PI()*w*Sheet2!A418))/(K*(1-(w/Wn)^2))</f>
        <v>6.5747230372329604</v>
      </c>
      <c r="C418">
        <f t="shared" si="26"/>
        <v>5.2833462090975445</v>
      </c>
      <c r="D418">
        <f t="shared" si="27"/>
        <v>863.00736100219319</v>
      </c>
      <c r="R418">
        <f t="shared" si="24"/>
        <v>0.41599999999999998</v>
      </c>
      <c r="S418">
        <f t="shared" si="25"/>
        <v>5.2833462090975445</v>
      </c>
    </row>
    <row r="419" spans="1:19" x14ac:dyDescent="0.3">
      <c r="A419">
        <v>0.41699999999999998</v>
      </c>
      <c r="B419">
        <f>Uo*COS(2*PI()*Wn*Sheet2!A419) + (Vo/Wn - (Po*(w/Wn))/(K*(1-(w/Wn)^2)))*SIN(2*PI()*Wn*Sheet2!A419) +(Po*SIN(2*PI()*w*Sheet2!A419))/(K*(1-(w/Wn)^2))</f>
        <v>6.2322675533070635</v>
      </c>
      <c r="C419">
        <f t="shared" si="26"/>
        <v>5.0487752298758046</v>
      </c>
      <c r="D419">
        <f t="shared" si="27"/>
        <v>824.69140105293366</v>
      </c>
      <c r="R419">
        <f t="shared" si="24"/>
        <v>0.41699999999999998</v>
      </c>
      <c r="S419">
        <f t="shared" si="25"/>
        <v>5.0487752298758046</v>
      </c>
    </row>
    <row r="420" spans="1:19" x14ac:dyDescent="0.3">
      <c r="A420">
        <v>0.41799999999999998</v>
      </c>
      <c r="B420">
        <f>Uo*COS(2*PI()*Wn*Sheet2!A420) + (Vo/Wn - (Po*(w/Wn))/(K*(1-(w/Wn)^2)))*SIN(2*PI()*Wn*Sheet2!A420) +(Po*SIN(2*PI()*w*Sheet2!A420))/(K*(1-(w/Wn)^2))</f>
        <v>5.8877761072699863</v>
      </c>
      <c r="C420">
        <f t="shared" si="26"/>
        <v>4.8129799961840334</v>
      </c>
      <c r="D420">
        <f t="shared" si="27"/>
        <v>786.17546544855645</v>
      </c>
      <c r="R420">
        <f t="shared" si="24"/>
        <v>0.41799999999999998</v>
      </c>
      <c r="S420">
        <f t="shared" si="25"/>
        <v>4.8129799961840334</v>
      </c>
    </row>
    <row r="421" spans="1:19" x14ac:dyDescent="0.3">
      <c r="A421">
        <v>0.41899999999999998</v>
      </c>
      <c r="B421">
        <f>Uo*COS(2*PI()*Wn*Sheet2!A421) + (Vo/Wn - (Po*(w/Wn))/(K*(1-(w/Wn)^2)))*SIN(2*PI()*Wn*Sheet2!A421) +(Po*SIN(2*PI()*w*Sheet2!A421))/(K*(1-(w/Wn)^2))</f>
        <v>5.541361237860758</v>
      </c>
      <c r="C421">
        <f t="shared" si="26"/>
        <v>4.5760396790117266</v>
      </c>
      <c r="D421">
        <f t="shared" si="27"/>
        <v>747.4724863619706</v>
      </c>
      <c r="R421">
        <f t="shared" si="24"/>
        <v>0.41899999999999998</v>
      </c>
      <c r="S421">
        <f t="shared" si="25"/>
        <v>4.5760396790117266</v>
      </c>
    </row>
    <row r="422" spans="1:19" x14ac:dyDescent="0.3">
      <c r="A422">
        <v>0.42</v>
      </c>
      <c r="B422">
        <f>Uo*COS(2*PI()*Wn*Sheet2!A422) + (Vo/Wn - (Po*(w/Wn))/(K*(1-(w/Wn)^2)))*SIN(2*PI()*Wn*Sheet2!A422) +(Po*SIN(2*PI()*w*Sheet2!A422))/(K*(1-(w/Wn)^2))</f>
        <v>5.1931361121638844</v>
      </c>
      <c r="C422">
        <f t="shared" si="26"/>
        <v>4.3380336801184702</v>
      </c>
      <c r="D422">
        <f t="shared" si="27"/>
        <v>708.59543366118896</v>
      </c>
      <c r="R422">
        <f t="shared" si="24"/>
        <v>0.42</v>
      </c>
      <c r="S422">
        <f t="shared" si="25"/>
        <v>4.3380336801184702</v>
      </c>
    </row>
    <row r="423" spans="1:19" x14ac:dyDescent="0.3">
      <c r="A423">
        <v>0.42099999999999999</v>
      </c>
      <c r="B423">
        <f>Uo*COS(2*PI()*Wn*Sheet2!A423) + (Vo/Wn - (Po*(w/Wn))/(K*(1-(w/Wn)^2)))*SIN(2*PI()*Wn*Sheet2!A423) +(Po*SIN(2*PI()*w*Sheet2!A423))/(K*(1-(w/Wn)^2))</f>
        <v>4.8432144886398163</v>
      </c>
      <c r="C423">
        <f t="shared" si="26"/>
        <v>4.099041605701597</v>
      </c>
      <c r="D423">
        <f t="shared" si="27"/>
        <v>669.55731060807648</v>
      </c>
      <c r="R423">
        <f t="shared" si="24"/>
        <v>0.42099999999999999</v>
      </c>
      <c r="S423">
        <f t="shared" si="25"/>
        <v>4.099041605701597</v>
      </c>
    </row>
    <row r="424" spans="1:19" x14ac:dyDescent="0.3">
      <c r="A424">
        <v>0.42199999999999999</v>
      </c>
      <c r="B424">
        <f>Uo*COS(2*PI()*Wn*Sheet2!A424) + (Vo/Wn - (Po*(w/Wn))/(K*(1-(w/Wn)^2)))*SIN(2*PI()*Wn*Sheet2!A424) +(Po*SIN(2*PI()*w*Sheet2!A424))/(K*(1-(w/Wn)^2))</f>
        <v>4.4917106799623108</v>
      </c>
      <c r="C424">
        <f t="shared" si="26"/>
        <v>3.8591432400447294</v>
      </c>
      <c r="D424">
        <f t="shared" si="27"/>
        <v>630.3711495539751</v>
      </c>
      <c r="R424">
        <f t="shared" si="24"/>
        <v>0.42199999999999999</v>
      </c>
      <c r="S424">
        <f t="shared" si="25"/>
        <v>3.8591432400447294</v>
      </c>
    </row>
    <row r="425" spans="1:19" x14ac:dyDescent="0.3">
      <c r="A425">
        <v>0.42299999999999999</v>
      </c>
      <c r="B425">
        <f>Uo*COS(2*PI()*Wn*Sheet2!A425) + (Vo/Wn - (Po*(w/Wn))/(K*(1-(w/Wn)^2)))*SIN(2*PI()*Wn*Sheet2!A425) +(Po*SIN(2*PI()*w*Sheet2!A425))/(K*(1-(w/Wn)^2))</f>
        <v>4.1387395156745761</v>
      </c>
      <c r="C425">
        <f t="shared" si="26"/>
        <v>3.6184185191556604</v>
      </c>
      <c r="D425">
        <f t="shared" si="27"/>
        <v>591.05000763358771</v>
      </c>
      <c r="R425">
        <f t="shared" si="24"/>
        <v>0.42299999999999999</v>
      </c>
      <c r="S425">
        <f t="shared" si="25"/>
        <v>3.6184185191556604</v>
      </c>
    </row>
    <row r="426" spans="1:19" x14ac:dyDescent="0.3">
      <c r="A426">
        <v>0.42399999999999999</v>
      </c>
      <c r="B426">
        <f>Uo*COS(2*PI()*Wn*Sheet2!A426) + (Vo/Wn - (Po*(w/Wn))/(K*(1-(w/Wn)^2)))*SIN(2*PI()*Wn*Sheet2!A426) +(Po*SIN(2*PI()*w*Sheet2!A426))/(K*(1-(w/Wn)^2))</f>
        <v>3.784416304676733</v>
      </c>
      <c r="C426">
        <f t="shared" si="26"/>
        <v>3.3769475044024437</v>
      </c>
      <c r="D426">
        <f t="shared" si="27"/>
        <v>551.60696245856957</v>
      </c>
      <c r="R426">
        <f t="shared" si="24"/>
        <v>0.42399999999999999</v>
      </c>
      <c r="S426">
        <f t="shared" si="25"/>
        <v>3.3769475044024437</v>
      </c>
    </row>
    <row r="427" spans="1:19" x14ac:dyDescent="0.3">
      <c r="A427">
        <v>0.42499999999999999</v>
      </c>
      <c r="B427">
        <f>Uo*COS(2*PI()*Wn*Sheet2!A427) + (Vo/Wn - (Po*(w/Wn))/(K*(1-(w/Wn)^2)))*SIN(2*PI()*Wn*Sheet2!A427) +(Po*SIN(2*PI()*w*Sheet2!A427))/(K*(1-(w/Wn)^2))</f>
        <v>3.4288567975565942</v>
      </c>
      <c r="C427">
        <f t="shared" si="26"/>
        <v>3.1348103561561134</v>
      </c>
      <c r="D427">
        <f t="shared" si="27"/>
        <v>512.05510781220221</v>
      </c>
      <c r="R427">
        <f t="shared" si="24"/>
        <v>0.42499999999999999</v>
      </c>
      <c r="S427">
        <f t="shared" si="25"/>
        <v>3.1348103561561134</v>
      </c>
    </row>
    <row r="428" spans="1:19" x14ac:dyDescent="0.3">
      <c r="A428">
        <v>0.42599999999999999</v>
      </c>
      <c r="B428">
        <f>Uo*COS(2*PI()*Wn*Sheet2!A428) + (Vo/Wn - (Po*(w/Wn))/(K*(1-(w/Wn)^2)))*SIN(2*PI()*Wn*Sheet2!A428) +(Po*SIN(2*PI()*w*Sheet2!A428))/(K*(1-(w/Wn)^2))</f>
        <v>3.0721771487761713</v>
      </c>
      <c r="C428">
        <f t="shared" si="26"/>
        <v>2.8920873074486968</v>
      </c>
      <c r="D428">
        <f t="shared" si="27"/>
        <v>472.40754934656559</v>
      </c>
      <c r="R428">
        <f t="shared" si="24"/>
        <v>0.42599999999999999</v>
      </c>
      <c r="S428">
        <f t="shared" si="25"/>
        <v>2.8920873074486968</v>
      </c>
    </row>
    <row r="429" spans="1:19" x14ac:dyDescent="0.3">
      <c r="A429">
        <v>0.42699999999999999</v>
      </c>
      <c r="B429">
        <f>Uo*COS(2*PI()*Wn*Sheet2!A429) + (Vo/Wn - (Po*(w/Wn))/(K*(1-(w/Wn)^2)))*SIN(2*PI()*Wn*Sheet2!A429) +(Po*SIN(2*PI()*w*Sheet2!A429))/(K*(1-(w/Wn)^2))</f>
        <v>2.7144938787262434</v>
      </c>
      <c r="C429">
        <f t="shared" si="26"/>
        <v>2.6488586376550907</v>
      </c>
      <c r="D429">
        <f t="shared" si="27"/>
        <v>432.67740028360862</v>
      </c>
      <c r="R429">
        <f t="shared" si="24"/>
        <v>0.42699999999999999</v>
      </c>
      <c r="S429">
        <f t="shared" si="25"/>
        <v>2.6488586376550907</v>
      </c>
    </row>
    <row r="430" spans="1:19" x14ac:dyDescent="0.3">
      <c r="A430">
        <v>0.42799999999999999</v>
      </c>
      <c r="B430">
        <f>Uo*COS(2*PI()*Wn*Sheet2!A430) + (Vo/Wn - (Po*(w/Wn))/(K*(1-(w/Wn)^2)))*SIN(2*PI()*Wn*Sheet2!A430) +(Po*SIN(2*PI()*w*Sheet2!A430))/(K*(1-(w/Wn)^2))</f>
        <v>2.3559238356613812</v>
      </c>
      <c r="C430">
        <f t="shared" si="26"/>
        <v>2.4052046462073253</v>
      </c>
      <c r="D430">
        <f t="shared" si="27"/>
        <v>392.87777712150955</v>
      </c>
      <c r="R430">
        <f t="shared" si="24"/>
        <v>0.42799999999999999</v>
      </c>
      <c r="S430">
        <f t="shared" si="25"/>
        <v>2.4052046462073253</v>
      </c>
    </row>
    <row r="431" spans="1:19" x14ac:dyDescent="0.3">
      <c r="A431">
        <v>0.42899999999999999</v>
      </c>
      <c r="B431">
        <f>Uo*COS(2*PI()*Wn*Sheet2!A431) + (Vo/Wn - (Po*(w/Wn))/(K*(1-(w/Wn)^2)))*SIN(2*PI()*Wn*Sheet2!A431) +(Po*SIN(2*PI()*w*Sheet2!A431))/(K*(1-(w/Wn)^2))</f>
        <v>1.9965841575278687</v>
      </c>
      <c r="C431">
        <f t="shared" si="26"/>
        <v>2.1612056263497568</v>
      </c>
      <c r="D431">
        <f t="shared" si="27"/>
        <v>353.02179534772188</v>
      </c>
      <c r="R431">
        <f t="shared" si="24"/>
        <v>0.42899999999999999</v>
      </c>
      <c r="S431">
        <f t="shared" si="25"/>
        <v>2.1612056263497568</v>
      </c>
    </row>
    <row r="432" spans="1:19" x14ac:dyDescent="0.3">
      <c r="A432">
        <v>0.43</v>
      </c>
      <c r="B432">
        <f>Uo*COS(2*PI()*Wn*Sheet2!A432) + (Vo/Wn - (Po*(w/Wn))/(K*(1-(w/Wn)^2)))*SIN(2*PI()*Wn*Sheet2!A432) +(Po*SIN(2*PI()*w*Sheet2!A432))/(K*(1-(w/Wn)^2))</f>
        <v>1.6365922336969843</v>
      </c>
      <c r="C432">
        <f t="shared" si="26"/>
        <v>1.9169418389436719</v>
      </c>
      <c r="D432">
        <f t="shared" si="27"/>
        <v>313.12256516009171</v>
      </c>
      <c r="R432">
        <f t="shared" si="24"/>
        <v>0.43</v>
      </c>
      <c r="S432">
        <f t="shared" si="25"/>
        <v>1.9169418389436719</v>
      </c>
    </row>
    <row r="433" spans="1:19" x14ac:dyDescent="0.3">
      <c r="A433">
        <v>0.43099999999999999</v>
      </c>
      <c r="B433">
        <f>Uo*COS(2*PI()*Wn*Sheet2!A433) + (Vo/Wn - (Po*(w/Wn))/(K*(1-(w/Wn)^2)))*SIN(2*PI()*Wn*Sheet2!A433) +(Po*SIN(2*PI()*w*Sheet2!A433))/(K*(1-(w/Wn)^2))</f>
        <v>1.2760656666161496</v>
      </c>
      <c r="C433">
        <f t="shared" si="26"/>
        <v>1.6724934863297642</v>
      </c>
      <c r="D433">
        <f t="shared" si="27"/>
        <v>273.19318719742807</v>
      </c>
      <c r="R433">
        <f t="shared" si="24"/>
        <v>0.43099999999999999</v>
      </c>
      <c r="S433">
        <f t="shared" si="25"/>
        <v>1.6724934863297642</v>
      </c>
    </row>
    <row r="434" spans="1:19" x14ac:dyDescent="0.3">
      <c r="A434">
        <v>0.432</v>
      </c>
      <c r="B434">
        <f>Uo*COS(2*PI()*Wn*Sheet2!A434) + (Vo/Wn - (Po*(w/Wn))/(K*(1-(w/Wn)^2)))*SIN(2*PI()*Wn*Sheet2!A434) +(Po*SIN(2*PI()*w*Sheet2!A434))/(K*(1-(w/Wn)^2))</f>
        <v>0.91512223339046628</v>
      </c>
      <c r="C434">
        <f t="shared" si="26"/>
        <v>1.4279406862569122</v>
      </c>
      <c r="D434">
        <f t="shared" si="27"/>
        <v>233.24674828090309</v>
      </c>
      <c r="R434">
        <f t="shared" si="24"/>
        <v>0.432</v>
      </c>
      <c r="S434">
        <f t="shared" si="25"/>
        <v>1.4279406862569122</v>
      </c>
    </row>
    <row r="435" spans="1:19" x14ac:dyDescent="0.3">
      <c r="A435">
        <v>0.433</v>
      </c>
      <c r="B435">
        <f>Uo*COS(2*PI()*Wn*Sheet2!A435) + (Vo/Wn - (Po*(w/Wn))/(K*(1-(w/Wn)^2)))*SIN(2*PI()*Wn*Sheet2!A435) +(Po*SIN(2*PI()*w*Sheet2!A435))/(K*(1-(w/Wn)^2))</f>
        <v>0.55387984730720008</v>
      </c>
      <c r="C435">
        <f t="shared" si="26"/>
        <v>1.1833634458856459</v>
      </c>
      <c r="D435">
        <f t="shared" si="27"/>
        <v>193.2963171676524</v>
      </c>
      <c r="R435">
        <f t="shared" si="24"/>
        <v>0.433</v>
      </c>
      <c r="S435">
        <f t="shared" si="25"/>
        <v>1.1833634458856459</v>
      </c>
    </row>
    <row r="436" spans="1:19" x14ac:dyDescent="0.3">
      <c r="A436">
        <v>0.434</v>
      </c>
      <c r="B436">
        <f>Uo*COS(2*PI()*Wn*Sheet2!A436) + (Vo/Wn - (Po*(w/Wn))/(K*(1-(w/Wn)^2)))*SIN(2*PI()*Wn*Sheet2!A436) +(Po*SIN(2*PI()*w*Sheet2!A436))/(K*(1-(w/Wn)^2))</f>
        <v>0.1924565193157729</v>
      </c>
      <c r="C436">
        <f t="shared" si="26"/>
        <v>0.93884163587465386</v>
      </c>
      <c r="D436">
        <f t="shared" si="27"/>
        <v>153.35494031793974</v>
      </c>
      <c r="R436">
        <f t="shared" si="24"/>
        <v>0.434</v>
      </c>
      <c r="S436">
        <f t="shared" si="25"/>
        <v>0.93884163587465386</v>
      </c>
    </row>
    <row r="437" spans="1:19" x14ac:dyDescent="0.3">
      <c r="A437">
        <v>0.435</v>
      </c>
      <c r="B437">
        <f>Uo*COS(2*PI()*Wn*Sheet2!A437) + (Vo/Wn - (Po*(w/Wn))/(K*(1-(w/Wn)^2)))*SIN(2*PI()*Wn*Sheet2!A437) +(Po*SIN(2*PI()*w*Sheet2!A437))/(K*(1-(w/Wn)^2))</f>
        <v>-0.16902968052414688</v>
      </c>
      <c r="C437">
        <f t="shared" si="26"/>
        <v>0.69445496455863776</v>
      </c>
      <c r="D437">
        <f t="shared" si="27"/>
        <v>113.43563767724247</v>
      </c>
      <c r="R437">
        <f t="shared" si="24"/>
        <v>0.435</v>
      </c>
      <c r="S437">
        <f t="shared" si="25"/>
        <v>0.69445496455863776</v>
      </c>
    </row>
    <row r="438" spans="1:19" x14ac:dyDescent="0.3">
      <c r="A438">
        <v>0.436</v>
      </c>
      <c r="B438">
        <f>Uo*COS(2*PI()*Wn*Sheet2!A438) + (Vo/Wn - (Po*(w/Wn))/(K*(1-(w/Wn)^2)))*SIN(2*PI()*Wn*Sheet2!A438) +(Po*SIN(2*PI()*w*Sheet2!A438))/(K*(1-(w/Wn)^2))</f>
        <v>-0.53046066161386562</v>
      </c>
      <c r="C438">
        <f t="shared" si="26"/>
        <v>0.45028295222577525</v>
      </c>
      <c r="D438">
        <f t="shared" si="27"/>
        <v>73.551398474607964</v>
      </c>
      <c r="R438">
        <f t="shared" si="24"/>
        <v>0.436</v>
      </c>
      <c r="S438">
        <f t="shared" si="25"/>
        <v>0.45028295222577525</v>
      </c>
    </row>
    <row r="439" spans="1:19" x14ac:dyDescent="0.3">
      <c r="A439">
        <v>0.437</v>
      </c>
      <c r="B439">
        <f>Uo*COS(2*PI()*Wn*Sheet2!A439) + (Vo/Wn - (Po*(w/Wn))/(K*(1-(w/Wn)^2)))*SIN(2*PI()*Wn*Sheet2!A439) +(Po*SIN(2*PI()*w*Sheet2!A439))/(K*(1-(w/Wn)^2))</f>
        <v>-0.89171835139359457</v>
      </c>
      <c r="C439">
        <f t="shared" si="26"/>
        <v>0.20640490550301288</v>
      </c>
      <c r="D439">
        <f t="shared" si="27"/>
        <v>33.715177038623153</v>
      </c>
      <c r="R439">
        <f t="shared" si="24"/>
        <v>0.437</v>
      </c>
      <c r="S439">
        <f t="shared" si="25"/>
        <v>0.20640490550301288</v>
      </c>
    </row>
    <row r="440" spans="1:19" x14ac:dyDescent="0.3">
      <c r="A440">
        <v>0.438</v>
      </c>
      <c r="B440">
        <f>Uo*COS(2*PI()*Wn*Sheet2!A440) + (Vo/Wn - (Po*(w/Wn))/(K*(1-(w/Wn)^2)))*SIN(2*PI()*Wn*Sheet2!A440) +(Po*SIN(2*PI()*w*Sheet2!A440))/(K*(1-(w/Wn)^2))</f>
        <v>-1.252684733914506</v>
      </c>
      <c r="C440">
        <f t="shared" si="26"/>
        <v>-3.71001081426654E-2</v>
      </c>
      <c r="D440">
        <f t="shared" si="27"/>
        <v>-6.0601113676717819</v>
      </c>
      <c r="R440">
        <f t="shared" si="24"/>
        <v>0.438</v>
      </c>
      <c r="S440">
        <f t="shared" si="25"/>
        <v>-3.71001081426654E-2</v>
      </c>
    </row>
    <row r="441" spans="1:19" x14ac:dyDescent="0.3">
      <c r="A441">
        <v>0.439</v>
      </c>
      <c r="B441">
        <f>Uo*COS(2*PI()*Wn*Sheet2!A441) + (Vo/Wn - (Po*(w/Wn))/(K*(1-(w/Wn)^2)))*SIN(2*PI()*Wn*Sheet2!A441) +(Po*SIN(2*PI()*w*Sheet2!A441))/(K*(1-(w/Wn)^2))</f>
        <v>-1.6132418883922048</v>
      </c>
      <c r="C441">
        <f t="shared" si="26"/>
        <v>-0.2801532857788025</v>
      </c>
      <c r="D441">
        <f t="shared" si="27"/>
        <v>-45.76159469158759</v>
      </c>
      <c r="R441">
        <f t="shared" si="24"/>
        <v>0.439</v>
      </c>
      <c r="S441">
        <f t="shared" si="25"/>
        <v>-0.2801532857788025</v>
      </c>
    </row>
    <row r="442" spans="1:19" x14ac:dyDescent="0.3">
      <c r="A442">
        <v>0.44</v>
      </c>
      <c r="B442">
        <f>Uo*COS(2*PI()*Wn*Sheet2!A442) + (Vo/Wn - (Po*(w/Wn))/(K*(1-(w/Wn)^2)))*SIN(2*PI()*Wn*Sheet2!A442) +(Po*SIN(2*PI()*w*Sheet2!A442))/(K*(1-(w/Wn)^2))</f>
        <v>-1.9732720277292914</v>
      </c>
      <c r="C442">
        <f t="shared" si="26"/>
        <v>-0.52267611424999116</v>
      </c>
      <c r="D442">
        <f t="shared" si="27"/>
        <v>-85.376448214021949</v>
      </c>
      <c r="R442">
        <f t="shared" si="24"/>
        <v>0.44</v>
      </c>
      <c r="S442">
        <f t="shared" si="25"/>
        <v>-0.52267611424999116</v>
      </c>
    </row>
    <row r="443" spans="1:19" x14ac:dyDescent="0.3">
      <c r="A443">
        <v>0.441</v>
      </c>
      <c r="B443">
        <f>Uo*COS(2*PI()*Wn*Sheet2!A443) + (Vo/Wn - (Po*(w/Wn))/(K*(1-(w/Wn)^2)))*SIN(2*PI()*Wn*Sheet2!A443) +(Po*SIN(2*PI()*w*Sheet2!A443))/(K*(1-(w/Wn)^2))</f>
        <v>-2.3326575369940734</v>
      </c>
      <c r="C443">
        <f t="shared" si="26"/>
        <v>-0.76459039528011474</v>
      </c>
      <c r="D443">
        <f t="shared" si="27"/>
        <v>-124.89189864978108</v>
      </c>
      <c r="R443">
        <f t="shared" si="24"/>
        <v>0.441</v>
      </c>
      <c r="S443">
        <f t="shared" si="25"/>
        <v>-0.76459039528011474</v>
      </c>
    </row>
    <row r="444" spans="1:19" x14ac:dyDescent="0.3">
      <c r="A444">
        <v>0.442</v>
      </c>
      <c r="B444">
        <f>Uo*COS(2*PI()*Wn*Sheet2!A444) + (Vo/Wn - (Po*(w/Wn))/(K*(1-(w/Wn)^2)))*SIN(2*PI()*Wn*Sheet2!A444) +(Po*SIN(2*PI()*w*Sheet2!A444))/(K*(1-(w/Wn)^2))</f>
        <v>-2.6912810118431207</v>
      </c>
      <c r="C444">
        <f t="shared" si="26"/>
        <v>-1.0058182704265441</v>
      </c>
      <c r="D444">
        <f t="shared" si="27"/>
        <v>-164.29522822371911</v>
      </c>
      <c r="R444">
        <f t="shared" si="24"/>
        <v>0.442</v>
      </c>
      <c r="S444">
        <f t="shared" si="25"/>
        <v>-1.0058182704265441</v>
      </c>
    </row>
    <row r="445" spans="1:19" x14ac:dyDescent="0.3">
      <c r="A445">
        <v>0.443</v>
      </c>
      <c r="B445">
        <f>Uo*COS(2*PI()*Wn*Sheet2!A445) + (Vo/Wn - (Po*(w/Wn))/(K*(1-(w/Wn)^2)))*SIN(2*PI()*Wn*Sheet2!A445) +(Po*SIN(2*PI()*w*Sheet2!A445))/(K*(1-(w/Wn)^2))</f>
        <v>-3.0490252968749951</v>
      </c>
      <c r="C445">
        <f t="shared" si="26"/>
        <v>-1.2462822458783447</v>
      </c>
      <c r="D445">
        <f t="shared" si="27"/>
        <v>-203.57377872139728</v>
      </c>
      <c r="R445">
        <f t="shared" si="24"/>
        <v>0.443</v>
      </c>
      <c r="S445">
        <f t="shared" si="25"/>
        <v>-1.2462822458783447</v>
      </c>
    </row>
    <row r="446" spans="1:19" x14ac:dyDescent="0.3">
      <c r="A446">
        <v>0.44400000000000001</v>
      </c>
      <c r="B446">
        <f>Uo*COS(2*PI()*Wn*Sheet2!A446) + (Vo/Wn - (Po*(w/Wn))/(K*(1-(w/Wn)^2)))*SIN(2*PI()*Wn*Sheet2!A446) +(Po*SIN(2*PI()*w*Sheet2!A446))/(K*(1-(w/Wn)^2))</f>
        <v>-3.4057735239027553</v>
      </c>
      <c r="C446">
        <f t="shared" si="26"/>
        <v>-1.4859052170906906</v>
      </c>
      <c r="D446">
        <f t="shared" si="27"/>
        <v>-242.71495551298867</v>
      </c>
      <c r="R446">
        <f t="shared" si="24"/>
        <v>0.44400000000000001</v>
      </c>
      <c r="S446">
        <f t="shared" si="25"/>
        <v>-1.4859052170906906</v>
      </c>
    </row>
    <row r="447" spans="1:19" x14ac:dyDescent="0.3">
      <c r="A447">
        <v>0.44500000000000001</v>
      </c>
      <c r="B447">
        <f>Uo*COS(2*PI()*Wn*Sheet2!A447) + (Vo/Wn - (Po*(w/Wn))/(K*(1-(w/Wn)^2)))*SIN(2*PI()*Wn*Sheet2!A447) +(Po*SIN(2*PI()*w*Sheet2!A447))/(K*(1-(w/Wn)^2))</f>
        <v>-3.7614091501323568</v>
      </c>
      <c r="C447">
        <f t="shared" si="26"/>
        <v>-1.7246104932477313</v>
      </c>
      <c r="D447">
        <f t="shared" si="27"/>
        <v>-281.70623154916109</v>
      </c>
      <c r="R447">
        <f t="shared" si="24"/>
        <v>0.44500000000000001</v>
      </c>
      <c r="S447">
        <f t="shared" si="25"/>
        <v>-1.7246104932477313</v>
      </c>
    </row>
    <row r="448" spans="1:19" x14ac:dyDescent="0.3">
      <c r="A448">
        <v>0.44600000000000001</v>
      </c>
      <c r="B448">
        <f>Uo*COS(2*PI()*Wn*Sheet2!A448) + (Vo/Wn - (Po*(w/Wn))/(K*(1-(w/Wn)^2)))*SIN(2*PI()*Wn*Sheet2!A448) +(Po*SIN(2*PI()*w*Sheet2!A448))/(K*(1-(w/Wn)^2))</f>
        <v>-4.115815996235205</v>
      </c>
      <c r="C448">
        <f t="shared" si="26"/>
        <v>-1.9623218215463156</v>
      </c>
      <c r="D448">
        <f t="shared" si="27"/>
        <v>-320.53515132769832</v>
      </c>
      <c r="R448">
        <f t="shared" si="24"/>
        <v>0.44600000000000001</v>
      </c>
      <c r="S448">
        <f t="shared" si="25"/>
        <v>-1.9623218215463156</v>
      </c>
    </row>
    <row r="449" spans="1:19" x14ac:dyDescent="0.3">
      <c r="A449">
        <v>0.44700000000000001</v>
      </c>
      <c r="B449">
        <f>Uo*COS(2*PI()*Wn*Sheet2!A449) + (Vo/Wn - (Po*(w/Wn))/(K*(1-(w/Wn)^2)))*SIN(2*PI()*Wn*Sheet2!A449) +(Po*SIN(2*PI()*w*Sheet2!A449))/(K*(1-(w/Wn)^2))</f>
        <v>-4.4688782843014714</v>
      </c>
      <c r="C449">
        <f t="shared" si="26"/>
        <v>-2.1989634112927443</v>
      </c>
      <c r="D449">
        <f t="shared" si="27"/>
        <v>-359.18933482958028</v>
      </c>
      <c r="R449">
        <f t="shared" ref="R449:R512" si="28">A449</f>
        <v>0.44700000000000001</v>
      </c>
      <c r="S449">
        <f t="shared" ref="S449:S512" si="29">C449</f>
        <v>-2.1989634112927443</v>
      </c>
    </row>
    <row r="450" spans="1:19" x14ac:dyDescent="0.3">
      <c r="A450">
        <v>0.44800000000000001</v>
      </c>
      <c r="B450">
        <f>Uo*COS(2*PI()*Wn*Sheet2!A450) + (Vo/Wn - (Po*(w/Wn))/(K*(1-(w/Wn)^2)))*SIN(2*PI()*Wn*Sheet2!A450) +(Po*SIN(2*PI()*w*Sheet2!A450))/(K*(1-(w/Wn)^2))</f>
        <v>-4.8204806756626111</v>
      </c>
      <c r="C450">
        <f t="shared" ref="C450:C513" si="30">EXP(-zeta*Wn*A450*2*PI())*($H$1*COS(wnD*2*PI()*A450) + $H$2*SIN(wnD*2*PI()*A450)) + $H$3*SIN(w*2*PI()*A450) + $H$4*COS(w*2*PI()*A450)</f>
        <v>-2.4344599578053394</v>
      </c>
      <c r="D450">
        <f t="shared" ref="D450:D513" si="31">K*C450</f>
        <v>-397.65648142334476</v>
      </c>
      <c r="R450">
        <f t="shared" si="28"/>
        <v>0.44800000000000001</v>
      </c>
      <c r="S450">
        <f t="shared" si="29"/>
        <v>-2.4344599578053394</v>
      </c>
    </row>
    <row r="451" spans="1:19" x14ac:dyDescent="0.3">
      <c r="A451">
        <v>0.44900000000000001</v>
      </c>
      <c r="B451">
        <f>Uo*COS(2*PI()*Wn*Sheet2!A451) + (Vo/Wn - (Po*(w/Wn))/(K*(1-(w/Wn)^2)))*SIN(2*PI()*Wn*Sheet2!A451) +(Po*SIN(2*PI()*w*Sheet2!A451))/(K*(1-(w/Wn)^2))</f>
        <v>-5.1705083085703993</v>
      </c>
      <c r="C451">
        <f t="shared" si="30"/>
        <v>-2.668736666115235</v>
      </c>
      <c r="D451">
        <f t="shared" si="31"/>
        <v>-435.92437373648897</v>
      </c>
      <c r="R451">
        <f t="shared" si="28"/>
        <v>0.44900000000000001</v>
      </c>
      <c r="S451">
        <f t="shared" si="29"/>
        <v>-2.668736666115235</v>
      </c>
    </row>
    <row r="452" spans="1:19" x14ac:dyDescent="0.3">
      <c r="A452">
        <v>0.45</v>
      </c>
      <c r="B452">
        <f>Uo*COS(2*PI()*Wn*Sheet2!A452) + (Vo/Wn - (Po*(w/Wn))/(K*(1-(w/Wn)^2)))*SIN(2*PI()*Wn*Sheet2!A452) +(Po*SIN(2*PI()*w*Sheet2!A452))/(K*(1-(w/Wn)^2))</f>
        <v>-5.5188468357198142</v>
      </c>
      <c r="C452">
        <f t="shared" si="30"/>
        <v>-2.9017192744577796</v>
      </c>
      <c r="D452">
        <f t="shared" si="31"/>
        <v>-473.98088149266937</v>
      </c>
      <c r="R452">
        <f t="shared" si="28"/>
        <v>0.45</v>
      </c>
      <c r="S452">
        <f t="shared" si="29"/>
        <v>-2.9017192744577796</v>
      </c>
    </row>
    <row r="453" spans="1:19" x14ac:dyDescent="0.3">
      <c r="A453">
        <v>0.45100000000000001</v>
      </c>
      <c r="B453">
        <f>Uo*COS(2*PI()*Wn*Sheet2!A453) + (Vo/Wn - (Po*(w/Wn))/(K*(1-(w/Wn)^2)))*SIN(2*PI()*Wn*Sheet2!A453) +(Po*SIN(2*PI()*w*Sheet2!A453))/(K*(1-(w/Wn)^2))</f>
        <v>-5.8653824616043799</v>
      </c>
      <c r="C453">
        <f t="shared" si="30"/>
        <v>-3.1333340775478233</v>
      </c>
      <c r="D453">
        <f t="shared" si="31"/>
        <v>-511.81396531359957</v>
      </c>
      <c r="R453">
        <f t="shared" si="28"/>
        <v>0.45100000000000001</v>
      </c>
      <c r="S453">
        <f t="shared" si="29"/>
        <v>-3.1333340775478233</v>
      </c>
    </row>
    <row r="454" spans="1:19" x14ac:dyDescent="0.3">
      <c r="A454">
        <v>0.45200000000000001</v>
      </c>
      <c r="B454">
        <f>Uo*COS(2*PI()*Wn*Sheet2!A454) + (Vo/Wn - (Po*(w/Wn))/(K*(1-(w/Wn)^2)))*SIN(2*PI()*Wn*Sheet2!A454) +(Po*SIN(2*PI()*w*Sheet2!A454))/(K*(1-(w/Wn)^2))</f>
        <v>-6.2100019796907047</v>
      </c>
      <c r="C454">
        <f t="shared" si="30"/>
        <v>-3.3635079496309914</v>
      </c>
      <c r="D454">
        <f t="shared" si="31"/>
        <v>-549.41168048435713</v>
      </c>
      <c r="R454">
        <f t="shared" si="28"/>
        <v>0.45200000000000001</v>
      </c>
      <c r="S454">
        <f t="shared" si="29"/>
        <v>-3.3635079496309914</v>
      </c>
    </row>
    <row r="455" spans="1:19" x14ac:dyDescent="0.3">
      <c r="A455">
        <v>0.45300000000000001</v>
      </c>
      <c r="B455">
        <f>Uo*COS(2*PI()*Wn*Sheet2!A455) + (Vo/Wn - (Po*(w/Wn))/(K*(1-(w/Wn)^2)))*SIN(2*PI()*Wn*Sheet2!A455) +(Po*SIN(2*PI()*w*Sheet2!A455))/(K*(1-(w/Wn)^2))</f>
        <v>-6.5525928094011423</v>
      </c>
      <c r="C455">
        <f t="shared" si="30"/>
        <v>-3.5921683673045339</v>
      </c>
      <c r="D455">
        <f t="shared" si="31"/>
        <v>-586.76218068105163</v>
      </c>
      <c r="R455">
        <f t="shared" si="28"/>
        <v>0.45300000000000001</v>
      </c>
      <c r="S455">
        <f t="shared" si="29"/>
        <v>-3.5921683673045339</v>
      </c>
    </row>
    <row r="456" spans="1:19" x14ac:dyDescent="0.3">
      <c r="A456">
        <v>0.45400000000000001</v>
      </c>
      <c r="B456">
        <f>Uo*COS(2*PI()*Wn*Sheet2!A456) + (Vo/Wn - (Po*(w/Wn))/(K*(1-(w/Wn)^2)))*SIN(2*PI()*Wn*Sheet2!A456) +(Po*SIN(2*PI()*w*Sheet2!A456))/(K*(1-(w/Wn)^2))</f>
        <v>-6.8930430328914438</v>
      </c>
      <c r="C456">
        <f t="shared" si="30"/>
        <v>-3.8192434321000102</v>
      </c>
      <c r="D456">
        <f t="shared" si="31"/>
        <v>-623.85372165958984</v>
      </c>
      <c r="R456">
        <f t="shared" si="28"/>
        <v>0.45400000000000001</v>
      </c>
      <c r="S456">
        <f t="shared" si="29"/>
        <v>-3.8192434321000102</v>
      </c>
    </row>
    <row r="457" spans="1:19" x14ac:dyDescent="0.3">
      <c r="A457">
        <v>0.45500000000000002</v>
      </c>
      <c r="B457">
        <f>Uo*COS(2*PI()*Wn*Sheet2!A457) + (Vo/Wn - (Po*(w/Wn))/(K*(1-(w/Wn)^2)))*SIN(2*PI()*Wn*Sheet2!A457) +(Po*SIN(2*PI()*w*Sheet2!A457))/(K*(1-(w/Wn)^2))</f>
        <v>-7.2312414316124363</v>
      </c>
      <c r="C457">
        <f t="shared" si="30"/>
        <v>-4.0446618928215843</v>
      </c>
      <c r="D457">
        <f t="shared" si="31"/>
        <v>-660.67466490452091</v>
      </c>
      <c r="R457">
        <f t="shared" si="28"/>
        <v>0.45500000000000002</v>
      </c>
      <c r="S457">
        <f t="shared" si="29"/>
        <v>-4.0446618928215843</v>
      </c>
    </row>
    <row r="458" spans="1:19" x14ac:dyDescent="0.3">
      <c r="A458">
        <v>0.45600000000000002</v>
      </c>
      <c r="B458">
        <f>Uo*COS(2*PI()*Wn*Sheet2!A458) + (Vo/Wn - (Po*(w/Wn))/(K*(1-(w/Wn)^2)))*SIN(2*PI()*Wn*Sheet2!A458) +(Po*SIN(2*PI()*w*Sheet2!A458))/(K*(1-(w/Wn)^2))</f>
        <v>-7.5670775226427125</v>
      </c>
      <c r="C458">
        <f t="shared" si="30"/>
        <v>-4.2683531676323607</v>
      </c>
      <c r="D458">
        <f t="shared" si="31"/>
        <v>-697.21348123672556</v>
      </c>
      <c r="R458">
        <f t="shared" si="28"/>
        <v>0.45600000000000002</v>
      </c>
      <c r="S458">
        <f t="shared" si="29"/>
        <v>-4.2683531676323607</v>
      </c>
    </row>
    <row r="459" spans="1:19" x14ac:dyDescent="0.3">
      <c r="A459">
        <v>0.45700000000000002</v>
      </c>
      <c r="B459">
        <f>Uo*COS(2*PI()*Wn*Sheet2!A459) + (Vo/Wn - (Po*(w/Wn))/(K*(1-(w/Wn)^2)))*SIN(2*PI()*Wn*Sheet2!A459) +(Po*SIN(2*PI()*w*Sheet2!A459))/(K*(1-(w/Wn)^2))</f>
        <v>-7.9004415947815492</v>
      </c>
      <c r="C459">
        <f t="shared" si="30"/>
        <v>-4.4902473658827171</v>
      </c>
      <c r="D459">
        <f t="shared" si="31"/>
        <v>-733.45875437896154</v>
      </c>
      <c r="R459">
        <f t="shared" si="28"/>
        <v>0.45700000000000002</v>
      </c>
      <c r="S459">
        <f t="shared" si="29"/>
        <v>-4.4902473658827171</v>
      </c>
    </row>
    <row r="460" spans="1:19" x14ac:dyDescent="0.3">
      <c r="A460">
        <v>0.45800000000000002</v>
      </c>
      <c r="B460">
        <f>Uo*COS(2*PI()*Wn*Sheet2!A460) + (Vo/Wn - (Po*(w/Wn))/(K*(1-(w/Wn)^2)))*SIN(2*PI()*Wn*Sheet2!A460) +(Po*SIN(2*PI()*w*Sheet2!A460))/(K*(1-(w/Wn)^2))</f>
        <v>-8.2312247443891877</v>
      </c>
      <c r="C460">
        <f t="shared" si="30"/>
        <v>-4.710275309673289</v>
      </c>
      <c r="D460">
        <f t="shared" si="31"/>
        <v>-769.39918447806622</v>
      </c>
      <c r="R460">
        <f t="shared" si="28"/>
        <v>0.45800000000000002</v>
      </c>
      <c r="S460">
        <f t="shared" si="29"/>
        <v>-4.710275309673289</v>
      </c>
    </row>
    <row r="461" spans="1:19" x14ac:dyDescent="0.3">
      <c r="A461">
        <v>0.45900000000000002</v>
      </c>
      <c r="B461">
        <f>Uo*COS(2*PI()*Wn*Sheet2!A461) + (Vo/Wn - (Po*(w/Wn))/(K*(1-(w/Wn)^2)))*SIN(2*PI()*Wn*Sheet2!A461) +(Po*SIN(2*PI()*w*Sheet2!A461))/(K*(1-(w/Wn)^2))</f>
        <v>-8.559318910963821</v>
      </c>
      <c r="C461">
        <f t="shared" si="30"/>
        <v>-4.9283685551467107</v>
      </c>
      <c r="D461">
        <f t="shared" si="31"/>
        <v>-805.02359158285265</v>
      </c>
      <c r="R461">
        <f t="shared" si="28"/>
        <v>0.45900000000000002</v>
      </c>
      <c r="S461">
        <f t="shared" si="29"/>
        <v>-4.9283685551467107</v>
      </c>
    </row>
    <row r="462" spans="1:19" x14ac:dyDescent="0.3">
      <c r="A462">
        <v>0.46</v>
      </c>
      <c r="B462">
        <f>Uo*COS(2*PI()*Wn*Sheet2!A462) + (Vo/Wn - (Po*(w/Wn))/(K*(1-(w/Wn)^2)))*SIN(2*PI()*Wn*Sheet2!A462) +(Po*SIN(2*PI()*w*Sheet2!A462))/(K*(1-(w/Wn)^2))</f>
        <v>-8.8846169124426222</v>
      </c>
      <c r="C462">
        <f t="shared" si="30"/>
        <v>-5.1444594135009973</v>
      </c>
      <c r="D462">
        <f t="shared" si="31"/>
        <v>-840.32091907653705</v>
      </c>
      <c r="R462">
        <f t="shared" si="28"/>
        <v>0.46</v>
      </c>
      <c r="S462">
        <f t="shared" si="29"/>
        <v>-5.1444594135009973</v>
      </c>
    </row>
    <row r="463" spans="1:19" x14ac:dyDescent="0.3">
      <c r="A463">
        <v>0.46100000000000002</v>
      </c>
      <c r="B463">
        <f>Uo*COS(2*PI()*Wn*Sheet2!A463) + (Vo/Wn - (Po*(w/Wn))/(K*(1-(w/Wn)^2)))*SIN(2*PI()*Wn*Sheet2!A463) +(Po*SIN(2*PI()*w*Sheet2!A463))/(K*(1-(w/Wn)^2))</f>
        <v>-9.2070124802163242</v>
      </c>
      <c r="C463">
        <f t="shared" si="30"/>
        <v>-5.3584809717188833</v>
      </c>
      <c r="D463">
        <f t="shared" si="31"/>
        <v>-875.28023706276917</v>
      </c>
      <c r="R463">
        <f t="shared" si="28"/>
        <v>0.46100000000000002</v>
      </c>
      <c r="S463">
        <f t="shared" si="29"/>
        <v>-5.3584809717188833</v>
      </c>
    </row>
    <row r="464" spans="1:19" x14ac:dyDescent="0.3">
      <c r="A464">
        <v>0.46200000000000002</v>
      </c>
      <c r="B464">
        <f>Uo*COS(2*PI()*Wn*Sheet2!A464) + (Vo/Wn - (Po*(w/Wn))/(K*(1-(w/Wn)^2)))*SIN(2*PI()*Wn*Sheet2!A464) +(Po*SIN(2*PI()*w*Sheet2!A464))/(K*(1-(w/Wn)^2))</f>
        <v>-9.5264002938448851</v>
      </c>
      <c r="C464">
        <f t="shared" si="30"/>
        <v>-5.5703671130061663</v>
      </c>
      <c r="D464">
        <f t="shared" si="31"/>
        <v>-909.89074570413084</v>
      </c>
      <c r="R464">
        <f t="shared" si="28"/>
        <v>0.46200000000000002</v>
      </c>
      <c r="S464">
        <f t="shared" si="29"/>
        <v>-5.5703671130061663</v>
      </c>
    </row>
    <row r="465" spans="1:19" x14ac:dyDescent="0.3">
      <c r="A465">
        <v>0.46300000000000002</v>
      </c>
      <c r="B465">
        <f>Uo*COS(2*PI()*Wn*Sheet2!A465) + (Vo/Wn - (Po*(w/Wn))/(K*(1-(w/Wn)^2)))*SIN(2*PI()*Wn*Sheet2!A465) +(Po*SIN(2*PI()*w*Sheet2!A465))/(K*(1-(w/Wn)^2))</f>
        <v>-9.8426760154638959</v>
      </c>
      <c r="C465">
        <f t="shared" si="30"/>
        <v>-5.7800525369336233</v>
      </c>
      <c r="D465">
        <f t="shared" si="31"/>
        <v>-944.14177851221382</v>
      </c>
      <c r="R465">
        <f t="shared" si="28"/>
        <v>0.46300000000000002</v>
      </c>
      <c r="S465">
        <f t="shared" si="29"/>
        <v>-5.7800525369336233</v>
      </c>
    </row>
    <row r="466" spans="1:19" x14ac:dyDescent="0.3">
      <c r="A466">
        <v>0.46400000000000002</v>
      </c>
      <c r="B466">
        <f>Uo*COS(2*PI()*Wn*Sheet2!A466) + (Vo/Wn - (Po*(w/Wn))/(K*(1-(w/Wn)^2)))*SIN(2*PI()*Wn*Sheet2!A466) +(Po*SIN(2*PI()*w*Sheet2!A466))/(K*(1-(w/Wn)^2))</f>
        <v>-10.155736323869542</v>
      </c>
      <c r="C466">
        <f t="shared" si="30"/>
        <v>-5.9874727792757874</v>
      </c>
      <c r="D466">
        <f t="shared" si="31"/>
        <v>-978.02280558818165</v>
      </c>
      <c r="R466">
        <f t="shared" si="28"/>
        <v>0.46400000000000002</v>
      </c>
      <c r="S466">
        <f t="shared" si="29"/>
        <v>-5.9874727792757874</v>
      </c>
    </row>
    <row r="467" spans="1:19" x14ac:dyDescent="0.3">
      <c r="A467">
        <v>0.46500000000000002</v>
      </c>
      <c r="B467">
        <f>Uo*COS(2*PI()*Wn*Sheet2!A467) + (Vo/Wn - (Po*(w/Wn))/(K*(1-(w/Wn)^2)))*SIN(2*PI()*Wn*Sheet2!A467) +(Po*SIN(2*PI()*w*Sheet2!A467))/(K*(1-(w/Wn)^2))</f>
        <v>-10.465478948271748</v>
      </c>
      <c r="C467">
        <f t="shared" si="30"/>
        <v>-6.1925642315411631</v>
      </c>
      <c r="D467">
        <f t="shared" si="31"/>
        <v>-1011.5234368129301</v>
      </c>
      <c r="R467">
        <f t="shared" si="28"/>
        <v>0.46500000000000002</v>
      </c>
      <c r="S467">
        <f t="shared" si="29"/>
        <v>-6.1925642315411631</v>
      </c>
    </row>
    <row r="468" spans="1:19" x14ac:dyDescent="0.3">
      <c r="A468">
        <v>0.46600000000000003</v>
      </c>
      <c r="B468">
        <f>Uo*COS(2*PI()*Wn*Sheet2!A468) + (Vo/Wn - (Po*(w/Wn))/(K*(1-(w/Wn)^2)))*SIN(2*PI()*Wn*Sheet2!A468) +(Po*SIN(2*PI()*w*Sheet2!A468))/(K*(1-(w/Wn)^2))</f>
        <v>-10.771802701704186</v>
      </c>
      <c r="C468">
        <f t="shared" si="30"/>
        <v>-6.395264160187903</v>
      </c>
      <c r="D468">
        <f t="shared" si="31"/>
        <v>-1044.633424985868</v>
      </c>
      <c r="R468">
        <f t="shared" si="28"/>
        <v>0.46600000000000003</v>
      </c>
      <c r="S468">
        <f t="shared" si="29"/>
        <v>-6.395264160187903</v>
      </c>
    </row>
    <row r="469" spans="1:19" x14ac:dyDescent="0.3">
      <c r="A469">
        <v>0.46700000000000003</v>
      </c>
      <c r="B469">
        <f>Uo*COS(2*PI()*Wn*Sheet2!A469) + (Vo/Wn - (Po*(w/Wn))/(K*(1-(w/Wn)^2)))*SIN(2*PI()*Wn*Sheet2!A469) +(Po*SIN(2*PI()*w*Sheet2!A469))/(K*(1-(w/Wn)^2))</f>
        <v>-11.074607514079871</v>
      </c>
      <c r="C469">
        <f t="shared" si="30"/>
        <v>-6.5955107255189844</v>
      </c>
      <c r="D469">
        <f t="shared" si="31"/>
        <v>-1077.3426689113476</v>
      </c>
      <c r="R469">
        <f t="shared" si="28"/>
        <v>0.46700000000000003</v>
      </c>
      <c r="S469">
        <f t="shared" si="29"/>
        <v>-6.5955107255189844</v>
      </c>
    </row>
    <row r="470" spans="1:19" x14ac:dyDescent="0.3">
      <c r="A470">
        <v>0.46800000000000003</v>
      </c>
      <c r="B470">
        <f>Uo*COS(2*PI()*Wn*Sheet2!A470) + (Vo/Wn - (Po*(w/Wn))/(K*(1-(w/Wn)^2)))*SIN(2*PI()*Wn*Sheet2!A470) +(Po*SIN(2*PI()*w*Sheet2!A470))/(K*(1-(w/Wn)^2))</f>
        <v>-11.373794464882405</v>
      </c>
      <c r="C470">
        <f t="shared" si="30"/>
        <v>-6.793243000251846</v>
      </c>
      <c r="D470">
        <f t="shared" si="31"/>
        <v>-1109.641216431919</v>
      </c>
      <c r="R470">
        <f t="shared" si="28"/>
        <v>0.46800000000000003</v>
      </c>
      <c r="S470">
        <f t="shared" si="29"/>
        <v>-6.793243000251846</v>
      </c>
    </row>
    <row r="471" spans="1:19" x14ac:dyDescent="0.3">
      <c r="A471">
        <v>0.46899999999999997</v>
      </c>
      <c r="B471">
        <f>Uo*COS(2*PI()*Wn*Sheet2!A471) + (Vo/Wn - (Po*(w/Wn))/(K*(1-(w/Wn)^2)))*SIN(2*PI()*Wn*Sheet2!A471) +(Po*SIN(2*PI()*w*Sheet2!A471))/(K*(1-(w/Wn)^2))</f>
        <v>-11.669265815481165</v>
      </c>
      <c r="C471">
        <f t="shared" si="30"/>
        <v>-6.9884009877563571</v>
      </c>
      <c r="D471">
        <f t="shared" si="31"/>
        <v>-1141.5192674074078</v>
      </c>
      <c r="R471">
        <f t="shared" si="28"/>
        <v>0.46899999999999997</v>
      </c>
      <c r="S471">
        <f t="shared" si="29"/>
        <v>-6.9884009877563571</v>
      </c>
    </row>
    <row r="472" spans="1:19" x14ac:dyDescent="0.3">
      <c r="A472">
        <v>0.47</v>
      </c>
      <c r="B472">
        <f>Uo*COS(2*PI()*Wn*Sheet2!A472) + (Vo/Wn - (Po*(w/Wn))/(K*(1-(w/Wn)^2)))*SIN(2*PI()*Wn*Sheet2!A472) +(Po*SIN(2*PI()*w*Sheet2!A472))/(K*(1-(w/Wn)^2))</f>
        <v>-11.960925041060833</v>
      </c>
      <c r="C472">
        <f t="shared" si="30"/>
        <v>-7.1809256399564205</v>
      </c>
      <c r="D472">
        <f t="shared" si="31"/>
        <v>-1172.9671766390502</v>
      </c>
      <c r="R472">
        <f t="shared" si="28"/>
        <v>0.47</v>
      </c>
      <c r="S472">
        <f t="shared" si="29"/>
        <v>-7.1809256399564205</v>
      </c>
    </row>
    <row r="473" spans="1:19" x14ac:dyDescent="0.3">
      <c r="A473">
        <v>0.47099999999999997</v>
      </c>
      <c r="B473">
        <f>Uo*COS(2*PI()*Wn*Sheet2!A473) + (Vo/Wn - (Po*(w/Wn))/(K*(1-(w/Wn)^2)))*SIN(2*PI()*Wn*Sheet2!A473) +(Po*SIN(2*PI()*w*Sheet2!A473))/(K*(1-(w/Wn)^2))</f>
        <v>-12.248676862154122</v>
      </c>
      <c r="C473">
        <f t="shared" si="30"/>
        <v>-7.3707588748894262</v>
      </c>
      <c r="D473">
        <f t="shared" si="31"/>
        <v>-1203.975456737739</v>
      </c>
      <c r="R473">
        <f t="shared" si="28"/>
        <v>0.47099999999999997</v>
      </c>
      <c r="S473">
        <f t="shared" si="29"/>
        <v>-7.3707588748894262</v>
      </c>
    </row>
    <row r="474" spans="1:19" x14ac:dyDescent="0.3">
      <c r="A474">
        <v>0.47199999999999998</v>
      </c>
      <c r="B474">
        <f>Uo*COS(2*PI()*Wn*Sheet2!A474) + (Vo/Wn - (Po*(w/Wn))/(K*(1-(w/Wn)^2)))*SIN(2*PI()*Wn*Sheet2!A474) +(Po*SIN(2*PI()*w*Sheet2!A474))/(K*(1-(w/Wn)^2))</f>
        <v>-12.532427275767656</v>
      </c>
      <c r="C474">
        <f t="shared" si="30"/>
        <v>-7.5578435939186992</v>
      </c>
      <c r="D474">
        <f t="shared" si="31"/>
        <v>-1234.5347809355883</v>
      </c>
      <c r="R474">
        <f t="shared" si="28"/>
        <v>0.47199999999999998</v>
      </c>
      <c r="S474">
        <f t="shared" si="29"/>
        <v>-7.5578435939186992</v>
      </c>
    </row>
    <row r="475" spans="1:19" x14ac:dyDescent="0.3">
      <c r="A475">
        <v>0.47299999999999998</v>
      </c>
      <c r="B475">
        <f>Uo*COS(2*PI()*Wn*Sheet2!A475) + (Vo/Wn - (Po*(w/Wn))/(K*(1-(w/Wn)^2)))*SIN(2*PI()*Wn*Sheet2!A475) +(Po*SIN(2*PI()*w*Sheet2!A475))/(K*(1-(w/Wn)^2))</f>
        <v>-12.812083586091145</v>
      </c>
      <c r="C475">
        <f t="shared" si="30"/>
        <v>-7.7421236985940931</v>
      </c>
      <c r="D475">
        <f t="shared" si="31"/>
        <v>-1264.6359858400242</v>
      </c>
      <c r="R475">
        <f t="shared" si="28"/>
        <v>0.47299999999999998</v>
      </c>
      <c r="S475">
        <f t="shared" si="29"/>
        <v>-7.7421236985940931</v>
      </c>
    </row>
    <row r="476" spans="1:19" x14ac:dyDescent="0.3">
      <c r="A476">
        <v>0.47399999999999998</v>
      </c>
      <c r="B476">
        <f>Uo*COS(2*PI()*Wn*Sheet2!A476) + (Vo/Wn - (Po*(w/Wn))/(K*(1-(w/Wn)^2)))*SIN(2*PI()*Wn*Sheet2!A476) +(Po*SIN(2*PI()*w*Sheet2!A476))/(K*(1-(w/Wn)^2))</f>
        <v>-13.087554434779101</v>
      </c>
      <c r="C476">
        <f t="shared" si="30"/>
        <v>-7.9235441071554247</v>
      </c>
      <c r="D476">
        <f t="shared" si="31"/>
        <v>-1294.2700741295362</v>
      </c>
      <c r="R476">
        <f t="shared" si="28"/>
        <v>0.47399999999999998</v>
      </c>
      <c r="S476">
        <f t="shared" si="29"/>
        <v>-7.9235441071554247</v>
      </c>
    </row>
    <row r="477" spans="1:19" x14ac:dyDescent="0.3">
      <c r="A477">
        <v>0.47499999999999998</v>
      </c>
      <c r="B477">
        <f>Uo*COS(2*PI()*Wn*Sheet2!A477) + (Vo/Wn - (Po*(w/Wn))/(K*(1-(w/Wn)^2)))*SIN(2*PI()*Wn*Sheet2!A477) +(Po*SIN(2*PI()*w*Sheet2!A477))/(K*(1-(w/Wn)^2))</f>
        <v>-13.358749830796073</v>
      </c>
      <c r="C477">
        <f t="shared" si="30"/>
        <v>-8.1020507706745502</v>
      </c>
      <c r="D477">
        <f t="shared" si="31"/>
        <v>-1323.4282171904015</v>
      </c>
      <c r="R477">
        <f t="shared" si="28"/>
        <v>0.47499999999999998</v>
      </c>
      <c r="S477">
        <f t="shared" si="29"/>
        <v>-8.1020507706745502</v>
      </c>
    </row>
    <row r="478" spans="1:19" x14ac:dyDescent="0.3">
      <c r="A478">
        <v>0.47599999999999998</v>
      </c>
      <c r="B478">
        <f>Uo*COS(2*PI()*Wn*Sheet2!A478) + (Vo/Wn - (Po*(w/Wn))/(K*(1-(w/Wn)^2)))*SIN(2*PI()*Wn*Sheet2!A478) +(Po*SIN(2*PI()*w*Sheet2!A478))/(K*(1-(w/Wn)^2))</f>
        <v>-13.625581179814773</v>
      </c>
      <c r="C478">
        <f t="shared" si="30"/>
        <v>-8.2775906888309052</v>
      </c>
      <c r="D478">
        <f t="shared" si="31"/>
        <v>-1352.101757693539</v>
      </c>
      <c r="R478">
        <f t="shared" si="28"/>
        <v>0.47599999999999998</v>
      </c>
      <c r="S478">
        <f t="shared" si="29"/>
        <v>-8.2775906888309052</v>
      </c>
    </row>
    <row r="479" spans="1:19" x14ac:dyDescent="0.3">
      <c r="A479">
        <v>0.47699999999999998</v>
      </c>
      <c r="B479">
        <f>Uo*COS(2*PI()*Wn*Sheet2!A479) + (Vo/Wn - (Po*(w/Wn))/(K*(1-(w/Wn)^2)))*SIN(2*PI()*Wn*Sheet2!A479) +(Po*SIN(2*PI()*w*Sheet2!A479))/(K*(1-(w/Wn)^2))</f>
        <v>-13.88796131315836</v>
      </c>
      <c r="C479">
        <f t="shared" si="30"/>
        <v>-8.450111925316607</v>
      </c>
      <c r="D479">
        <f t="shared" si="31"/>
        <v>-1380.2822121108527</v>
      </c>
      <c r="R479">
        <f t="shared" si="28"/>
        <v>0.47699999999999998</v>
      </c>
      <c r="S479">
        <f t="shared" si="29"/>
        <v>-8.450111925316607</v>
      </c>
    </row>
    <row r="480" spans="1:19" x14ac:dyDescent="0.3">
      <c r="A480">
        <v>0.47799999999999998</v>
      </c>
      <c r="B480">
        <f>Uo*COS(2*PI()*Wn*Sheet2!A480) + (Vo/Wn - (Po*(w/Wn))/(K*(1-(w/Wn)^2)))*SIN(2*PI()*Wn*Sheet2!A480) +(Po*SIN(2*PI()*w*Sheet2!A480))/(K*(1-(w/Wn)^2))</f>
        <v>-14.145804516276561</v>
      </c>
      <c r="C480">
        <f t="shared" si="30"/>
        <v>-8.6195636228661616</v>
      </c>
      <c r="D480">
        <f t="shared" si="31"/>
        <v>-1407.9612731702571</v>
      </c>
      <c r="R480">
        <f t="shared" si="28"/>
        <v>0.47799999999999998</v>
      </c>
      <c r="S480">
        <f t="shared" si="29"/>
        <v>-8.6195636228661616</v>
      </c>
    </row>
    <row r="481" spans="1:19" x14ac:dyDescent="0.3">
      <c r="A481">
        <v>0.47899999999999998</v>
      </c>
      <c r="B481">
        <f>Uo*COS(2*PI()*Wn*Sheet2!A481) + (Vo/Wn - (Po*(w/Wn))/(K*(1-(w/Wn)^2)))*SIN(2*PI()*Wn*Sheet2!A481) +(Po*SIN(2*PI()*w*Sheet2!A481))/(K*(1-(w/Wn)^2))</f>
        <v>-14.399026556747165</v>
      </c>
      <c r="C481">
        <f t="shared" si="30"/>
        <v>-8.7858960179071151</v>
      </c>
      <c r="D481">
        <f t="shared" si="31"/>
        <v>-1435.1308122487849</v>
      </c>
      <c r="R481">
        <f t="shared" si="28"/>
        <v>0.47899999999999998</v>
      </c>
      <c r="S481">
        <f t="shared" si="29"/>
        <v>-8.7858960179071151</v>
      </c>
    </row>
    <row r="482" spans="1:19" x14ac:dyDescent="0.3">
      <c r="A482">
        <v>0.48</v>
      </c>
      <c r="B482">
        <f>Uo*COS(2*PI()*Wn*Sheet2!A482) + (Vo/Wn - (Po*(w/Wn))/(K*(1-(w/Wn)^2)))*SIN(2*PI()*Wn*Sheet2!A482) +(Po*SIN(2*PI()*w*Sheet2!A482))/(K*(1-(w/Wn)^2))</f>
        <v>-14.647544711792946</v>
      </c>
      <c r="C482">
        <f t="shared" si="30"/>
        <v>-8.9490604548270465</v>
      </c>
      <c r="D482">
        <f t="shared" si="31"/>
        <v>-1461.7828817030279</v>
      </c>
      <c r="R482">
        <f t="shared" si="28"/>
        <v>0.48</v>
      </c>
      <c r="S482">
        <f t="shared" si="29"/>
        <v>-8.9490604548270465</v>
      </c>
    </row>
    <row r="483" spans="1:19" x14ac:dyDescent="0.3">
      <c r="A483">
        <v>0.48099999999999998</v>
      </c>
      <c r="B483">
        <f>Uo*COS(2*PI()*Wn*Sheet2!A483) + (Vo/Wn - (Po*(w/Wn))/(K*(1-(w/Wn)^2)))*SIN(2*PI()*Wn*Sheet2!A483) +(Po*SIN(2*PI()*w*Sheet2!A483))/(K*(1-(w/Wn)^2))</f>
        <v>-14.8912777953058</v>
      </c>
      <c r="C483">
        <f t="shared" si="30"/>
        <v>-9.1090093998533987</v>
      </c>
      <c r="D483">
        <f t="shared" si="31"/>
        <v>-1487.9097171363346</v>
      </c>
      <c r="R483">
        <f t="shared" si="28"/>
        <v>0.48099999999999998</v>
      </c>
      <c r="S483">
        <f t="shared" si="29"/>
        <v>-9.1090093998533987</v>
      </c>
    </row>
    <row r="484" spans="1:19" x14ac:dyDescent="0.3">
      <c r="A484">
        <v>0.48199999999999998</v>
      </c>
      <c r="B484">
        <f>Uo*COS(2*PI()*Wn*Sheet2!A484) + (Vo/Wn - (Po*(w/Wn))/(K*(1-(w/Wn)^2)))*SIN(2*PI()*Wn*Sheet2!A484) +(Po*SIN(2*PI()*w*Sheet2!A484))/(K*(1-(w/Wn)^2))</f>
        <v>-15.130146184368495</v>
      </c>
      <c r="C484">
        <f t="shared" si="30"/>
        <v>-9.2656964545418532</v>
      </c>
      <c r="D484">
        <f t="shared" si="31"/>
        <v>-1513.503739602068</v>
      </c>
      <c r="R484">
        <f t="shared" si="28"/>
        <v>0.48199999999999998</v>
      </c>
      <c r="S484">
        <f t="shared" si="29"/>
        <v>-9.2656964545418532</v>
      </c>
    </row>
    <row r="485" spans="1:19" x14ac:dyDescent="0.3">
      <c r="A485">
        <v>0.48299999999999998</v>
      </c>
      <c r="B485">
        <f>Uo*COS(2*PI()*Wn*Sheet2!A485) + (Vo/Wn - (Po*(w/Wn))/(K*(1-(w/Wn)^2)))*SIN(2*PI()*Wn*Sheet2!A485) +(Po*SIN(2*PI()*w*Sheet2!A485))/(K*(1-(w/Wn)^2))</f>
        <v>-15.364071845266139</v>
      </c>
      <c r="C485">
        <f t="shared" si="30"/>
        <v>-9.4190763688700514</v>
      </c>
      <c r="D485">
        <f t="shared" si="31"/>
        <v>-1538.5575577423958</v>
      </c>
      <c r="R485">
        <f t="shared" si="28"/>
        <v>0.48299999999999998</v>
      </c>
      <c r="S485">
        <f t="shared" si="29"/>
        <v>-9.4190763688700514</v>
      </c>
    </row>
    <row r="486" spans="1:19" x14ac:dyDescent="0.3">
      <c r="A486">
        <v>0.48399999999999999</v>
      </c>
      <c r="B486">
        <f>Uo*COS(2*PI()*Wn*Sheet2!A486) + (Vo/Wn - (Po*(w/Wn))/(K*(1-(w/Wn)^2)))*SIN(2*PI()*Wn*Sheet2!A486) +(Po*SIN(2*PI()*w*Sheet2!A486))/(K*(1-(w/Wn)^2))</f>
        <v>-15.592978358978124</v>
      </c>
      <c r="C486">
        <f t="shared" si="30"/>
        <v>-9.5691050539325975</v>
      </c>
      <c r="D486">
        <f t="shared" si="31"/>
        <v>-1563.0639698619555</v>
      </c>
      <c r="R486">
        <f t="shared" si="28"/>
        <v>0.48399999999999999</v>
      </c>
      <c r="S486">
        <f t="shared" si="29"/>
        <v>-9.5691050539325975</v>
      </c>
    </row>
    <row r="487" spans="1:19" x14ac:dyDescent="0.3">
      <c r="A487">
        <v>0.48499999999999999</v>
      </c>
      <c r="B487">
        <f>Uo*COS(2*PI()*Wn*Sheet2!A487) + (Vo/Wn - (Po*(w/Wn))/(K*(1-(w/Wn)^2)))*SIN(2*PI()*Wn*Sheet2!A487) +(Po*SIN(2*PI()*w*Sheet2!A487))/(K*(1-(w/Wn)^2))</f>
        <v>-15.816790946142838</v>
      </c>
      <c r="C487">
        <f t="shared" si="30"/>
        <v>-9.7157395942343179</v>
      </c>
      <c r="D487">
        <f t="shared" si="31"/>
        <v>-1587.0159659358931</v>
      </c>
      <c r="R487">
        <f t="shared" si="28"/>
        <v>0.48499999999999999</v>
      </c>
      <c r="S487">
        <f t="shared" si="29"/>
        <v>-9.7157395942343179</v>
      </c>
    </row>
    <row r="488" spans="1:19" x14ac:dyDescent="0.3">
      <c r="A488">
        <v>0.48599999999999999</v>
      </c>
      <c r="B488">
        <f>Uo*COS(2*PI()*Wn*Sheet2!A488) + (Vo/Wn - (Po*(w/Wn))/(K*(1-(w/Wn)^2)))*SIN(2*PI()*Wn*Sheet2!A488) +(Po*SIN(2*PI()*w*Sheet2!A488))/(K*(1-(w/Wn)^2))</f>
        <v>-16.035436491486696</v>
      </c>
      <c r="C488">
        <f t="shared" si="30"/>
        <v>-9.8589382595783501</v>
      </c>
      <c r="D488">
        <f t="shared" si="31"/>
        <v>-1610.4067295517225</v>
      </c>
      <c r="R488">
        <f t="shared" si="28"/>
        <v>0.48599999999999999</v>
      </c>
      <c r="S488">
        <f t="shared" si="29"/>
        <v>-9.8589382595783501</v>
      </c>
    </row>
    <row r="489" spans="1:19" x14ac:dyDescent="0.3">
      <c r="A489">
        <v>0.48699999999999999</v>
      </c>
      <c r="B489">
        <f>Uo*COS(2*PI()*Wn*Sheet2!A489) + (Vo/Wn - (Po*(w/Wn))/(K*(1-(w/Wn)^2)))*SIN(2*PI()*Wn*Sheet2!A489) +(Po*SIN(2*PI()*w*Sheet2!A489))/(K*(1-(w/Wn)^2))</f>
        <v>-16.248843567709351</v>
      </c>
      <c r="C489">
        <f t="shared" si="30"/>
        <v>-9.9986605165457281</v>
      </c>
      <c r="D489">
        <f t="shared" si="31"/>
        <v>-1633.2296397844561</v>
      </c>
      <c r="R489">
        <f t="shared" si="28"/>
        <v>0.48699999999999999</v>
      </c>
      <c r="S489">
        <f t="shared" si="29"/>
        <v>-9.9986605165457281</v>
      </c>
    </row>
    <row r="490" spans="1:19" x14ac:dyDescent="0.3">
      <c r="A490">
        <v>0.48799999999999999</v>
      </c>
      <c r="B490">
        <f>Uo*COS(2*PI()*Wn*Sheet2!A490) + (Vo/Wn - (Po*(w/Wn))/(K*(1-(w/Wn)^2)))*SIN(2*PI()*Wn*Sheet2!A490) +(Po*SIN(2*PI()*w*Sheet2!A490))/(K*(1-(w/Wn)^2))</f>
        <v>-16.456942458817796</v>
      </c>
      <c r="C490">
        <f t="shared" si="30"/>
        <v>-10.13486703956387</v>
      </c>
      <c r="D490">
        <f t="shared" si="31"/>
        <v>-1655.4782730045854</v>
      </c>
      <c r="R490">
        <f t="shared" si="28"/>
        <v>0.48799999999999999</v>
      </c>
      <c r="S490">
        <f t="shared" si="29"/>
        <v>-10.13486703956387</v>
      </c>
    </row>
    <row r="491" spans="1:19" x14ac:dyDescent="0.3">
      <c r="A491">
        <v>0.48899999999999999</v>
      </c>
      <c r="B491">
        <f>Uo*COS(2*PI()*Wn*Sheet2!A491) + (Vo/Wn - (Po*(w/Wn))/(K*(1-(w/Wn)^2)))*SIN(2*PI()*Wn*Sheet2!A491) +(Po*SIN(2*PI()*w*Sheet2!A491))/(K*(1-(w/Wn)^2))</f>
        <v>-16.659665182901058</v>
      </c>
      <c r="C491">
        <f t="shared" si="30"/>
        <v>-10.267519721560609</v>
      </c>
      <c r="D491">
        <f t="shared" si="31"/>
        <v>-1677.146404618361</v>
      </c>
      <c r="R491">
        <f t="shared" si="28"/>
        <v>0.48899999999999999</v>
      </c>
      <c r="S491">
        <f t="shared" si="29"/>
        <v>-10.267519721560609</v>
      </c>
    </row>
    <row r="492" spans="1:19" x14ac:dyDescent="0.3">
      <c r="A492">
        <v>0.49</v>
      </c>
      <c r="B492">
        <f>Uo*COS(2*PI()*Wn*Sheet2!A492) + (Vo/Wn - (Po*(w/Wn))/(K*(1-(w/Wn)^2)))*SIN(2*PI()*Wn*Sheet2!A492) +(Po*SIN(2*PI()*w*Sheet2!A492))/(K*(1-(w/Wn)^2))</f>
        <v>-16.856945514338772</v>
      </c>
      <c r="C492">
        <f t="shared" si="30"/>
        <v>-10.396581684201513</v>
      </c>
      <c r="D492">
        <f t="shared" si="31"/>
        <v>-1698.2280107400079</v>
      </c>
      <c r="R492">
        <f t="shared" si="28"/>
        <v>0.49</v>
      </c>
      <c r="S492">
        <f t="shared" si="29"/>
        <v>-10.396581684201513</v>
      </c>
    </row>
    <row r="493" spans="1:19" x14ac:dyDescent="0.3">
      <c r="A493">
        <v>0.49099999999999999</v>
      </c>
      <c r="B493">
        <f>Uo*COS(2*PI()*Wn*Sheet2!A493) + (Vo/Wn - (Po*(w/Wn))/(K*(1-(w/Wn)^2)))*SIN(2*PI()*Wn*Sheet2!A493) +(Po*SIN(2*PI()*w*Sheet2!A493))/(K*(1-(w/Wn)^2))</f>
        <v>-17.048719005435625</v>
      </c>
      <c r="C493">
        <f t="shared" si="30"/>
        <v>-10.522017287707449</v>
      </c>
      <c r="D493">
        <f t="shared" si="31"/>
        <v>-1718.717269795372</v>
      </c>
      <c r="R493">
        <f t="shared" si="28"/>
        <v>0.49099999999999999</v>
      </c>
      <c r="S493">
        <f t="shared" si="29"/>
        <v>-10.522017287707449</v>
      </c>
    </row>
    <row r="494" spans="1:19" x14ac:dyDescent="0.3">
      <c r="A494">
        <v>0.49199999999999999</v>
      </c>
      <c r="B494">
        <f>Uo*COS(2*PI()*Wn*Sheet2!A494) + (Vo/Wn - (Po*(w/Wn))/(K*(1-(w/Wn)^2)))*SIN(2*PI()*Wn*Sheet2!A494) +(Po*SIN(2*PI()*w*Sheet2!A494))/(K*(1-(w/Wn)^2))</f>
        <v>-17.234923007475366</v>
      </c>
      <c r="C494">
        <f t="shared" si="30"/>
        <v>-10.643792140250405</v>
      </c>
      <c r="D494">
        <f t="shared" si="31"/>
        <v>-1738.6085640566803</v>
      </c>
      <c r="R494">
        <f t="shared" si="28"/>
        <v>0.49199999999999999</v>
      </c>
      <c r="S494">
        <f t="shared" si="29"/>
        <v>-10.643792140250405</v>
      </c>
    </row>
    <row r="495" spans="1:19" x14ac:dyDescent="0.3">
      <c r="A495">
        <v>0.49299999999999999</v>
      </c>
      <c r="B495">
        <f>Uo*COS(2*PI()*Wn*Sheet2!A495) + (Vo/Wn - (Po*(w/Wn))/(K*(1-(w/Wn)^2)))*SIN(2*PI()*Wn*Sheet2!A495) +(Po*SIN(2*PI()*w*Sheet2!A495))/(K*(1-(w/Wn)^2))</f>
        <v>-17.415496691186771</v>
      </c>
      <c r="C495">
        <f t="shared" si="30"/>
        <v>-10.761873106924797</v>
      </c>
      <c r="D495">
        <f t="shared" si="31"/>
        <v>-1757.8964811079582</v>
      </c>
      <c r="R495">
        <f t="shared" si="28"/>
        <v>0.49299999999999999</v>
      </c>
      <c r="S495">
        <f t="shared" si="29"/>
        <v>-10.761873106924797</v>
      </c>
    </row>
    <row r="496" spans="1:19" x14ac:dyDescent="0.3">
      <c r="A496">
        <v>0.49399999999999999</v>
      </c>
      <c r="B496">
        <f>Uo*COS(2*PI()*Wn*Sheet2!A496) + (Vo/Wn - (Po*(w/Wn))/(K*(1-(w/Wn)^2)))*SIN(2*PI()*Wn*Sheet2!A496) +(Po*SIN(2*PI()*w*Sheet2!A496))/(K*(1-(w/Wn)^2))</f>
        <v>-17.590381066615549</v>
      </c>
      <c r="C496">
        <f t="shared" si="30"/>
        <v>-10.876228318292572</v>
      </c>
      <c r="D496">
        <f t="shared" si="31"/>
        <v>-1776.5758152408255</v>
      </c>
      <c r="R496">
        <f t="shared" si="28"/>
        <v>0.49399999999999999</v>
      </c>
      <c r="S496">
        <f t="shared" si="29"/>
        <v>-10.876228318292572</v>
      </c>
    </row>
    <row r="497" spans="1:19" x14ac:dyDescent="0.3">
      <c r="A497">
        <v>0.495</v>
      </c>
      <c r="B497">
        <f>Uo*COS(2*PI()*Wn*Sheet2!A497) + (Vo/Wn - (Po*(w/Wn))/(K*(1-(w/Wn)^2)))*SIN(2*PI()*Wn*Sheet2!A497) +(Po*SIN(2*PI()*w*Sheet2!A497))/(K*(1-(w/Wn)^2))</f>
        <v>-17.759519002395091</v>
      </c>
      <c r="C497">
        <f t="shared" si="30"/>
        <v>-10.986827178499588</v>
      </c>
      <c r="D497">
        <f t="shared" si="31"/>
        <v>-1794.6415687802685</v>
      </c>
      <c r="R497">
        <f t="shared" si="28"/>
        <v>0.495</v>
      </c>
      <c r="S497">
        <f t="shared" si="29"/>
        <v>-10.986827178499588</v>
      </c>
    </row>
    <row r="498" spans="1:19" x14ac:dyDescent="0.3">
      <c r="A498">
        <v>0.496</v>
      </c>
      <c r="B498">
        <f>Uo*COS(2*PI()*Wn*Sheet2!A498) + (Vo/Wn - (Po*(w/Wn))/(K*(1-(w/Wn)^2)))*SIN(2*PI()*Wn*Sheet2!A498) +(Po*SIN(2*PI()*w*Sheet2!A498))/(K*(1-(w/Wn)^2))</f>
        <v>-17.922855244410314</v>
      </c>
      <c r="C498">
        <f t="shared" si="30"/>
        <v>-11.093640372961939</v>
      </c>
      <c r="D498">
        <f t="shared" si="31"/>
        <v>-1812.0889533401596</v>
      </c>
      <c r="R498">
        <f t="shared" si="28"/>
        <v>0.496</v>
      </c>
      <c r="S498">
        <f t="shared" si="29"/>
        <v>-11.093640372961939</v>
      </c>
    </row>
    <row r="499" spans="1:19" x14ac:dyDescent="0.3">
      <c r="A499">
        <v>0.497</v>
      </c>
      <c r="B499">
        <f>Uo*COS(2*PI()*Wn*Sheet2!A499) + (Vo/Wn - (Po*(w/Wn))/(K*(1-(w/Wn)^2)))*SIN(2*PI()*Wn*Sheet2!A499) +(Po*SIN(2*PI()*w*Sheet2!A499))/(K*(1-(w/Wn)^2))</f>
        <v>-18.080336433847997</v>
      </c>
      <c r="C499">
        <f t="shared" si="30"/>
        <v>-11.196639875619949</v>
      </c>
      <c r="D499">
        <f t="shared" si="31"/>
        <v>-1828.91339100816</v>
      </c>
      <c r="R499">
        <f t="shared" si="28"/>
        <v>0.497</v>
      </c>
      <c r="S499">
        <f t="shared" si="29"/>
        <v>-11.196639875619949</v>
      </c>
    </row>
    <row r="500" spans="1:19" x14ac:dyDescent="0.3">
      <c r="A500">
        <v>0.498</v>
      </c>
      <c r="B500">
        <f>Uo*COS(2*PI()*Wn*Sheet2!A500) + (Vo/Wn - (Po*(w/Wn))/(K*(1-(w/Wn)^2)))*SIN(2*PI()*Wn*Sheet2!A500) +(Po*SIN(2*PI()*w*Sheet2!A500))/(K*(1-(w/Wn)^2))</f>
        <v>-18.231911124628198</v>
      </c>
      <c r="C500">
        <f t="shared" si="30"/>
        <v>-11.295798955758723</v>
      </c>
      <c r="D500">
        <f t="shared" si="31"/>
        <v>-1845.1105154598217</v>
      </c>
      <c r="R500">
        <f t="shared" si="28"/>
        <v>0.498</v>
      </c>
      <c r="S500">
        <f t="shared" si="29"/>
        <v>-11.295798955758723</v>
      </c>
    </row>
    <row r="501" spans="1:19" x14ac:dyDescent="0.3">
      <c r="A501">
        <v>0.499</v>
      </c>
      <c r="B501">
        <f>Uo*COS(2*PI()*Wn*Sheet2!A501) + (Vo/Wn - (Po*(w/Wn))/(K*(1-(w/Wn)^2)))*SIN(2*PI()*Wn*Sheet2!A501) +(Po*SIN(2*PI()*w*Sheet2!A501))/(K*(1-(w/Wn)^2))</f>
        <v>-18.377529800210599</v>
      </c>
      <c r="C501">
        <f t="shared" si="30"/>
        <v>-11.391092184393429</v>
      </c>
      <c r="D501">
        <f t="shared" si="31"/>
        <v>-1860.6761730015908</v>
      </c>
      <c r="R501">
        <f t="shared" si="28"/>
        <v>0.499</v>
      </c>
      <c r="S501">
        <f t="shared" si="29"/>
        <v>-11.391092184393429</v>
      </c>
    </row>
    <row r="502" spans="1:19" x14ac:dyDescent="0.3">
      <c r="A502">
        <v>0.5</v>
      </c>
      <c r="B502">
        <f>Uo*COS(2*PI()*Wn*Sheet2!A502) + (Vo/Wn - (Po*(w/Wn))/(K*(1-(w/Wn)^2)))*SIN(2*PI()*Wn*Sheet2!A502) +(Po*SIN(2*PI()*w*Sheet2!A502))/(K*(1-(w/Wn)^2))</f>
        <v>-18.517144889770702</v>
      </c>
      <c r="C502">
        <f t="shared" si="30"/>
        <v>-11.482495440218345</v>
      </c>
      <c r="D502">
        <f t="shared" si="31"/>
        <v>-1875.6064235425531</v>
      </c>
      <c r="R502">
        <f t="shared" si="28"/>
        <v>0.5</v>
      </c>
      <c r="S502">
        <f t="shared" si="29"/>
        <v>-11.482495440218345</v>
      </c>
    </row>
    <row r="503" spans="1:19" x14ac:dyDescent="0.3">
      <c r="A503">
        <v>0.501</v>
      </c>
      <c r="B503">
        <f>Uo*COS(2*PI()*Wn*Sheet2!A503) + (Vo/Wn - (Po*(w/Wn))/(K*(1-(w/Wn)^2)))*SIN(2*PI()*Wn*Sheet2!A503) +(Po*SIN(2*PI()*w*Sheet2!A503))/(K*(1-(w/Wn)^2))</f>
        <v>-18.650710783740216</v>
      </c>
      <c r="C503">
        <f t="shared" si="30"/>
        <v>-11.569985915118183</v>
      </c>
      <c r="D503">
        <f t="shared" si="31"/>
        <v>-1889.8975414946804</v>
      </c>
      <c r="R503">
        <f t="shared" si="28"/>
        <v>0.501</v>
      </c>
      <c r="S503">
        <f t="shared" si="29"/>
        <v>-11.569985915118183</v>
      </c>
    </row>
    <row r="504" spans="1:19" x14ac:dyDescent="0.3">
      <c r="A504">
        <v>0.502</v>
      </c>
      <c r="B504">
        <f>Uo*COS(2*PI()*Wn*Sheet2!A504) + (Vo/Wn - (Po*(w/Wn))/(K*(1-(w/Wn)^2)))*SIN(2*PI()*Wn*Sheet2!A504) +(Po*SIN(2*PI()*w*Sheet2!A504))/(K*(1-(w/Wn)^2))</f>
        <v>-18.778183848706863</v>
      </c>
      <c r="C504">
        <f t="shared" si="30"/>
        <v>-11.653542119241001</v>
      </c>
      <c r="D504">
        <f t="shared" si="31"/>
        <v>-1903.546016601465</v>
      </c>
      <c r="R504">
        <f t="shared" si="28"/>
        <v>0.502</v>
      </c>
      <c r="S504">
        <f t="shared" si="29"/>
        <v>-11.653542119241001</v>
      </c>
    </row>
    <row r="505" spans="1:19" x14ac:dyDescent="0.3">
      <c r="A505">
        <v>0.503</v>
      </c>
      <c r="B505">
        <f>Uo*COS(2*PI()*Wn*Sheet2!A505) + (Vo/Wn - (Po*(w/Wn))/(K*(1-(w/Wn)^2)))*SIN(2*PI()*Wn*Sheet2!A505) +(Po*SIN(2*PI()*w*Sheet2!A505))/(K*(1-(w/Wn)^2))</f>
        <v>-18.89952244166863</v>
      </c>
      <c r="C505">
        <f t="shared" si="30"/>
        <v>-11.733143885631634</v>
      </c>
      <c r="D505">
        <f t="shared" si="31"/>
        <v>-1916.5485546947671</v>
      </c>
      <c r="R505">
        <f t="shared" si="28"/>
        <v>0.503</v>
      </c>
      <c r="S505">
        <f t="shared" si="29"/>
        <v>-11.733143885631634</v>
      </c>
    </row>
    <row r="506" spans="1:19" x14ac:dyDescent="0.3">
      <c r="A506">
        <v>0.504</v>
      </c>
      <c r="B506">
        <f>Uo*COS(2*PI()*Wn*Sheet2!A506) + (Vo/Wn - (Po*(w/Wn))/(K*(1-(w/Wn)^2)))*SIN(2*PI()*Wn*Sheet2!A506) +(Po*SIN(2*PI()*w*Sheet2!A506))/(K*(1-(w/Wn)^2))</f>
        <v>-19.014686923637626</v>
      </c>
      <c r="C506">
        <f t="shared" si="30"/>
        <v>-11.80877237442494</v>
      </c>
      <c r="D506">
        <f t="shared" si="31"/>
        <v>-1928.9020783797582</v>
      </c>
      <c r="R506">
        <f t="shared" si="28"/>
        <v>0.504</v>
      </c>
      <c r="S506">
        <f t="shared" si="29"/>
        <v>-11.80877237442494</v>
      </c>
    </row>
    <row r="507" spans="1:19" x14ac:dyDescent="0.3">
      <c r="A507">
        <v>0.505</v>
      </c>
      <c r="B507">
        <f>Uo*COS(2*PI()*Wn*Sheet2!A507) + (Vo/Wn - (Po*(w/Wn))/(K*(1-(w/Wn)^2)))*SIN(2*PI()*Wn*Sheet2!A507) +(Po*SIN(2*PI()*w*Sheet2!A507))/(K*(1-(w/Wn)^2))</f>
        <v>-19.123639672589498</v>
      </c>
      <c r="C507">
        <f t="shared" si="30"/>
        <v>-11.880410076598436</v>
      </c>
      <c r="D507">
        <f t="shared" si="31"/>
        <v>-1940.6037276478969</v>
      </c>
      <c r="R507">
        <f t="shared" si="28"/>
        <v>0.505</v>
      </c>
      <c r="S507">
        <f t="shared" si="29"/>
        <v>-11.880410076598436</v>
      </c>
    </row>
    <row r="508" spans="1:19" x14ac:dyDescent="0.3">
      <c r="A508">
        <v>0.50600000000000001</v>
      </c>
      <c r="B508">
        <f>Uo*COS(2*PI()*Wn*Sheet2!A508) + (Vo/Wn - (Po*(w/Wn))/(K*(1-(w/Wn)^2)))*SIN(2*PI()*Wn*Sheet2!A508) +(Po*SIN(2*PI()*w*Sheet2!A508))/(K*(1-(w/Wn)^2))</f>
        <v>-19.226345095753711</v>
      </c>
      <c r="C508">
        <f t="shared" si="30"/>
        <v>-11.948040817283644</v>
      </c>
      <c r="D508">
        <f t="shared" si="31"/>
        <v>-1951.6508604178191</v>
      </c>
      <c r="R508">
        <f t="shared" si="28"/>
        <v>0.50600000000000001</v>
      </c>
      <c r="S508">
        <f t="shared" si="29"/>
        <v>-11.948040817283644</v>
      </c>
    </row>
    <row r="509" spans="1:19" x14ac:dyDescent="0.3">
      <c r="A509">
        <v>0.50700000000000001</v>
      </c>
      <c r="B509">
        <f>Uo*COS(2*PI()*Wn*Sheet2!A509) + (Vo/Wn - (Po*(w/Wn))/(K*(1-(w/Wn)^2)))*SIN(2*PI()*Wn*Sheet2!A509) +(Po*SIN(2*PI()*w*Sheet2!A509))/(K*(1-(w/Wn)^2))</f>
        <v>-19.322769641241123</v>
      </c>
      <c r="C509">
        <f t="shared" si="30"/>
        <v>-12.011649758636183</v>
      </c>
      <c r="D509">
        <f t="shared" si="31"/>
        <v>-1962.0410530041524</v>
      </c>
      <c r="R509">
        <f t="shared" si="28"/>
        <v>0.50700000000000001</v>
      </c>
      <c r="S509">
        <f t="shared" si="29"/>
        <v>-12.011649758636183</v>
      </c>
    </row>
    <row r="510" spans="1:19" x14ac:dyDescent="0.3">
      <c r="A510">
        <v>0.50800000000000001</v>
      </c>
      <c r="B510">
        <f>Uo*COS(2*PI()*Wn*Sheet2!A510) + (Vo/Wn - (Po*(w/Wn))/(K*(1-(w/Wn)^2)))*SIN(2*PI()*Wn*Sheet2!A510) +(Po*SIN(2*PI()*w*Sheet2!A510))/(K*(1-(w/Wn)^2))</f>
        <v>-19.412881809004666</v>
      </c>
      <c r="C510">
        <f t="shared" si="30"/>
        <v>-12.071223402264113</v>
      </c>
      <c r="D510">
        <f t="shared" si="31"/>
        <v>-1971.772100514175</v>
      </c>
      <c r="R510">
        <f t="shared" si="28"/>
        <v>0.50800000000000001</v>
      </c>
      <c r="S510">
        <f t="shared" si="29"/>
        <v>-12.071223402264113</v>
      </c>
    </row>
    <row r="511" spans="1:19" x14ac:dyDescent="0.3">
      <c r="A511">
        <v>0.50900000000000001</v>
      </c>
      <c r="B511">
        <f>Uo*COS(2*PI()*Wn*Sheet2!A511) + (Vo/Wn - (Po*(w/Wn))/(K*(1-(w/Wn)^2)))*SIN(2*PI()*Wn*Sheet2!A511) +(Po*SIN(2*PI()*w*Sheet2!A511))/(K*(1-(w/Wn)^2))</f>
        <v>-19.496652161129859</v>
      </c>
      <c r="C511">
        <f t="shared" si="30"/>
        <v>-12.126749591214885</v>
      </c>
      <c r="D511">
        <f t="shared" si="31"/>
        <v>-1980.8420171723717</v>
      </c>
      <c r="R511">
        <f t="shared" si="28"/>
        <v>0.50900000000000001</v>
      </c>
      <c r="S511">
        <f t="shared" si="29"/>
        <v>-12.126749591214885</v>
      </c>
    </row>
    <row r="512" spans="1:19" x14ac:dyDescent="0.3">
      <c r="A512">
        <v>0.51</v>
      </c>
      <c r="B512">
        <f>Uo*COS(2*PI()*Wn*Sheet2!A512) + (Vo/Wn - (Po*(w/Wn))/(K*(1-(w/Wn)^2)))*SIN(2*PI()*Wn*Sheet2!A512) +(Po*SIN(2*PI()*w*Sheet2!A512))/(K*(1-(w/Wn)^2))</f>
        <v>-19.574053331451559</v>
      </c>
      <c r="C512">
        <f t="shared" si="30"/>
        <v>-12.178217511520717</v>
      </c>
      <c r="D512">
        <f t="shared" si="31"/>
        <v>-1989.2490365728654</v>
      </c>
      <c r="R512">
        <f t="shared" si="28"/>
        <v>0.51</v>
      </c>
      <c r="S512">
        <f t="shared" si="29"/>
        <v>-12.178217511520717</v>
      </c>
    </row>
    <row r="513" spans="1:19" x14ac:dyDescent="0.3">
      <c r="A513">
        <v>0.51100000000000001</v>
      </c>
      <c r="B513">
        <f>Uo*COS(2*PI()*Wn*Sheet2!A513) + (Vo/Wn - (Po*(w/Wn))/(K*(1-(w/Wn)^2)))*SIN(2*PI()*Wn*Sheet2!A513) +(Po*SIN(2*PI()*w*Sheet2!A513))/(K*(1-(w/Wn)^2))</f>
        <v>-19.645060034494026</v>
      </c>
      <c r="C513">
        <f t="shared" si="30"/>
        <v>-12.225617693302992</v>
      </c>
      <c r="D513">
        <f t="shared" si="31"/>
        <v>-1996.9916118598126</v>
      </c>
      <c r="R513">
        <f t="shared" ref="R513:R576" si="32">A513</f>
        <v>0.51100000000000001</v>
      </c>
      <c r="S513">
        <f t="shared" ref="S513:S576" si="33">C513</f>
        <v>-12.225617693302992</v>
      </c>
    </row>
    <row r="514" spans="1:19" x14ac:dyDescent="0.3">
      <c r="A514">
        <v>0.51200000000000001</v>
      </c>
      <c r="B514">
        <f>Uo*COS(2*PI()*Wn*Sheet2!A514) + (Vo/Wn - (Po*(w/Wn))/(K*(1-(w/Wn)^2)))*SIN(2*PI()*Wn*Sheet2!A514) +(Po*SIN(2*PI()*w*Sheet2!A514))/(K*(1-(w/Wn)^2))</f>
        <v>-19.709649073731136</v>
      </c>
      <c r="C514">
        <f t="shared" ref="C514:C577" si="34">EXP(-zeta*Wn*A514*2*PI())*($H$1*COS(wnD*2*PI()*A514) + $H$2*SIN(wnD*2*PI()*A514)) + $H$3*SIN(w*2*PI()*A514) + $H$4*COS(w*2*PI()*A514)</f>
        <v>-12.268942011435847</v>
      </c>
      <c r="D514">
        <f t="shared" ref="D514:D577" si="35">K*C514</f>
        <v>-2004.068415835799</v>
      </c>
      <c r="R514">
        <f t="shared" si="32"/>
        <v>0.51200000000000001</v>
      </c>
      <c r="S514">
        <f t="shared" si="33"/>
        <v>-12.268942011435847</v>
      </c>
    </row>
    <row r="515" spans="1:19" x14ac:dyDescent="0.3">
      <c r="A515">
        <v>0.51300000000000001</v>
      </c>
      <c r="B515">
        <f>Uo*COS(2*PI()*Wn*Sheet2!A515) + (Vo/Wn - (Po*(w/Wn))/(K*(1-(w/Wn)^2)))*SIN(2*PI()*Wn*Sheet2!A515) +(Po*SIN(2*PI()*w*Sheet2!A515))/(K*(1-(w/Wn)^2))</f>
        <v>-19.767799349164296</v>
      </c>
      <c r="C515">
        <f t="shared" si="34"/>
        <v>-12.30818368576977</v>
      </c>
      <c r="D515">
        <f t="shared" si="35"/>
        <v>-2010.478340998362</v>
      </c>
      <c r="R515">
        <f t="shared" si="32"/>
        <v>0.51300000000000001</v>
      </c>
      <c r="S515">
        <f t="shared" si="33"/>
        <v>-12.30818368576977</v>
      </c>
    </row>
    <row r="516" spans="1:19" x14ac:dyDescent="0.3">
      <c r="A516">
        <v>0.51400000000000001</v>
      </c>
      <c r="B516">
        <f>Uo*COS(2*PI()*Wn*Sheet2!A516) + (Vo/Wn - (Po*(w/Wn))/(K*(1-(w/Wn)^2)))*SIN(2*PI()*Wn*Sheet2!A516) +(Po*SIN(2*PI()*w*Sheet2!A516))/(K*(1-(w/Wn)^2))</f>
        <v>-19.819491864215355</v>
      </c>
      <c r="C516">
        <f t="shared" si="34"/>
        <v>-12.343337280915689</v>
      </c>
      <c r="D516">
        <f t="shared" si="35"/>
        <v>-2016.220499504723</v>
      </c>
      <c r="R516">
        <f t="shared" si="32"/>
        <v>0.51400000000000001</v>
      </c>
      <c r="S516">
        <f t="shared" si="33"/>
        <v>-12.343337280915689</v>
      </c>
    </row>
    <row r="517" spans="1:19" x14ac:dyDescent="0.3">
      <c r="A517">
        <v>0.51500000000000001</v>
      </c>
      <c r="B517">
        <f>Uo*COS(2*PI()*Wn*Sheet2!A517) + (Vo/Wn - (Po*(w/Wn))/(K*(1-(w/Wn)^2)))*SIN(2*PI()*Wn*Sheet2!A517) +(Po*SIN(2*PI()*w*Sheet2!A517))/(K*(1-(w/Wn)^2))</f>
        <v>-19.864709731932479</v>
      </c>
      <c r="C517">
        <f t="shared" si="34"/>
        <v>-12.374398705590675</v>
      </c>
      <c r="D517">
        <f t="shared" si="35"/>
        <v>-2021.294223064911</v>
      </c>
      <c r="R517">
        <f t="shared" si="32"/>
        <v>0.51500000000000001</v>
      </c>
      <c r="S517">
        <f t="shared" si="33"/>
        <v>-12.374398705590675</v>
      </c>
    </row>
    <row r="518" spans="1:19" x14ac:dyDescent="0.3">
      <c r="A518">
        <v>0.51600000000000001</v>
      </c>
      <c r="B518">
        <f>Uo*COS(2*PI()*Wn*Sheet2!A518) + (Vo/Wn - (Po*(w/Wn))/(K*(1-(w/Wn)^2)))*SIN(2*PI()*Wn*Sheet2!A518) +(Po*SIN(2*PI()*w*Sheet2!A518))/(K*(1-(w/Wn)^2))</f>
        <v>-19.903438180506743</v>
      </c>
      <c r="C518">
        <f t="shared" si="34"/>
        <v>-12.401365211525992</v>
      </c>
      <c r="D518">
        <f t="shared" si="35"/>
        <v>-2025.6990627633988</v>
      </c>
      <c r="R518">
        <f t="shared" si="32"/>
        <v>0.51600000000000001</v>
      </c>
      <c r="S518">
        <f t="shared" si="33"/>
        <v>-12.401365211525992</v>
      </c>
    </row>
    <row r="519" spans="1:19" x14ac:dyDescent="0.3">
      <c r="A519">
        <v>0.51700000000000002</v>
      </c>
      <c r="B519">
        <f>Uo*COS(2*PI()*Wn*Sheet2!A519) + (Vo/Wn - (Po*(w/Wn))/(K*(1-(w/Wn)^2)))*SIN(2*PI()*Wn*Sheet2!A519) +(Po*SIN(2*PI()*w*Sheet2!A519))/(K*(1-(w/Wn)^2))</f>
        <v>-19.93566455809783</v>
      </c>
      <c r="C519">
        <f t="shared" si="34"/>
        <v>-12.424235391938902</v>
      </c>
      <c r="D519">
        <f t="shared" si="35"/>
        <v>-2029.4347888094799</v>
      </c>
      <c r="R519">
        <f t="shared" si="32"/>
        <v>0.51700000000000002</v>
      </c>
      <c r="S519">
        <f t="shared" si="33"/>
        <v>-12.424235391938902</v>
      </c>
    </row>
    <row r="520" spans="1:19" x14ac:dyDescent="0.3">
      <c r="A520">
        <v>0.51800000000000002</v>
      </c>
      <c r="B520">
        <f>Uo*COS(2*PI()*Wn*Sheet2!A520) + (Vo/Wn - (Po*(w/Wn))/(K*(1-(w/Wn)^2)))*SIN(2*PI()*Wn*Sheet2!A520) +(Po*SIN(2*PI()*w*Sheet2!A520))/(K*(1-(w/Wn)^2))</f>
        <v>-19.961378336967126</v>
      </c>
      <c r="C520">
        <f t="shared" si="34"/>
        <v>-12.443009179569305</v>
      </c>
      <c r="D520">
        <f t="shared" si="35"/>
        <v>-2032.5013902165638</v>
      </c>
      <c r="R520">
        <f t="shared" si="32"/>
        <v>0.51800000000000002</v>
      </c>
      <c r="S520">
        <f t="shared" si="33"/>
        <v>-12.443009179569305</v>
      </c>
    </row>
    <row r="521" spans="1:19" x14ac:dyDescent="0.3">
      <c r="A521">
        <v>0.51900000000000002</v>
      </c>
      <c r="B521">
        <f>Uo*COS(2*PI()*Wn*Sheet2!A521) + (Vo/Wn - (Po*(w/Wn))/(K*(1-(w/Wn)^2)))*SIN(2*PI()*Wn*Sheet2!A521) +(Po*SIN(2*PI()*w*Sheet2!A521))/(K*(1-(w/Wn)^2))</f>
        <v>-19.980571116916938</v>
      </c>
      <c r="C521">
        <f t="shared" si="34"/>
        <v>-12.457687844282745</v>
      </c>
      <c r="D521">
        <f t="shared" si="35"/>
        <v>-2034.8990744106393</v>
      </c>
      <c r="R521">
        <f t="shared" si="32"/>
        <v>0.51900000000000002</v>
      </c>
      <c r="S521">
        <f t="shared" si="33"/>
        <v>-12.457687844282745</v>
      </c>
    </row>
    <row r="522" spans="1:19" x14ac:dyDescent="0.3">
      <c r="A522">
        <v>0.52</v>
      </c>
      <c r="B522">
        <f>Uo*COS(2*PI()*Wn*Sheet2!A522) + (Vo/Wn - (Po*(w/Wn))/(K*(1-(w/Wn)^2)))*SIN(2*PI()*Wn*Sheet2!A522) +(Po*SIN(2*PI()*w*Sheet2!A522))/(K*(1-(w/Wn)^2))</f>
        <v>-19.993236628034683</v>
      </c>
      <c r="C522">
        <f t="shared" si="34"/>
        <v>-12.46827399024135</v>
      </c>
      <c r="D522">
        <f t="shared" si="35"/>
        <v>-2036.6282667681623</v>
      </c>
      <c r="R522">
        <f t="shared" si="32"/>
        <v>0.52</v>
      </c>
      <c r="S522">
        <f t="shared" si="33"/>
        <v>-12.46827399024135</v>
      </c>
    </row>
    <row r="523" spans="1:19" x14ac:dyDescent="0.3">
      <c r="A523">
        <v>0.52100000000000002</v>
      </c>
      <c r="B523">
        <f>Uo*COS(2*PI()*Wn*Sheet2!A523) + (Vo/Wn - (Po*(w/Wn))/(K*(1-(w/Wn)^2)))*SIN(2*PI()*Wn*Sheet2!A523) +(Po*SIN(2*PI()*w*Sheet2!A523))/(K*(1-(w/Wn)^2))</f>
        <v>-19.999370732741131</v>
      </c>
      <c r="C523">
        <f t="shared" si="34"/>
        <v>-12.474771552644356</v>
      </c>
      <c r="D523">
        <f t="shared" si="35"/>
        <v>-2037.689610083637</v>
      </c>
      <c r="R523">
        <f t="shared" si="32"/>
        <v>0.52100000000000002</v>
      </c>
      <c r="S523">
        <f t="shared" si="33"/>
        <v>-12.474771552644356</v>
      </c>
    </row>
    <row r="524" spans="1:19" x14ac:dyDescent="0.3">
      <c r="A524">
        <v>0.52200000000000002</v>
      </c>
      <c r="B524">
        <f>Uo*COS(2*PI()*Wn*Sheet2!A524) + (Vo/Wn - (Po*(w/Wn))/(K*(1-(w/Wn)^2)))*SIN(2*PI()*Wn*Sheet2!A524) +(Po*SIN(2*PI()*w*Sheet2!A524))/(K*(1-(w/Wn)^2))</f>
        <v>-19.998971427142088</v>
      </c>
      <c r="C524">
        <f t="shared" si="34"/>
        <v>-12.477185794040091</v>
      </c>
      <c r="D524">
        <f t="shared" si="35"/>
        <v>-2038.0839639671983</v>
      </c>
      <c r="R524">
        <f t="shared" si="32"/>
        <v>0.52200000000000002</v>
      </c>
      <c r="S524">
        <f t="shared" si="33"/>
        <v>-12.477185794040091</v>
      </c>
    </row>
    <row r="525" spans="1:19" x14ac:dyDescent="0.3">
      <c r="A525">
        <v>0.52300000000000002</v>
      </c>
      <c r="B525">
        <f>Uo*COS(2*PI()*Wn*Sheet2!A525) + (Vo/Wn - (Po*(w/Wn))/(K*(1-(w/Wn)^2)))*SIN(2*PI()*Wn*Sheet2!A525) +(Po*SIN(2*PI()*w*Sheet2!A525))/(K*(1-(w/Wn)^2))</f>
        <v>-19.99203884168303</v>
      </c>
      <c r="C525">
        <f t="shared" si="34"/>
        <v>-12.47552330021141</v>
      </c>
      <c r="D525">
        <f t="shared" si="35"/>
        <v>-2037.8124041725171</v>
      </c>
      <c r="R525">
        <f t="shared" si="32"/>
        <v>0.52300000000000002</v>
      </c>
      <c r="S525">
        <f t="shared" si="33"/>
        <v>-12.47552330021141</v>
      </c>
    </row>
    <row r="526" spans="1:19" x14ac:dyDescent="0.3">
      <c r="A526">
        <v>0.52400000000000002</v>
      </c>
      <c r="B526">
        <f>Uo*COS(2*PI()*Wn*Sheet2!A526) + (Vo/Wn - (Po*(w/Wn))/(K*(1-(w/Wn)^2)))*SIN(2*PI()*Wn*Sheet2!A526) +(Po*SIN(2*PI()*w*Sheet2!A526))/(K*(1-(w/Wn)^2))</f>
        <v>-19.978575241106469</v>
      </c>
      <c r="C526">
        <f t="shared" si="34"/>
        <v>-12.469791975636653</v>
      </c>
      <c r="D526">
        <f t="shared" si="35"/>
        <v>-2036.8762218553729</v>
      </c>
      <c r="R526">
        <f t="shared" si="32"/>
        <v>0.52400000000000002</v>
      </c>
      <c r="S526">
        <f t="shared" si="33"/>
        <v>-12.469791975636653</v>
      </c>
    </row>
    <row r="527" spans="1:19" x14ac:dyDescent="0.3">
      <c r="A527">
        <v>0.52500000000000002</v>
      </c>
      <c r="B527">
        <f>Uo*COS(2*PI()*Wn*Sheet2!A527) + (Vo/Wn - (Po*(w/Wn))/(K*(1-(w/Wn)^2)))*SIN(2*PI()*Wn*Sheet2!A527) +(Po*SIN(2*PI()*w*Sheet2!A527))/(K*(1-(w/Wn)^2))</f>
        <v>-19.958585023712136</v>
      </c>
      <c r="C527">
        <f t="shared" si="34"/>
        <v>-12.4600010385284</v>
      </c>
      <c r="D527">
        <f t="shared" si="35"/>
        <v>-2035.2769227632591</v>
      </c>
      <c r="R527">
        <f t="shared" si="32"/>
        <v>0.52500000000000002</v>
      </c>
      <c r="S527">
        <f t="shared" si="33"/>
        <v>-12.4600010385284</v>
      </c>
    </row>
    <row r="528" spans="1:19" x14ac:dyDescent="0.3">
      <c r="A528">
        <v>0.52600000000000002</v>
      </c>
      <c r="B528">
        <f>Uo*COS(2*PI()*Wn*Sheet2!A528) + (Vo/Wn - (Po*(w/Wn))/(K*(1-(w/Wn)^2)))*SIN(2*PI()*Wn*Sheet2!A528) +(Po*SIN(2*PI()*w*Sheet2!A528))/(K*(1-(w/Wn)^2))</f>
        <v>-19.932074719920109</v>
      </c>
      <c r="C528">
        <f t="shared" si="34"/>
        <v>-12.446161015452413</v>
      </c>
      <c r="D528">
        <f t="shared" si="35"/>
        <v>-2033.0162263564157</v>
      </c>
      <c r="R528">
        <f t="shared" si="32"/>
        <v>0.52600000000000002</v>
      </c>
      <c r="S528">
        <f t="shared" si="33"/>
        <v>-12.446161015452413</v>
      </c>
    </row>
    <row r="529" spans="1:19" x14ac:dyDescent="0.3">
      <c r="A529">
        <v>0.52700000000000002</v>
      </c>
      <c r="B529">
        <f>Uo*COS(2*PI()*Wn*Sheet2!A529) + (Vo/Wn - (Po*(w/Wn))/(K*(1-(w/Wn)^2)))*SIN(2*PI()*Wn*Sheet2!A529) +(Po*SIN(2*PI()*w*Sheet2!A529))/(K*(1-(w/Wn)^2))</f>
        <v>-19.899052990137481</v>
      </c>
      <c r="C529">
        <f t="shared" si="34"/>
        <v>-12.428283735529268</v>
      </c>
      <c r="D529">
        <f t="shared" si="35"/>
        <v>-2030.0960648606945</v>
      </c>
      <c r="R529">
        <f t="shared" si="32"/>
        <v>0.52700000000000002</v>
      </c>
      <c r="S529">
        <f t="shared" si="33"/>
        <v>-12.428283735529268</v>
      </c>
    </row>
    <row r="530" spans="1:19" x14ac:dyDescent="0.3">
      <c r="A530">
        <v>0.52800000000000002</v>
      </c>
      <c r="B530">
        <f>Uo*COS(2*PI()*Wn*Sheet2!A530) + (Vo/Wn - (Po*(w/Wn))/(K*(1-(w/Wn)^2)))*SIN(2*PI()*Wn*Sheet2!A530) +(Po*SIN(2*PI()*w*Sheet2!A530))/(K*(1-(w/Wn)^2))</f>
        <v>-19.859530621929139</v>
      </c>
      <c r="C530">
        <f t="shared" si="34"/>
        <v>-12.406382324221294</v>
      </c>
      <c r="D530">
        <f t="shared" si="35"/>
        <v>-2026.5185822526892</v>
      </c>
      <c r="R530">
        <f t="shared" si="32"/>
        <v>0.52800000000000002</v>
      </c>
      <c r="S530">
        <f t="shared" si="33"/>
        <v>-12.406382324221294</v>
      </c>
    </row>
    <row r="531" spans="1:19" x14ac:dyDescent="0.3">
      <c r="A531">
        <v>0.52900000000000003</v>
      </c>
      <c r="B531">
        <f>Uo*COS(2*PI()*Wn*Sheet2!A531) + (Vo/Wn - (Po*(w/Wn))/(K*(1-(w/Wn)^2)))*SIN(2*PI()*Wn*Sheet2!A531) +(Po*SIN(2*PI()*w*Sheet2!A531))/(K*(1-(w/Wn)^2))</f>
        <v>-19.813520526493711</v>
      </c>
      <c r="C531">
        <f t="shared" si="34"/>
        <v>-12.380471196707658</v>
      </c>
      <c r="D531">
        <f t="shared" si="35"/>
        <v>-2022.2861331775878</v>
      </c>
      <c r="R531">
        <f t="shared" si="32"/>
        <v>0.52900000000000003</v>
      </c>
      <c r="S531">
        <f t="shared" si="33"/>
        <v>-12.380471196707658</v>
      </c>
    </row>
    <row r="532" spans="1:19" x14ac:dyDescent="0.3">
      <c r="A532">
        <v>0.53</v>
      </c>
      <c r="B532">
        <f>Uo*COS(2*PI()*Wn*Sheet2!A532) + (Vo/Wn - (Po*(w/Wn))/(K*(1-(w/Wn)^2)))*SIN(2*PI()*Wn*Sheet2!A532) +(Po*SIN(2*PI()*w*Sheet2!A532))/(K*(1-(w/Wn)^2))</f>
        <v>-19.761037734445686</v>
      </c>
      <c r="C532">
        <f t="shared" si="34"/>
        <v>-12.350566050850457</v>
      </c>
      <c r="D532">
        <f t="shared" si="35"/>
        <v>-2017.4012818002225</v>
      </c>
      <c r="R532">
        <f t="shared" si="32"/>
        <v>0.53</v>
      </c>
      <c r="S532">
        <f t="shared" si="33"/>
        <v>-12.350566050850457</v>
      </c>
    </row>
    <row r="533" spans="1:19" x14ac:dyDescent="0.3">
      <c r="A533">
        <v>0.53100000000000003</v>
      </c>
      <c r="B533">
        <f>Uo*COS(2*PI()*Wn*Sheet2!A533) + (Vo/Wn - (Po*(w/Wn))/(K*(1-(w/Wn)^2)))*SIN(2*PI()*Wn*Sheet2!A533) +(Po*SIN(2*PI()*w*Sheet2!A533))/(K*(1-(w/Wn)^2))</f>
        <v>-19.702099390905236</v>
      </c>
      <c r="C533">
        <f t="shared" si="34"/>
        <v>-12.316683859754859</v>
      </c>
      <c r="D533">
        <f t="shared" si="35"/>
        <v>-2011.8668005898041</v>
      </c>
      <c r="R533">
        <f t="shared" si="32"/>
        <v>0.53100000000000003</v>
      </c>
      <c r="S533">
        <f t="shared" si="33"/>
        <v>-12.316683859754859</v>
      </c>
    </row>
    <row r="534" spans="1:19" x14ac:dyDescent="0.3">
      <c r="A534">
        <v>0.53200000000000003</v>
      </c>
      <c r="B534">
        <f>Uo*COS(2*PI()*Wn*Sheet2!A534) + (Vo/Wn - (Po*(w/Wn))/(K*(1-(w/Wn)^2)))*SIN(2*PI()*Wn*Sheet2!A534) +(Po*SIN(2*PI()*w*Sheet2!A534))/(K*(1-(w/Wn)^2))</f>
        <v>-19.636724749897198</v>
      </c>
      <c r="C534">
        <f t="shared" si="34"/>
        <v>-12.278842863926444</v>
      </c>
      <c r="D534">
        <f t="shared" si="35"/>
        <v>-2005.6856690388674</v>
      </c>
      <c r="R534">
        <f t="shared" si="32"/>
        <v>0.53200000000000003</v>
      </c>
      <c r="S534">
        <f t="shared" si="33"/>
        <v>-12.278842863926444</v>
      </c>
    </row>
    <row r="535" spans="1:19" x14ac:dyDescent="0.3">
      <c r="A535">
        <v>0.53300000000000003</v>
      </c>
      <c r="B535">
        <f>Uo*COS(2*PI()*Wn*Sheet2!A535) + (Vo/Wn - (Po*(w/Wn))/(K*(1-(w/Wn)^2)))*SIN(2*PI()*Wn*Sheet2!A535) +(Po*SIN(2*PI()*w*Sheet2!A535))/(K*(1-(w/Wn)^2))</f>
        <v>-19.564935168061204</v>
      </c>
      <c r="C535">
        <f t="shared" si="34"/>
        <v>-12.237062563029099</v>
      </c>
      <c r="D535">
        <f t="shared" si="35"/>
        <v>-1998.8610723169627</v>
      </c>
      <c r="R535">
        <f t="shared" si="32"/>
        <v>0.53300000000000003</v>
      </c>
      <c r="S535">
        <f t="shared" si="33"/>
        <v>-12.237062563029099</v>
      </c>
    </row>
    <row r="536" spans="1:19" x14ac:dyDescent="0.3">
      <c r="A536">
        <v>0.53400000000000003</v>
      </c>
      <c r="B536">
        <f>Uo*COS(2*PI()*Wn*Sheet2!A536) + (Vo/Wn - (Po*(w/Wn))/(K*(1-(w/Wn)^2)))*SIN(2*PI()*Wn*Sheet2!A536) +(Po*SIN(2*PI()*w*Sheet2!A536))/(K*(1-(w/Wn)^2))</f>
        <v>-19.486754097674822</v>
      </c>
      <c r="C536">
        <f t="shared" si="34"/>
        <v>-12.19136370724674</v>
      </c>
      <c r="D536">
        <f t="shared" si="35"/>
        <v>-1991.3963998596394</v>
      </c>
      <c r="R536">
        <f t="shared" si="32"/>
        <v>0.53400000000000003</v>
      </c>
      <c r="S536">
        <f t="shared" si="33"/>
        <v>-12.19136370724674</v>
      </c>
    </row>
    <row r="537" spans="1:19" x14ac:dyDescent="0.3">
      <c r="A537">
        <v>0.53500000000000003</v>
      </c>
      <c r="B537">
        <f>Uo*COS(2*PI()*Wn*Sheet2!A537) + (Vo/Wn - (Po*(w/Wn))/(K*(1-(w/Wn)^2)))*SIN(2*PI()*Wn*Sheet2!A537) +(Po*SIN(2*PI()*w*Sheet2!A537))/(K*(1-(w/Wn)^2))</f>
        <v>-19.402207078992177</v>
      </c>
      <c r="C537">
        <f t="shared" si="34"/>
        <v>-12.141768288252569</v>
      </c>
      <c r="D537">
        <f t="shared" si="35"/>
        <v>-1983.2952438933207</v>
      </c>
      <c r="R537">
        <f t="shared" si="32"/>
        <v>0.53500000000000003</v>
      </c>
      <c r="S537">
        <f t="shared" si="33"/>
        <v>-12.141768288252569</v>
      </c>
    </row>
    <row r="538" spans="1:19" x14ac:dyDescent="0.3">
      <c r="A538">
        <v>0.53600000000000003</v>
      </c>
      <c r="B538">
        <f>Uo*COS(2*PI()*Wn*Sheet2!A538) + (Vo/Wn - (Po*(w/Wn))/(K*(1-(w/Wn)^2)))*SIN(2*PI()*Wn*Sheet2!A538) +(Po*SIN(2*PI()*w*Sheet2!A538))/(K*(1-(w/Wn)^2))</f>
        <v>-19.31132173190046</v>
      </c>
      <c r="C538">
        <f t="shared" si="34"/>
        <v>-12.088299529789385</v>
      </c>
      <c r="D538">
        <f t="shared" si="35"/>
        <v>-1974.5613978966455</v>
      </c>
      <c r="R538">
        <f t="shared" si="32"/>
        <v>0.53600000000000003</v>
      </c>
      <c r="S538">
        <f t="shared" si="33"/>
        <v>-12.088299529789385</v>
      </c>
    </row>
    <row r="539" spans="1:19" x14ac:dyDescent="0.3">
      <c r="A539">
        <v>0.53700000000000003</v>
      </c>
      <c r="B539">
        <f>Uo*COS(2*PI()*Wn*Sheet2!A539) + (Vo/Wn - (Po*(w/Wn))/(K*(1-(w/Wn)^2)))*SIN(2*PI()*Wn*Sheet2!A539) +(Po*SIN(2*PI()*w*Sheet2!A539))/(K*(1-(w/Wn)^2))</f>
        <v>-19.214127746896978</v>
      </c>
      <c r="C539">
        <f t="shared" si="34"/>
        <v>-12.030981877864752</v>
      </c>
      <c r="D539">
        <f t="shared" si="35"/>
        <v>-1965.1988549988994</v>
      </c>
      <c r="R539">
        <f t="shared" si="32"/>
        <v>0.53700000000000003</v>
      </c>
      <c r="S539">
        <f t="shared" si="33"/>
        <v>-12.030981877864752</v>
      </c>
    </row>
    <row r="540" spans="1:19" x14ac:dyDescent="0.3">
      <c r="A540">
        <v>0.53800000000000003</v>
      </c>
      <c r="B540">
        <f>Uo*COS(2*PI()*Wn*Sheet2!A540) + (Vo/Wn - (Po*(w/Wn))/(K*(1-(w/Wn)^2)))*SIN(2*PI()*Wn*Sheet2!A540) +(Po*SIN(2*PI()*w*Sheet2!A540))/(K*(1-(w/Wn)^2))</f>
        <v>-19.110656875389918</v>
      </c>
      <c r="C540">
        <f t="shared" si="34"/>
        <v>-11.969840990565048</v>
      </c>
      <c r="D540">
        <f t="shared" si="35"/>
        <v>-1955.2118063161929</v>
      </c>
      <c r="R540">
        <f t="shared" si="32"/>
        <v>0.53800000000000003</v>
      </c>
      <c r="S540">
        <f t="shared" si="33"/>
        <v>-11.969840990565048</v>
      </c>
    </row>
    <row r="541" spans="1:19" x14ac:dyDescent="0.3">
      <c r="A541">
        <v>0.53900000000000003</v>
      </c>
      <c r="B541">
        <f>Uo*COS(2*PI()*Wn*Sheet2!A541) + (Vo/Wn - (Po*(w/Wn))/(K*(1-(w/Wn)^2)))*SIN(2*PI()*Wn*Sheet2!A541) +(Po*SIN(2*PI()*w*Sheet2!A541))/(K*(1-(w/Wn)^2))</f>
        <v>-19.000942919325695</v>
      </c>
      <c r="C541">
        <f t="shared" si="34"/>
        <v>-11.904903727492144</v>
      </c>
      <c r="D541">
        <f t="shared" si="35"/>
        <v>-1944.6046392259968</v>
      </c>
      <c r="R541">
        <f t="shared" si="32"/>
        <v>0.53900000000000003</v>
      </c>
      <c r="S541">
        <f t="shared" si="33"/>
        <v>-11.904903727492144</v>
      </c>
    </row>
    <row r="542" spans="1:19" x14ac:dyDescent="0.3">
      <c r="A542">
        <v>0.54</v>
      </c>
      <c r="B542">
        <f>Uo*COS(2*PI()*Wn*Sheet2!A542) + (Vo/Wn - (Po*(w/Wn))/(K*(1-(w/Wn)^2)))*SIN(2*PI()*Wn*Sheet2!A542) +(Po*SIN(2*PI()*w*Sheet2!A542))/(K*(1-(w/Wn)^2))</f>
        <v>-18.885021720146582</v>
      </c>
      <c r="C542">
        <f t="shared" si="34"/>
        <v>-11.836198138827168</v>
      </c>
      <c r="D542">
        <f t="shared" si="35"/>
        <v>-1933.3819355807645</v>
      </c>
      <c r="R542">
        <f t="shared" si="32"/>
        <v>0.54</v>
      </c>
      <c r="S542">
        <f t="shared" si="33"/>
        <v>-11.836198138827168</v>
      </c>
    </row>
    <row r="543" spans="1:19" x14ac:dyDescent="0.3">
      <c r="A543">
        <v>0.54100000000000004</v>
      </c>
      <c r="B543">
        <f>Uo*COS(2*PI()*Wn*Sheet2!A543) + (Vo/Wn - (Po*(w/Wn))/(K*(1-(w/Wn)^2)))*SIN(2*PI()*Wn*Sheet2!A543) +(Po*SIN(2*PI()*w*Sheet2!A543))/(K*(1-(w/Wn)^2))</f>
        <v>-18.762931147081922</v>
      </c>
      <c r="C543">
        <f t="shared" si="34"/>
        <v>-11.763753454025284</v>
      </c>
      <c r="D543">
        <f t="shared" si="35"/>
        <v>-1921.5484698612829</v>
      </c>
      <c r="R543">
        <f t="shared" si="32"/>
        <v>0.54100000000000004</v>
      </c>
      <c r="S543">
        <f t="shared" si="33"/>
        <v>-11.763753454025284</v>
      </c>
    </row>
    <row r="544" spans="1:19" x14ac:dyDescent="0.3">
      <c r="A544">
        <v>0.54200000000000004</v>
      </c>
      <c r="B544">
        <f>Uo*COS(2*PI()*Wn*Sheet2!A544) + (Vo/Wn - (Po*(w/Wn))/(K*(1-(w/Wn)^2)))*SIN(2*PI()*Wn*Sheet2!A544) +(Po*SIN(2*PI()*w*Sheet2!A544))/(K*(1-(w/Wn)^2))</f>
        <v>-18.634711084777052</v>
      </c>
      <c r="C544">
        <f t="shared" si="34"/>
        <v>-11.687600070146107</v>
      </c>
      <c r="D544">
        <f t="shared" si="35"/>
        <v>-1909.1092072705048</v>
      </c>
      <c r="R544">
        <f t="shared" si="32"/>
        <v>0.54200000000000004</v>
      </c>
      <c r="S544">
        <f t="shared" si="33"/>
        <v>-11.687600070146107</v>
      </c>
    </row>
    <row r="545" spans="1:19" x14ac:dyDescent="0.3">
      <c r="A545">
        <v>0.54300000000000004</v>
      </c>
      <c r="B545">
        <f>Uo*COS(2*PI()*Wn*Sheet2!A545) + (Vo/Wn - (Po*(w/Wn))/(K*(1-(w/Wn)^2)))*SIN(2*PI()*Wn*Sheet2!A545) +(Po*SIN(2*PI()*w*Sheet2!A545))/(K*(1-(w/Wn)^2))</f>
        <v>-18.500403420263673</v>
      </c>
      <c r="C545">
        <f t="shared" si="34"/>
        <v>-11.607769539824012</v>
      </c>
      <c r="D545">
        <f t="shared" si="35"/>
        <v>-1896.0693017685626</v>
      </c>
      <c r="R545">
        <f t="shared" si="32"/>
        <v>0.54300000000000004</v>
      </c>
      <c r="S545">
        <f t="shared" si="33"/>
        <v>-11.607769539824012</v>
      </c>
    </row>
    <row r="546" spans="1:19" x14ac:dyDescent="0.3">
      <c r="A546">
        <v>0.54400000000000004</v>
      </c>
      <c r="B546">
        <f>Uo*COS(2*PI()*Wn*Sheet2!A546) + (Vo/Wn - (Po*(w/Wn))/(K*(1-(w/Wn)^2)))*SIN(2*PI()*Wn*Sheet2!A546) +(Po*SIN(2*PI()*w*Sheet2!A546))/(K*(1-(w/Wn)^2))</f>
        <v>-18.360052029276265</v>
      </c>
      <c r="C546">
        <f t="shared" si="34"/>
        <v>-11.524294558883065</v>
      </c>
      <c r="D546">
        <f t="shared" si="35"/>
        <v>-1882.4340940497295</v>
      </c>
      <c r="R546">
        <f t="shared" si="32"/>
        <v>0.54400000000000004</v>
      </c>
      <c r="S546">
        <f t="shared" si="33"/>
        <v>-11.524294558883065</v>
      </c>
    </row>
    <row r="547" spans="1:19" x14ac:dyDescent="0.3">
      <c r="A547">
        <v>0.54500000000000004</v>
      </c>
      <c r="B547">
        <f>Uo*COS(2*PI()*Wn*Sheet2!A547) + (Vo/Wn - (Po*(w/Wn))/(K*(1-(w/Wn)^2)))*SIN(2*PI()*Wn*Sheet2!A547) +(Po*SIN(2*PI()*w*Sheet2!A547))/(K*(1-(w/Wn)^2))</f>
        <v>-18.213702761918615</v>
      </c>
      <c r="C547">
        <f t="shared" si="34"/>
        <v>-11.437208953601138</v>
      </c>
      <c r="D547">
        <f t="shared" si="35"/>
        <v>-1868.2091094620787</v>
      </c>
      <c r="R547">
        <f t="shared" si="32"/>
        <v>0.54500000000000004</v>
      </c>
      <c r="S547">
        <f t="shared" si="33"/>
        <v>-11.437208953601138</v>
      </c>
    </row>
    <row r="548" spans="1:19" x14ac:dyDescent="0.3">
      <c r="A548">
        <v>0.54600000000000004</v>
      </c>
      <c r="B548">
        <f>Uo*COS(2*PI()*Wn*Sheet2!A548) + (Vo/Wn - (Po*(w/Wn))/(K*(1-(w/Wn)^2)))*SIN(2*PI()*Wn*Sheet2!A548) +(Po*SIN(2*PI()*w*Sheet2!A548))/(K*(1-(w/Wn)^2))</f>
        <v>-18.061403427685573</v>
      </c>
      <c r="C548">
        <f t="shared" si="34"/>
        <v>-11.346547667628155</v>
      </c>
      <c r="D548">
        <f t="shared" si="35"/>
        <v>-1853.4000558706477</v>
      </c>
      <c r="R548">
        <f t="shared" si="32"/>
        <v>0.54600000000000004</v>
      </c>
      <c r="S548">
        <f t="shared" si="33"/>
        <v>-11.346547667628155</v>
      </c>
    </row>
    <row r="549" spans="1:19" x14ac:dyDescent="0.3">
      <c r="A549">
        <v>0.54700000000000004</v>
      </c>
      <c r="B549">
        <f>Uo*COS(2*PI()*Wn*Sheet2!A549) + (Vo/Wn - (Po*(w/Wn))/(K*(1-(w/Wn)^2)))*SIN(2*PI()*Wn*Sheet2!A549) +(Po*SIN(2*PI()*w*Sheet2!A549))/(K*(1-(w/Wn)^2))</f>
        <v>-17.903203779844503</v>
      </c>
      <c r="C549">
        <f t="shared" si="34"/>
        <v>-11.252346748563129</v>
      </c>
      <c r="D549">
        <f t="shared" si="35"/>
        <v>-1838.0128214648648</v>
      </c>
      <c r="R549">
        <f t="shared" si="32"/>
        <v>0.54700000000000004</v>
      </c>
      <c r="S549">
        <f t="shared" si="33"/>
        <v>-11.252346748563129</v>
      </c>
    </row>
    <row r="550" spans="1:19" x14ac:dyDescent="0.3">
      <c r="A550">
        <v>0.54800000000000004</v>
      </c>
      <c r="B550">
        <f>Uo*COS(2*PI()*Wn*Sheet2!A550) + (Vo/Wn - (Po*(w/Wn))/(K*(1-(w/Wn)^2)))*SIN(2*PI()*Wn*Sheet2!A550) +(Po*SIN(2*PI()*w*Sheet2!A550))/(K*(1-(w/Wn)^2))</f>
        <v>-17.739155499181965</v>
      </c>
      <c r="C550">
        <f t="shared" si="34"/>
        <v>-11.154643334195285</v>
      </c>
      <c r="D550">
        <f t="shared" si="35"/>
        <v>-1822.0534725111079</v>
      </c>
      <c r="R550">
        <f t="shared" si="32"/>
        <v>0.54800000000000004</v>
      </c>
      <c r="S550">
        <f t="shared" si="33"/>
        <v>-11.154643334195285</v>
      </c>
    </row>
    <row r="551" spans="1:19" x14ac:dyDescent="0.3">
      <c r="A551">
        <v>0.54900000000000004</v>
      </c>
      <c r="B551">
        <f>Uo*COS(2*PI()*Wn*Sheet2!A551) + (Vo/Wn - (Po*(w/Wn))/(K*(1-(w/Wn)^2)))*SIN(2*PI()*Wn*Sheet2!A551) +(Po*SIN(2*PI()*w*Sheet2!A551))/(K*(1-(w/Wn)^2))</f>
        <v>-17.569312177120473</v>
      </c>
      <c r="C551">
        <f t="shared" si="34"/>
        <v>-11.053475638414037</v>
      </c>
      <c r="D551">
        <f t="shared" si="35"/>
        <v>-1805.5282510511722</v>
      </c>
      <c r="R551">
        <f t="shared" si="32"/>
        <v>0.54900000000000004</v>
      </c>
      <c r="S551">
        <f t="shared" si="33"/>
        <v>-11.053475638414037</v>
      </c>
    </row>
    <row r="552" spans="1:19" x14ac:dyDescent="0.3">
      <c r="A552">
        <v>0.55000000000000004</v>
      </c>
      <c r="B552">
        <f>Uo*COS(2*PI()*Wn*Sheet2!A552) + (Vo/Wn - (Po*(w/Wn))/(K*(1-(w/Wn)^2)))*SIN(2*PI()*Wn*Sheet2!A552) +(Po*SIN(2*PI()*w*Sheet2!A552))/(K*(1-(w/Wn)^2))</f>
        <v>-17.393729298211316</v>
      </c>
      <c r="C552">
        <f t="shared" si="34"/>
        <v>-10.948882936793366</v>
      </c>
      <c r="D552">
        <f t="shared" si="35"/>
        <v>-1788.4435725475535</v>
      </c>
      <c r="R552">
        <f t="shared" si="32"/>
        <v>0.55000000000000004</v>
      </c>
      <c r="S552">
        <f t="shared" si="33"/>
        <v>-10.948882936793366</v>
      </c>
    </row>
    <row r="553" spans="1:19" x14ac:dyDescent="0.3">
      <c r="A553">
        <v>0.55100000000000005</v>
      </c>
      <c r="B553">
        <f>Uo*COS(2*PI()*Wn*Sheet2!A553) + (Vo/Wn - (Po*(w/Wn))/(K*(1-(w/Wn)^2)))*SIN(2*PI()*Wn*Sheet2!A553) +(Po*SIN(2*PI()*w*Sheet2!A553))/(K*(1-(w/Wn)^2))</f>
        <v>-17.212464222008713</v>
      </c>
      <c r="C553">
        <f t="shared" si="34"/>
        <v>-10.840905551855515</v>
      </c>
      <c r="D553">
        <f t="shared" si="35"/>
        <v>-1770.8060234763466</v>
      </c>
      <c r="R553">
        <f t="shared" si="32"/>
        <v>0.55100000000000005</v>
      </c>
      <c r="S553">
        <f t="shared" si="33"/>
        <v>-10.840905551855515</v>
      </c>
    </row>
    <row r="554" spans="1:19" x14ac:dyDescent="0.3">
      <c r="A554">
        <v>0.55200000000000005</v>
      </c>
      <c r="B554">
        <f>Uo*COS(2*PI()*Wn*Sheet2!A554) + (Vo/Wn - (Po*(w/Wn))/(K*(1-(w/Wn)^2)))*SIN(2*PI()*Wn*Sheet2!A554) +(Po*SIN(2*PI()*w*Sheet2!A554))/(K*(1-(w/Wn)^2))</f>
        <v>-17.02557616433166</v>
      </c>
      <c r="C554">
        <f t="shared" si="34"/>
        <v>-10.729584838019793</v>
      </c>
      <c r="D554">
        <f t="shared" si="35"/>
        <v>-1752.6223588687121</v>
      </c>
      <c r="R554">
        <f t="shared" si="32"/>
        <v>0.55200000000000005</v>
      </c>
      <c r="S554">
        <f t="shared" si="33"/>
        <v>-10.729584838019793</v>
      </c>
    </row>
    <row r="555" spans="1:19" x14ac:dyDescent="0.3">
      <c r="A555">
        <v>0.55300000000000005</v>
      </c>
      <c r="B555">
        <f>Uo*COS(2*PI()*Wn*Sheet2!A555) + (Vo/Wn - (Po*(w/Wn))/(K*(1-(w/Wn)^2)))*SIN(2*PI()*Wn*Sheet2!A555) +(Po*SIN(2*PI()*w*Sheet2!A555))/(K*(1-(w/Wn)^2))</f>
        <v>-16.833126177919194</v>
      </c>
      <c r="C555">
        <f t="shared" si="34"/>
        <v>-10.614963166241589</v>
      </c>
      <c r="D555">
        <f t="shared" si="35"/>
        <v>-1733.8994998017376</v>
      </c>
      <c r="R555">
        <f t="shared" si="32"/>
        <v>0.55300000000000005</v>
      </c>
      <c r="S555">
        <f t="shared" si="33"/>
        <v>-10.614963166241589</v>
      </c>
    </row>
    <row r="556" spans="1:19" x14ac:dyDescent="0.3">
      <c r="A556">
        <v>0.55400000000000005</v>
      </c>
      <c r="B556">
        <f>Uo*COS(2*PI()*Wn*Sheet2!A556) + (Vo/Wn - (Po*(w/Wn))/(K*(1-(w/Wn)^2)))*SIN(2*PI()*Wn*Sheet2!A556) +(Po*SIN(2*PI()*w*Sheet2!A556))/(K*(1-(w/Wn)^2))</f>
        <v>-16.635177132485598</v>
      </c>
      <c r="C556">
        <f t="shared" si="34"/>
        <v>-10.497083908347417</v>
      </c>
      <c r="D556">
        <f t="shared" si="35"/>
        <v>-1714.644530839648</v>
      </c>
      <c r="R556">
        <f t="shared" si="32"/>
        <v>0.55400000000000005</v>
      </c>
      <c r="S556">
        <f t="shared" si="33"/>
        <v>-10.497083908347417</v>
      </c>
    </row>
    <row r="557" spans="1:19" x14ac:dyDescent="0.3">
      <c r="A557">
        <v>0.55500000000000005</v>
      </c>
      <c r="B557">
        <f>Uo*COS(2*PI()*Wn*Sheet2!A557) + (Vo/Wn - (Po*(w/Wn))/(K*(1-(w/Wn)^2)))*SIN(2*PI()*Wn*Sheet2!A557) +(Po*SIN(2*PI()*w*Sheet2!A557))/(K*(1-(w/Wn)^2))</f>
        <v>-16.431793694182193</v>
      </c>
      <c r="C557">
        <f t="shared" si="34"/>
        <v>-10.375991421071616</v>
      </c>
      <c r="D557">
        <f t="shared" si="35"/>
        <v>-1694.8646974262836</v>
      </c>
      <c r="R557">
        <f t="shared" si="32"/>
        <v>0.55500000000000005</v>
      </c>
      <c r="S557">
        <f t="shared" si="33"/>
        <v>-10.375991421071616</v>
      </c>
    </row>
    <row r="558" spans="1:19" x14ac:dyDescent="0.3">
      <c r="A558">
        <v>0.55600000000000005</v>
      </c>
      <c r="B558">
        <f>Uo*COS(2*PI()*Wn*Sheet2!A558) + (Vo/Wn - (Po*(w/Wn))/(K*(1-(w/Wn)^2)))*SIN(2*PI()*Wn*Sheet2!A558) +(Po*SIN(2*PI()*w*Sheet2!A558))/(K*(1-(w/Wn)^2))</f>
        <v>-16.223042304472003</v>
      </c>
      <c r="C558">
        <f t="shared" si="34"/>
        <v>-10.251731029800318</v>
      </c>
      <c r="D558">
        <f t="shared" si="35"/>
        <v>-1674.5674032297595</v>
      </c>
      <c r="R558">
        <f t="shared" si="32"/>
        <v>0.55600000000000005</v>
      </c>
      <c r="S558">
        <f t="shared" si="33"/>
        <v>-10.251731029800318</v>
      </c>
    </row>
    <row r="559" spans="1:19" x14ac:dyDescent="0.3">
      <c r="A559">
        <v>0.55700000000000005</v>
      </c>
      <c r="B559">
        <f>Uo*COS(2*PI()*Wn*Sheet2!A559) + (Vo/Wn - (Po*(w/Wn))/(K*(1-(w/Wn)^2)))*SIN(2*PI()*Wn*Sheet2!A559) +(Po*SIN(2*PI()*w*Sheet2!A559))/(K*(1-(w/Wn)^2))</f>
        <v>-16.008991158424756</v>
      </c>
      <c r="C559">
        <f t="shared" si="34"/>
        <v>-10.12434901202873</v>
      </c>
      <c r="D559">
        <f t="shared" si="35"/>
        <v>-1653.7602074402998</v>
      </c>
      <c r="R559">
        <f t="shared" si="32"/>
        <v>0.55700000000000005</v>
      </c>
      <c r="S559">
        <f t="shared" si="33"/>
        <v>-10.12434901202873</v>
      </c>
    </row>
    <row r="560" spans="1:19" x14ac:dyDescent="0.3">
      <c r="A560">
        <v>0.55800000000000005</v>
      </c>
      <c r="B560">
        <f>Uo*COS(2*PI()*Wn*Sheet2!A560) + (Vo/Wn - (Po*(w/Wn))/(K*(1-(w/Wn)^2)))*SIN(2*PI()*Wn*Sheet2!A560) +(Po*SIN(2*PI()*w*Sheet2!A560))/(K*(1-(w/Wn)^2))</f>
        <v>-15.789710182438704</v>
      </c>
      <c r="C560">
        <f t="shared" si="34"/>
        <v>-9.9938925805374268</v>
      </c>
      <c r="D560">
        <f t="shared" si="35"/>
        <v>-1632.4508220221703</v>
      </c>
      <c r="R560">
        <f t="shared" si="32"/>
        <v>0.55800000000000005</v>
      </c>
      <c r="S560">
        <f t="shared" si="33"/>
        <v>-9.9938925805374268</v>
      </c>
    </row>
    <row r="561" spans="1:19" x14ac:dyDescent="0.3">
      <c r="A561">
        <v>0.55900000000000005</v>
      </c>
      <c r="B561">
        <f>Uo*COS(2*PI()*Wn*Sheet2!A561) + (Vo/Wn - (Po*(w/Wn))/(K*(1-(w/Wn)^2)))*SIN(2*PI()*Wn*Sheet2!A561) +(Po*SIN(2*PI()*w*Sheet2!A561))/(K*(1-(w/Wn)^2))</f>
        <v>-15.565271011397178</v>
      </c>
      <c r="C561">
        <f t="shared" si="34"/>
        <v>-9.8604098662938604</v>
      </c>
      <c r="D561">
        <f t="shared" si="35"/>
        <v>-1610.6471089207289</v>
      </c>
      <c r="R561">
        <f t="shared" si="32"/>
        <v>0.55900000000000005</v>
      </c>
      <c r="S561">
        <f t="shared" si="33"/>
        <v>-9.8604098662938604</v>
      </c>
    </row>
    <row r="562" spans="1:19" x14ac:dyDescent="0.3">
      <c r="A562">
        <v>0.56000000000000005</v>
      </c>
      <c r="B562">
        <f>Uo*COS(2*PI()*Wn*Sheet2!A562) + (Vo/Wn - (Po*(w/Wn))/(K*(1-(w/Wn)^2)))*SIN(2*PI()*Wn*Sheet2!A562) +(Po*SIN(2*PI()*w*Sheet2!A562))/(K*(1-(w/Wn)^2))</f>
        <v>-15.335746965266679</v>
      </c>
      <c r="C562">
        <f t="shared" si="34"/>
        <v>-9.7239499010849642</v>
      </c>
      <c r="D562">
        <f t="shared" si="35"/>
        <v>-1588.3570772255514</v>
      </c>
      <c r="R562">
        <f t="shared" si="32"/>
        <v>0.56000000000000005</v>
      </c>
      <c r="S562">
        <f t="shared" si="33"/>
        <v>-9.7239499010849642</v>
      </c>
    </row>
    <row r="563" spans="1:19" x14ac:dyDescent="0.3">
      <c r="A563">
        <v>0.56100000000000005</v>
      </c>
      <c r="B563">
        <f>Uo*COS(2*PI()*Wn*Sheet2!A563) + (Vo/Wn - (Po*(w/Wn))/(K*(1-(w/Wn)^2)))*SIN(2*PI()*Wn*Sheet2!A563) +(Po*SIN(2*PI()*w*Sheet2!A563))/(K*(1-(w/Wn)^2))</f>
        <v>-15.101213025144826</v>
      </c>
      <c r="C563">
        <f t="shared" si="34"/>
        <v>-9.584562599887219</v>
      </c>
      <c r="D563">
        <f t="shared" si="35"/>
        <v>-1565.5888802906716</v>
      </c>
      <c r="R563">
        <f t="shared" si="32"/>
        <v>0.56100000000000005</v>
      </c>
      <c r="S563">
        <f t="shared" si="33"/>
        <v>-9.584562599887219</v>
      </c>
    </row>
    <row r="564" spans="1:19" x14ac:dyDescent="0.3">
      <c r="A564">
        <v>0.56200000000000006</v>
      </c>
      <c r="B564">
        <f>Uo*COS(2*PI()*Wn*Sheet2!A564) + (Vo/Wn - (Po*(w/Wn))/(K*(1-(w/Wn)^2)))*SIN(2*PI()*Wn*Sheet2!A564) +(Po*SIN(2*PI()*w*Sheet2!A564))/(K*(1-(w/Wn)^2))</f>
        <v>-14.861745808765296</v>
      </c>
      <c r="C564">
        <f t="shared" si="34"/>
        <v>-9.442298742980153</v>
      </c>
      <c r="D564">
        <f t="shared" si="35"/>
        <v>-1542.3508128129145</v>
      </c>
      <c r="R564">
        <f t="shared" si="32"/>
        <v>0.56200000000000006</v>
      </c>
      <c r="S564">
        <f t="shared" si="33"/>
        <v>-9.442298742980153</v>
      </c>
    </row>
    <row r="565" spans="1:19" x14ac:dyDescent="0.3">
      <c r="A565">
        <v>0.56299999999999994</v>
      </c>
      <c r="B565">
        <f>Uo*COS(2*PI()*Wn*Sheet2!A565) + (Vo/Wn - (Po*(w/Wn))/(K*(1-(w/Wn)^2)))*SIN(2*PI()*Wn*Sheet2!A565) +(Po*SIN(2*PI()*w*Sheet2!A565))/(K*(1-(w/Wn)^2))</f>
        <v>-14.617423545468483</v>
      </c>
      <c r="C565">
        <f t="shared" si="34"/>
        <v>-9.2972099578099048</v>
      </c>
      <c r="D565">
        <f t="shared" si="35"/>
        <v>-1518.6513078694029</v>
      </c>
      <c r="R565">
        <f t="shared" si="32"/>
        <v>0.56299999999999994</v>
      </c>
      <c r="S565">
        <f t="shared" si="33"/>
        <v>-9.2972099578099048</v>
      </c>
    </row>
    <row r="566" spans="1:19" x14ac:dyDescent="0.3">
      <c r="A566">
        <v>0.56399999999999995</v>
      </c>
      <c r="B566">
        <f>Uo*COS(2*PI()*Wn*Sheet2!A566) + (Vo/Wn - (Po*(w/Wn))/(K*(1-(w/Wn)^2)))*SIN(2*PI()*Wn*Sheet2!A566) +(Po*SIN(2*PI()*w*Sheet2!A566))/(K*(1-(w/Wn)^2))</f>
        <v>-14.368326050645198</v>
      </c>
      <c r="C566">
        <f t="shared" si="34"/>
        <v>-9.1493487006087708</v>
      </c>
      <c r="D566">
        <f t="shared" si="35"/>
        <v>-1494.498933915205</v>
      </c>
      <c r="R566">
        <f t="shared" si="32"/>
        <v>0.56399999999999995</v>
      </c>
      <c r="S566">
        <f t="shared" si="33"/>
        <v>-9.1493487006087708</v>
      </c>
    </row>
    <row r="567" spans="1:19" x14ac:dyDescent="0.3">
      <c r="A567">
        <v>0.56499999999999995</v>
      </c>
      <c r="B567">
        <f>Uo*COS(2*PI()*Wn*Sheet2!A567) + (Vo/Wn - (Po*(w/Wn))/(K*(1-(w/Wn)^2)))*SIN(2*PI()*Wn*Sheet2!A567) +(Po*SIN(2*PI()*w*Sheet2!A567))/(K*(1-(w/Wn)^2))</f>
        <v>-14.114534699662837</v>
      </c>
      <c r="C567">
        <f t="shared" si="34"/>
        <v>-8.9987682377777887</v>
      </c>
      <c r="D567">
        <f t="shared" si="35"/>
        <v>-1469.9023917422758</v>
      </c>
      <c r="R567">
        <f t="shared" si="32"/>
        <v>0.56499999999999995</v>
      </c>
      <c r="S567">
        <f t="shared" si="33"/>
        <v>-8.9987682377777887</v>
      </c>
    </row>
    <row r="568" spans="1:19" x14ac:dyDescent="0.3">
      <c r="A568">
        <v>0.56599999999999995</v>
      </c>
      <c r="B568">
        <f>Uo*COS(2*PI()*Wn*Sheet2!A568) + (Vo/Wn - (Po*(w/Wn))/(K*(1-(w/Wn)^2)))*SIN(2*PI()*Wn*Sheet2!A568) +(Po*SIN(2*PI()*w*Sheet2!A568))/(K*(1-(w/Wn)^2))</f>
        <v>-13.856132401281345</v>
      </c>
      <c r="C568">
        <f t="shared" si="34"/>
        <v>-8.845522627038152</v>
      </c>
      <c r="D568">
        <f t="shared" si="35"/>
        <v>-1444.8705114006364</v>
      </c>
      <c r="R568">
        <f t="shared" si="32"/>
        <v>0.56599999999999995</v>
      </c>
      <c r="S568">
        <f t="shared" si="33"/>
        <v>-8.845522627038152</v>
      </c>
    </row>
    <row r="569" spans="1:19" x14ac:dyDescent="0.3">
      <c r="A569">
        <v>0.56699999999999995</v>
      </c>
      <c r="B569">
        <f>Uo*COS(2*PI()*Wn*Sheet2!A569) + (Vo/Wn - (Po*(w/Wn))/(K*(1-(w/Wn)^2)))*SIN(2*PI()*Wn*Sheet2!A569) +(Po*SIN(2*PI()*w*Sheet2!A569))/(K*(1-(w/Wn)^2))</f>
        <v>-13.593203570568708</v>
      </c>
      <c r="C569">
        <f t="shared" si="34"/>
        <v>-8.6896666983586837</v>
      </c>
      <c r="D569">
        <f t="shared" si="35"/>
        <v>-1419.4122490829775</v>
      </c>
      <c r="R569">
        <f t="shared" si="32"/>
        <v>0.56699999999999995</v>
      </c>
      <c r="S569">
        <f t="shared" si="33"/>
        <v>-8.6896666983586837</v>
      </c>
    </row>
    <row r="570" spans="1:19" x14ac:dyDescent="0.3">
      <c r="A570">
        <v>0.56799999999999995</v>
      </c>
      <c r="B570">
        <f>Uo*COS(2*PI()*Wn*Sheet2!A570) + (Vo/Wn - (Po*(w/Wn))/(K*(1-(w/Wn)^2)))*SIN(2*PI()*Wn*Sheet2!A570) +(Po*SIN(2*PI()*w*Sheet2!A570))/(K*(1-(w/Wn)^2))</f>
        <v>-13.325834101323997</v>
      </c>
      <c r="C570">
        <f t="shared" si="34"/>
        <v>-8.5312560346654642</v>
      </c>
      <c r="D570">
        <f t="shared" si="35"/>
        <v>-1393.5366839736748</v>
      </c>
      <c r="R570">
        <f t="shared" si="32"/>
        <v>0.56799999999999995</v>
      </c>
      <c r="S570">
        <f t="shared" si="33"/>
        <v>-8.5312560346654642</v>
      </c>
    </row>
    <row r="571" spans="1:19" x14ac:dyDescent="0.3">
      <c r="A571">
        <v>0.56899999999999995</v>
      </c>
      <c r="B571">
        <f>Uo*COS(2*PI()*Wn*Sheet2!A571) + (Vo/Wn - (Po*(w/Wn))/(K*(1-(w/Wn)^2)))*SIN(2*PI()*Wn*Sheet2!A571) +(Po*SIN(2*PI()*w*Sheet2!A571))/(K*(1-(w/Wn)^2))</f>
        <v>-13.0541113380177</v>
      </c>
      <c r="C571">
        <f t="shared" si="34"/>
        <v>-8.3703469523407676</v>
      </c>
      <c r="D571">
        <f t="shared" si="35"/>
        <v>-1367.2530150633913</v>
      </c>
      <c r="R571">
        <f t="shared" si="32"/>
        <v>0.56899999999999995</v>
      </c>
      <c r="S571">
        <f t="shared" si="33"/>
        <v>-8.3703469523407676</v>
      </c>
    </row>
    <row r="572" spans="1:19" x14ac:dyDescent="0.3">
      <c r="A572">
        <v>0.56999999999999995</v>
      </c>
      <c r="B572">
        <f>Uo*COS(2*PI()*Wn*Sheet2!A572) + (Vo/Wn - (Po*(w/Wn))/(K*(1-(w/Wn)^2)))*SIN(2*PI()*Wn*Sheet2!A572) +(Po*SIN(2*PI()*w*Sheet2!A572))/(K*(1-(w/Wn)^2))</f>
        <v>-12.778124047257759</v>
      </c>
      <c r="C572">
        <f t="shared" si="34"/>
        <v>-8.2069964815175673</v>
      </c>
      <c r="D572">
        <f t="shared" si="35"/>
        <v>-1340.5705579302867</v>
      </c>
      <c r="R572">
        <f t="shared" si="32"/>
        <v>0.56999999999999995</v>
      </c>
      <c r="S572">
        <f t="shared" si="33"/>
        <v>-8.2069964815175673</v>
      </c>
    </row>
    <row r="573" spans="1:19" x14ac:dyDescent="0.3">
      <c r="A573">
        <v>0.57099999999999995</v>
      </c>
      <c r="B573">
        <f>Uo*COS(2*PI()*Wn*Sheet2!A573) + (Vo/Wn - (Po*(w/Wn))/(K*(1-(w/Wn)^2)))*SIN(2*PI()*Wn*Sheet2!A573) +(Po*SIN(2*PI()*w*Sheet2!A573))/(K*(1-(w/Wn)^2))</f>
        <v>-12.497962388791441</v>
      </c>
      <c r="C573">
        <f t="shared" si="34"/>
        <v>-8.0412623461769517</v>
      </c>
      <c r="D573">
        <f t="shared" si="35"/>
        <v>-1313.4987414890325</v>
      </c>
      <c r="R573">
        <f t="shared" si="32"/>
        <v>0.57099999999999995</v>
      </c>
      <c r="S573">
        <f t="shared" si="33"/>
        <v>-8.0412623461769517</v>
      </c>
    </row>
    <row r="574" spans="1:19" x14ac:dyDescent="0.3">
      <c r="A574">
        <v>0.57199999999999995</v>
      </c>
      <c r="B574">
        <f>Uo*COS(2*PI()*Wn*Sheet2!A574) + (Vo/Wn - (Po*(w/Wn))/(K*(1-(w/Wn)^2)))*SIN(2*PI()*Wn*Sheet2!A574) +(Po*SIN(2*PI()*w*Sheet2!A574))/(K*(1-(w/Wn)^2))</f>
        <v>-12.213717886051656</v>
      </c>
      <c r="C574">
        <f t="shared" si="34"/>
        <v>-7.8732029440547331</v>
      </c>
      <c r="D574">
        <f t="shared" si="35"/>
        <v>-1286.0471047086603</v>
      </c>
      <c r="R574">
        <f t="shared" si="32"/>
        <v>0.57199999999999995</v>
      </c>
      <c r="S574">
        <f t="shared" si="33"/>
        <v>-7.8732029440547331</v>
      </c>
    </row>
    <row r="575" spans="1:19" x14ac:dyDescent="0.3">
      <c r="A575">
        <v>0.57299999999999995</v>
      </c>
      <c r="B575">
        <f>Uo*COS(2*PI()*Wn*Sheet2!A575) + (Vo/Wn - (Po*(w/Wn))/(K*(1-(w/Wn)^2)))*SIN(2*PI()*Wn*Sheet2!A575) +(Po*SIN(2*PI()*w*Sheet2!A575))/(K*(1-(w/Wn)^2))</f>
        <v>-11.925483396258233</v>
      </c>
      <c r="C575">
        <f t="shared" si="34"/>
        <v>-7.702877326364713</v>
      </c>
      <c r="D575">
        <f t="shared" si="35"/>
        <v>-1258.2252933004618</v>
      </c>
      <c r="R575">
        <f t="shared" si="32"/>
        <v>0.57299999999999995</v>
      </c>
      <c r="S575">
        <f t="shared" si="33"/>
        <v>-7.702877326364713</v>
      </c>
    </row>
    <row r="576" spans="1:19" x14ac:dyDescent="0.3">
      <c r="A576">
        <v>0.57399999999999995</v>
      </c>
      <c r="B576">
        <f>Uo*COS(2*PI()*Wn*Sheet2!A576) + (Vo/Wn - (Po*(w/Wn))/(K*(1-(w/Wn)^2)))*SIN(2*PI()*Wn*Sheet2!A576) +(Po*SIN(2*PI()*w*Sheet2!A576))/(K*(1-(w/Wn)^2))</f>
        <v>-11.633353080083033</v>
      </c>
      <c r="C576">
        <f t="shared" si="34"/>
        <v>-7.5303451773449988</v>
      </c>
      <c r="D576">
        <f t="shared" si="35"/>
        <v>-1230.0430563769849</v>
      </c>
      <c r="R576">
        <f t="shared" si="32"/>
        <v>0.57399999999999995</v>
      </c>
      <c r="S576">
        <f t="shared" si="33"/>
        <v>-7.5303451773449988</v>
      </c>
    </row>
    <row r="577" spans="1:19" x14ac:dyDescent="0.3">
      <c r="A577">
        <v>0.57499999999999996</v>
      </c>
      <c r="B577">
        <f>Uo*COS(2*PI()*Wn*Sheet2!A577) + (Vo/Wn - (Po*(w/Wn))/(K*(1-(w/Wn)^2)))*SIN(2*PI()*Wn*Sheet2!A577) +(Po*SIN(2*PI()*w*Sheet2!A577))/(K*(1-(w/Wn)^2))</f>
        <v>-11.337422370889644</v>
      </c>
      <c r="C577">
        <f t="shared" si="34"/>
        <v>-7.3556667936349278</v>
      </c>
      <c r="D577">
        <f t="shared" si="35"/>
        <v>-1201.5102430833608</v>
      </c>
      <c r="R577">
        <f t="shared" ref="R577:R640" si="36">A577</f>
        <v>0.57499999999999996</v>
      </c>
      <c r="S577">
        <f t="shared" ref="S577:S640" si="37">C577</f>
        <v>-7.3556667936349278</v>
      </c>
    </row>
    <row r="578" spans="1:19" x14ac:dyDescent="0.3">
      <c r="A578">
        <v>0.57599999999999996</v>
      </c>
      <c r="B578">
        <f>Uo*COS(2*PI()*Wn*Sheet2!A578) + (Vo/Wn - (Po*(w/Wn))/(K*(1-(w/Wn)^2)))*SIN(2*PI()*Wn*Sheet2!A578) +(Po*SIN(2*PI()*w*Sheet2!A578))/(K*(1-(w/Wn)^2))</f>
        <v>-11.037787943557076</v>
      </c>
      <c r="C578">
        <f t="shared" ref="C578:C641" si="38">EXP(-zeta*Wn*A578*2*PI())*($H$1*COS(wnD*2*PI()*A578) + $H$2*SIN(wnD*2*PI()*A578)) + $H$3*SIN(w*2*PI()*A578) + $H$4*COS(w*2*PI()*A578)</f>
        <v>-7.1789030634891375</v>
      </c>
      <c r="D578">
        <f t="shared" ref="D578:D641" si="39">K*C578</f>
        <v>-1172.6367992020296</v>
      </c>
      <c r="R578">
        <f t="shared" si="36"/>
        <v>0.57599999999999996</v>
      </c>
      <c r="S578">
        <f t="shared" si="37"/>
        <v>-7.1789030634891375</v>
      </c>
    </row>
    <row r="579" spans="1:19" x14ac:dyDescent="0.3">
      <c r="A579">
        <v>0.57699999999999996</v>
      </c>
      <c r="B579">
        <f>Uo*COS(2*PI()*Wn*Sheet2!A579) + (Vo/Wn - (Po*(w/Wn))/(K*(1-(w/Wn)^2)))*SIN(2*PI()*Wn*Sheet2!A579) +(Po*SIN(2*PI()*w*Sheet2!A579))/(K*(1-(w/Wn)^2))</f>
        <v>-10.734547682897821</v>
      </c>
      <c r="C579">
        <f t="shared" si="38"/>
        <v>-7.0001154458361317</v>
      </c>
      <c r="D579">
        <f t="shared" si="39"/>
        <v>-1143.4327637320646</v>
      </c>
      <c r="R579">
        <f t="shared" si="36"/>
        <v>0.57699999999999996</v>
      </c>
      <c r="S579">
        <f t="shared" si="37"/>
        <v>-7.0001154458361317</v>
      </c>
    </row>
    <row r="580" spans="1:19" x14ac:dyDescent="0.3">
      <c r="A580">
        <v>0.57799999999999996</v>
      </c>
      <c r="B580">
        <f>Uo*COS(2*PI()*Wn*Sheet2!A580) + (Vo/Wn - (Po*(w/Wn))/(K*(1-(w/Wn)^2)))*SIN(2*PI()*Wn*Sheet2!A580) +(Po*SIN(2*PI()*w*Sheet2!A580))/(K*(1-(w/Wn)^2))</f>
        <v>-10.427800651680991</v>
      </c>
      <c r="C580">
        <f t="shared" si="38"/>
        <v>-6.8193659491885183</v>
      </c>
      <c r="D580">
        <f t="shared" si="39"/>
        <v>-1113.9082654442689</v>
      </c>
      <c r="R580">
        <f t="shared" si="36"/>
        <v>0.57799999999999996</v>
      </c>
      <c r="S580">
        <f t="shared" si="37"/>
        <v>-6.8193659491885183</v>
      </c>
    </row>
    <row r="581" spans="1:19" x14ac:dyDescent="0.3">
      <c r="A581">
        <v>0.57899999999999996</v>
      </c>
      <c r="B581">
        <f>Uo*COS(2*PI()*Wn*Sheet2!A581) + (Vo/Wn - (Po*(w/Wn))/(K*(1-(w/Wn)^2)))*SIN(2*PI()*Wn*Sheet2!A581) +(Po*SIN(2*PI()*w*Sheet2!A581))/(K*(1-(w/Wn)^2))</f>
        <v>-10.117647058270167</v>
      </c>
      <c r="C581">
        <f t="shared" si="38"/>
        <v>-6.6367171104117553</v>
      </c>
      <c r="D581">
        <f t="shared" si="39"/>
        <v>-1084.0735194131596</v>
      </c>
      <c r="R581">
        <f t="shared" si="36"/>
        <v>0.57899999999999996</v>
      </c>
      <c r="S581">
        <f t="shared" si="37"/>
        <v>-6.6367171104117553</v>
      </c>
    </row>
    <row r="582" spans="1:19" x14ac:dyDescent="0.3">
      <c r="A582">
        <v>0.57999999999999996</v>
      </c>
      <c r="B582">
        <f>Uo*COS(2*PI()*Wn*Sheet2!A582) + (Vo/Wn - (Po*(w/Wn))/(K*(1-(w/Wn)^2)))*SIN(2*PI()*Wn*Sheet2!A582) +(Po*SIN(2*PI()*w*Sheet2!A582))/(K*(1-(w/Wn)^2))</f>
        <v>-9.8041882238874827</v>
      </c>
      <c r="C582">
        <f t="shared" si="38"/>
        <v>-6.4522319733590061</v>
      </c>
      <c r="D582">
        <f t="shared" si="39"/>
        <v>-1053.938823527081</v>
      </c>
      <c r="R582">
        <f t="shared" si="36"/>
        <v>0.57999999999999996</v>
      </c>
      <c r="S582">
        <f t="shared" si="37"/>
        <v>-6.4522319733590061</v>
      </c>
    </row>
    <row r="583" spans="1:19" x14ac:dyDescent="0.3">
      <c r="A583">
        <v>0.58099999999999996</v>
      </c>
      <c r="B583">
        <f>Uo*COS(2*PI()*Wn*Sheet2!A583) + (Vo/Wn - (Po*(w/Wn))/(K*(1-(w/Wn)^2)))*SIN(2*PI()*Wn*Sheet2!A583) +(Po*SIN(2*PI()*w*Sheet2!A583))/(K*(1-(w/Wn)^2))</f>
        <v>-9.4875265495137064</v>
      </c>
      <c r="C583">
        <f t="shared" si="38"/>
        <v>-6.2659740673788775</v>
      </c>
      <c r="D583">
        <f t="shared" si="39"/>
        <v>-1023.5145549775547</v>
      </c>
      <c r="R583">
        <f t="shared" si="36"/>
        <v>0.58099999999999996</v>
      </c>
      <c r="S583">
        <f t="shared" si="37"/>
        <v>-6.2659740673788775</v>
      </c>
    </row>
    <row r="584" spans="1:19" x14ac:dyDescent="0.3">
      <c r="A584">
        <v>0.58199999999999996</v>
      </c>
      <c r="B584">
        <f>Uo*COS(2*PI()*Wn*Sheet2!A584) + (Vo/Wn - (Po*(w/Wn))/(K*(1-(w/Wn)^2)))*SIN(2*PI()*Wn*Sheet2!A584) +(Po*SIN(2*PI()*w*Sheet2!A584))/(K*(1-(w/Wn)^2))</f>
        <v>-9.1677654824360353</v>
      </c>
      <c r="C584">
        <f t="shared" si="38"/>
        <v>-6.0780073857037582</v>
      </c>
      <c r="D584">
        <f t="shared" si="39"/>
        <v>-992.81116672912628</v>
      </c>
      <c r="R584">
        <f t="shared" si="36"/>
        <v>0.58199999999999996</v>
      </c>
      <c r="S584">
        <f t="shared" si="37"/>
        <v>-6.0780073857037582</v>
      </c>
    </row>
    <row r="585" spans="1:19" x14ac:dyDescent="0.3">
      <c r="A585">
        <v>0.58299999999999996</v>
      </c>
      <c r="B585">
        <f>Uo*COS(2*PI()*Wn*Sheet2!A585) + (Vo/Wn - (Po*(w/Wn))/(K*(1-(w/Wn)^2)))*SIN(2*PI()*Wn*Sheet2!A585) +(Po*SIN(2*PI()*w*Sheet2!A585))/(K*(1-(w/Wn)^2))</f>
        <v>-8.8450094824536087</v>
      </c>
      <c r="C585">
        <f t="shared" si="38"/>
        <v>-5.8883963637255041</v>
      </c>
      <c r="D585">
        <f t="shared" si="39"/>
        <v>-961.83918397081061</v>
      </c>
      <c r="R585">
        <f t="shared" si="36"/>
        <v>0.58299999999999996</v>
      </c>
      <c r="S585">
        <f t="shared" si="37"/>
        <v>-5.8883963637255041</v>
      </c>
    </row>
    <row r="586" spans="1:19" x14ac:dyDescent="0.3">
      <c r="A586">
        <v>0.58399999999999996</v>
      </c>
      <c r="B586">
        <f>Uo*COS(2*PI()*Wn*Sheet2!A586) + (Vo/Wn - (Po*(w/Wn))/(K*(1-(w/Wn)^2)))*SIN(2*PI()*Wn*Sheet2!A586) +(Po*SIN(2*PI()*w*Sheet2!A586))/(K*(1-(w/Wn)^2))</f>
        <v>-8.5193639877527509</v>
      </c>
      <c r="C586">
        <f t="shared" si="38"/>
        <v>-5.6972058571663338</v>
      </c>
      <c r="D586">
        <f t="shared" si="39"/>
        <v>-930.60920055041959</v>
      </c>
      <c r="R586">
        <f t="shared" si="36"/>
        <v>0.58399999999999996</v>
      </c>
      <c r="S586">
        <f t="shared" si="37"/>
        <v>-5.6972058571663338</v>
      </c>
    </row>
    <row r="587" spans="1:19" x14ac:dyDescent="0.3">
      <c r="A587">
        <v>0.58499999999999996</v>
      </c>
      <c r="B587">
        <f>Uo*COS(2*PI()*Wn*Sheet2!A587) + (Vo/Wn - (Po*(w/Wn))/(K*(1-(w/Wn)^2)))*SIN(2*PI()*Wn*Sheet2!A587) +(Po*SIN(2*PI()*w*Sheet2!A587))/(K*(1-(w/Wn)^2))</f>
        <v>-8.1909353804620899</v>
      </c>
      <c r="C587">
        <f t="shared" si="38"/>
        <v>-5.5045011201516534</v>
      </c>
      <c r="D587">
        <f t="shared" si="39"/>
        <v>-899.13187539287173</v>
      </c>
      <c r="R587">
        <f t="shared" si="36"/>
        <v>0.58499999999999996</v>
      </c>
      <c r="S587">
        <f t="shared" si="37"/>
        <v>-5.5045011201516534</v>
      </c>
    </row>
    <row r="588" spans="1:19" x14ac:dyDescent="0.3">
      <c r="A588">
        <v>0.58599999999999997</v>
      </c>
      <c r="B588">
        <f>Uo*COS(2*PI()*Wn*Sheet2!A588) + (Vo/Wn - (Po*(w/Wn))/(K*(1-(w/Wn)^2)))*SIN(2*PI()*Wn*Sheet2!A588) +(Po*SIN(2*PI()*w*Sheet2!A588))/(K*(1-(w/Wn)^2))</f>
        <v>-7.8598309518998102</v>
      </c>
      <c r="C588">
        <f t="shared" si="38"/>
        <v>-5.310347783192741</v>
      </c>
      <c r="D588">
        <f t="shared" si="39"/>
        <v>-867.41792890377712</v>
      </c>
      <c r="R588">
        <f t="shared" si="36"/>
        <v>0.58599999999999997</v>
      </c>
      <c r="S588">
        <f t="shared" si="37"/>
        <v>-5.310347783192741</v>
      </c>
    </row>
    <row r="589" spans="1:19" x14ac:dyDescent="0.3">
      <c r="A589">
        <v>0.58699999999999997</v>
      </c>
      <c r="B589">
        <f>Uo*COS(2*PI()*Wn*Sheet2!A589) + (Vo/Wn - (Po*(w/Wn))/(K*(1-(w/Wn)^2)))*SIN(2*PI()*Wn*Sheet2!A589) +(Po*SIN(2*PI()*w*Sheet2!A589))/(K*(1-(w/Wn)^2))</f>
        <v>-7.5261588675233826</v>
      </c>
      <c r="C589">
        <f t="shared" si="38"/>
        <v>-5.114811831086052</v>
      </c>
      <c r="D589">
        <f t="shared" si="39"/>
        <v>-835.47813935940258</v>
      </c>
      <c r="R589">
        <f t="shared" si="36"/>
        <v>0.58699999999999997</v>
      </c>
      <c r="S589">
        <f t="shared" si="37"/>
        <v>-5.114811831086052</v>
      </c>
    </row>
    <row r="590" spans="1:19" x14ac:dyDescent="0.3">
      <c r="A590">
        <v>0.58799999999999997</v>
      </c>
      <c r="B590">
        <f>Uo*COS(2*PI()*Wn*Sheet2!A590) + (Vo/Wn - (Po*(w/Wn))/(K*(1-(w/Wn)^2)))*SIN(2*PI()*Wn*Sheet2!A590) +(Po*SIN(2*PI()*w*Sheet2!A590))/(K*(1-(w/Wn)^2))</f>
        <v>-7.1900281315942518</v>
      </c>
      <c r="C590">
        <f t="shared" si="38"/>
        <v>-4.9179595807370919</v>
      </c>
      <c r="D590">
        <f t="shared" si="39"/>
        <v>-803.32333928431581</v>
      </c>
      <c r="R590">
        <f t="shared" si="36"/>
        <v>0.58799999999999997</v>
      </c>
      <c r="S590">
        <f t="shared" si="37"/>
        <v>-4.9179595807370919</v>
      </c>
    </row>
    <row r="591" spans="1:19" x14ac:dyDescent="0.3">
      <c r="A591">
        <v>0.58899999999999997</v>
      </c>
      <c r="B591">
        <f>Uo*COS(2*PI()*Wn*Sheet2!A591) + (Vo/Wn - (Po*(w/Wn))/(K*(1-(w/Wn)^2)))*SIN(2*PI()*Wn*Sheet2!A591) +(Po*SIN(2*PI()*w*Sheet2!A591))/(K*(1-(w/Wn)^2))</f>
        <v>-6.8515485515679666</v>
      </c>
      <c r="C591">
        <f t="shared" si="38"/>
        <v>-4.7198576589156476</v>
      </c>
      <c r="D591">
        <f t="shared" si="39"/>
        <v>-770.96441181781722</v>
      </c>
      <c r="R591">
        <f t="shared" si="36"/>
        <v>0.58899999999999997</v>
      </c>
      <c r="S591">
        <f t="shared" si="37"/>
        <v>-4.7198576589156476</v>
      </c>
    </row>
    <row r="592" spans="1:19" x14ac:dyDescent="0.3">
      <c r="A592">
        <v>0.59</v>
      </c>
      <c r="B592">
        <f>Uo*COS(2*PI()*Wn*Sheet2!A592) + (Vo/Wn - (Po*(w/Wn))/(K*(1-(w/Wn)^2)))*SIN(2*PI()*Wn*Sheet2!A592) +(Po*SIN(2*PI()*w*Sheet2!A592))/(K*(1-(w/Wn)^2))</f>
        <v>-6.5108307022224663</v>
      </c>
      <c r="C592">
        <f t="shared" si="38"/>
        <v>-4.5205729799503445</v>
      </c>
      <c r="D592">
        <f t="shared" si="39"/>
        <v>-738.41228707046093</v>
      </c>
      <c r="R592">
        <f t="shared" si="36"/>
        <v>0.59</v>
      </c>
      <c r="S592">
        <f t="shared" si="37"/>
        <v>-4.5205729799503445</v>
      </c>
    </row>
    <row r="593" spans="1:19" x14ac:dyDescent="0.3">
      <c r="A593">
        <v>0.59099999999999997</v>
      </c>
      <c r="B593">
        <f>Uo*COS(2*PI()*Wn*Sheet2!A593) + (Vo/Wn - (Po*(w/Wn))/(K*(1-(w/Wn)^2)))*SIN(2*PI()*Wn*Sheet2!A593) +(Po*SIN(2*PI()*w*Sheet2!A593))/(K*(1-(w/Wn)^2))</f>
        <v>-6.1679858895351529</v>
      </c>
      <c r="C593">
        <f t="shared" si="38"/>
        <v>-4.3201727233693381</v>
      </c>
      <c r="D593">
        <f t="shared" si="39"/>
        <v>-705.67793847177654</v>
      </c>
      <c r="R593">
        <f t="shared" si="36"/>
        <v>0.59099999999999997</v>
      </c>
      <c r="S593">
        <f t="shared" si="37"/>
        <v>-4.3201727233693381</v>
      </c>
    </row>
    <row r="594" spans="1:19" x14ac:dyDescent="0.3">
      <c r="A594">
        <v>0.59199999999999997</v>
      </c>
      <c r="B594">
        <f>Uo*COS(2*PI()*Wn*Sheet2!A594) + (Vo/Wn - (Po*(w/Wn))/(K*(1-(w/Wn)^2)))*SIN(2*PI()*Wn*Sheet2!A594) +(Po*SIN(2*PI()*w*Sheet2!A594))/(K*(1-(w/Wn)^2))</f>
        <v>-5.8231261143216013</v>
      </c>
      <c r="C594">
        <f t="shared" si="38"/>
        <v>-4.1187243114950984</v>
      </c>
      <c r="D594">
        <f t="shared" si="39"/>
        <v>-672.77237911049315</v>
      </c>
      <c r="R594">
        <f t="shared" si="36"/>
        <v>0.59199999999999997</v>
      </c>
      <c r="S594">
        <f t="shared" si="37"/>
        <v>-4.1187243114950984</v>
      </c>
    </row>
    <row r="595" spans="1:19" x14ac:dyDescent="0.3">
      <c r="A595">
        <v>0.59299999999999997</v>
      </c>
      <c r="B595">
        <f>Uo*COS(2*PI()*Wn*Sheet2!A595) + (Vo/Wn - (Po*(w/Wn))/(K*(1-(w/Wn)^2)))*SIN(2*PI()*Wn*Sheet2!A595) +(Po*SIN(2*PI()*w*Sheet2!A595))/(K*(1-(w/Wn)^2))</f>
        <v>-5.476364035646947</v>
      </c>
      <c r="C595">
        <f t="shared" si="38"/>
        <v>-3.9162953870002317</v>
      </c>
      <c r="D595">
        <f t="shared" si="39"/>
        <v>-639.70665806839861</v>
      </c>
      <c r="R595">
        <f t="shared" si="36"/>
        <v>0.59299999999999997</v>
      </c>
      <c r="S595">
        <f t="shared" si="37"/>
        <v>-3.9162953870002317</v>
      </c>
    </row>
    <row r="596" spans="1:19" x14ac:dyDescent="0.3">
      <c r="A596">
        <v>0.59399999999999997</v>
      </c>
      <c r="B596">
        <f>Uo*COS(2*PI()*Wn*Sheet2!A596) + (Vo/Wn - (Po*(w/Wn))/(K*(1-(w/Wn)^2)))*SIN(2*PI()*Wn*Sheet2!A596) +(Po*SIN(2*PI()*w*Sheet2!A596))/(K*(1-(w/Wn)^2))</f>
        <v>-5.1278129340222245</v>
      </c>
      <c r="C596">
        <f t="shared" si="38"/>
        <v>-3.7129537904318926</v>
      </c>
      <c r="D596">
        <f t="shared" si="39"/>
        <v>-606.49185674906767</v>
      </c>
      <c r="R596">
        <f t="shared" si="36"/>
        <v>0.59399999999999997</v>
      </c>
      <c r="S596">
        <f t="shared" si="37"/>
        <v>-3.7129537904318926</v>
      </c>
    </row>
    <row r="597" spans="1:19" x14ac:dyDescent="0.3">
      <c r="A597">
        <v>0.59499999999999997</v>
      </c>
      <c r="B597">
        <f>Uo*COS(2*PI()*Wn*Sheet2!A597) + (Vo/Wn - (Po*(w/Wn))/(K*(1-(w/Wn)^2)))*SIN(2*PI()*Wn*Sheet2!A597) +(Po*SIN(2*PI()*w*Sheet2!A597))/(K*(1-(w/Wn)^2))</f>
        <v>-4.7775866743980435</v>
      </c>
      <c r="C597">
        <f t="shared" si="38"/>
        <v>-3.5087675377124188</v>
      </c>
      <c r="D597">
        <f t="shared" si="39"/>
        <v>-573.13908520270729</v>
      </c>
      <c r="R597">
        <f t="shared" si="36"/>
        <v>0.59499999999999997</v>
      </c>
      <c r="S597">
        <f t="shared" si="37"/>
        <v>-3.5087675377124188</v>
      </c>
    </row>
    <row r="598" spans="1:19" x14ac:dyDescent="0.3">
      <c r="A598">
        <v>0.59599999999999997</v>
      </c>
      <c r="B598">
        <f>Uo*COS(2*PI()*Wn*Sheet2!A598) + (Vo/Wn - (Po*(w/Wn))/(K*(1-(w/Wn)^2)))*SIN(2*PI()*Wn*Sheet2!A598) +(Po*SIN(2*PI()*w*Sheet2!A598))/(K*(1-(w/Wn)^2))</f>
        <v>-4.425799668966822</v>
      </c>
      <c r="C598">
        <f t="shared" si="38"/>
        <v>-3.3038047976230471</v>
      </c>
      <c r="D598">
        <f t="shared" si="39"/>
        <v>-539.659478448237</v>
      </c>
      <c r="R598">
        <f t="shared" si="36"/>
        <v>0.59599999999999997</v>
      </c>
      <c r="S598">
        <f t="shared" si="37"/>
        <v>-3.3038047976230471</v>
      </c>
    </row>
    <row r="599" spans="1:19" x14ac:dyDescent="0.3">
      <c r="A599">
        <v>0.59699999999999998</v>
      </c>
      <c r="B599">
        <f>Uo*COS(2*PI()*Wn*Sheet2!A599) + (Vo/Wn - (Po*(w/Wn))/(K*(1-(w/Wn)^2)))*SIN(2*PI()*Wn*Sheet2!A599) +(Po*SIN(2*PI()*w*Sheet2!A599))/(K*(1-(w/Wn)^2))</f>
        <v>-4.0725668397867949</v>
      </c>
      <c r="C599">
        <f t="shared" si="38"/>
        <v>-3.0981338692787102</v>
      </c>
      <c r="D599">
        <f t="shared" si="39"/>
        <v>-506.06419279391383</v>
      </c>
      <c r="R599">
        <f t="shared" si="36"/>
        <v>0.59699999999999998</v>
      </c>
      <c r="S599">
        <f t="shared" si="37"/>
        <v>-3.0981338692787102</v>
      </c>
    </row>
    <row r="600" spans="1:19" x14ac:dyDescent="0.3">
      <c r="A600">
        <v>0.59799999999999998</v>
      </c>
      <c r="B600">
        <f>Uo*COS(2*PI()*Wn*Sheet2!A600) + (Vo/Wn - (Po*(w/Wn))/(K*(1-(w/Wn)^2)))*SIN(2*PI()*Wn*Sheet2!A600) +(Po*SIN(2*PI()*w*Sheet2!A600))/(K*(1-(w/Wn)^2))</f>
        <v>-3.718003581238909</v>
      </c>
      <c r="C600">
        <f t="shared" si="38"/>
        <v>-2.8918231596006718</v>
      </c>
      <c r="D600">
        <f t="shared" si="39"/>
        <v>-472.36440215760302</v>
      </c>
      <c r="R600">
        <f t="shared" si="36"/>
        <v>0.59799999999999998</v>
      </c>
      <c r="S600">
        <f t="shared" si="37"/>
        <v>-2.8918231596006718</v>
      </c>
    </row>
    <row r="601" spans="1:19" x14ac:dyDescent="0.3">
      <c r="A601">
        <v>0.59899999999999998</v>
      </c>
      <c r="B601">
        <f>Uo*COS(2*PI()*Wn*Sheet2!A601) + (Vo/Wn - (Po*(w/Wn))/(K*(1-(w/Wn)^2)))*SIN(2*PI()*Wn*Sheet2!A601) +(Po*SIN(2*PI()*w*Sheet2!A601))/(K*(1-(w/Wn)^2))</f>
        <v>-3.3622257223299696</v>
      </c>
      <c r="C601">
        <f t="shared" si="38"/>
        <v>-2.684941160794954</v>
      </c>
      <c r="D601">
        <f t="shared" si="39"/>
        <v>-438.57129438799541</v>
      </c>
      <c r="R601">
        <f t="shared" si="36"/>
        <v>0.59899999999999998</v>
      </c>
      <c r="S601">
        <f t="shared" si="37"/>
        <v>-2.684941160794954</v>
      </c>
    </row>
    <row r="602" spans="1:19" x14ac:dyDescent="0.3">
      <c r="A602">
        <v>0.6</v>
      </c>
      <c r="B602">
        <f>Uo*COS(2*PI()*Wn*Sheet2!A602) + (Vo/Wn - (Po*(w/Wn))/(K*(1-(w/Wn)^2)))*SIN(2*PI()*Wn*Sheet2!A602) +(Po*SIN(2*PI()*w*Sheet2!A602))/(K*(1-(w/Wn)^2))</f>
        <v>-3.005349488853255</v>
      </c>
      <c r="C602">
        <f t="shared" si="38"/>
        <v>-2.4775564278432949</v>
      </c>
      <c r="D602">
        <f t="shared" si="39"/>
        <v>-404.69606758787114</v>
      </c>
      <c r="R602">
        <f t="shared" si="36"/>
        <v>0.6</v>
      </c>
      <c r="S602">
        <f t="shared" si="37"/>
        <v>-2.4775564278432949</v>
      </c>
    </row>
    <row r="603" spans="1:19" x14ac:dyDescent="0.3">
      <c r="A603">
        <v>0.60099999999999998</v>
      </c>
      <c r="B603">
        <f>Uo*COS(2*PI()*Wn*Sheet2!A603) + (Vo/Wn - (Po*(w/Wn))/(K*(1-(w/Wn)^2)))*SIN(2*PI()*Wn*Sheet2!A603) +(Po*SIN(2*PI()*w*Sheet2!A603))/(K*(1-(w/Wn)^2))</f>
        <v>-2.6474914654200581</v>
      </c>
      <c r="C603">
        <f t="shared" si="38"/>
        <v>-2.2697375560145736</v>
      </c>
      <c r="D603">
        <f t="shared" si="39"/>
        <v>-370.74992644070738</v>
      </c>
      <c r="R603">
        <f t="shared" si="36"/>
        <v>0.60099999999999998</v>
      </c>
      <c r="S603">
        <f t="shared" si="37"/>
        <v>-2.2697375560145736</v>
      </c>
    </row>
    <row r="604" spans="1:19" x14ac:dyDescent="0.3">
      <c r="A604">
        <v>0.60199999999999998</v>
      </c>
      <c r="B604">
        <f>Uo*COS(2*PI()*Wn*Sheet2!A604) + (Vo/Wn - (Po*(w/Wn))/(K*(1-(w/Wn)^2)))*SIN(2*PI()*Wn*Sheet2!A604) +(Po*SIN(2*PI()*w*Sheet2!A604))/(K*(1-(w/Wn)^2))</f>
        <v>-2.2887685573734542</v>
      </c>
      <c r="C604">
        <f t="shared" si="38"/>
        <v>-2.0615531584033855</v>
      </c>
      <c r="D604">
        <f t="shared" si="39"/>
        <v>-336.74407854172</v>
      </c>
      <c r="R604">
        <f t="shared" si="36"/>
        <v>0.60199999999999998</v>
      </c>
      <c r="S604">
        <f t="shared" si="37"/>
        <v>-2.0615531584033855</v>
      </c>
    </row>
    <row r="605" spans="1:19" x14ac:dyDescent="0.3">
      <c r="A605">
        <v>0.60299999999999998</v>
      </c>
      <c r="B605">
        <f>Uo*COS(2*PI()*Wn*Sheet2!A605) + (Vo/Wn - (Po*(w/Wn))/(K*(1-(w/Wn)^2)))*SIN(2*PI()*Wn*Sheet2!A605) +(Po*SIN(2*PI()*w*Sheet2!A605))/(K*(1-(w/Wn)^2))</f>
        <v>-1.9292979525978504</v>
      </c>
      <c r="C605">
        <f t="shared" si="38"/>
        <v>-1.8530718435036744</v>
      </c>
      <c r="D605">
        <f t="shared" si="39"/>
        <v>-302.68973073463212</v>
      </c>
      <c r="R605">
        <f t="shared" si="36"/>
        <v>0.60299999999999998</v>
      </c>
      <c r="S605">
        <f t="shared" si="37"/>
        <v>-1.8530718435036744</v>
      </c>
    </row>
    <row r="606" spans="1:19" x14ac:dyDescent="0.3">
      <c r="A606">
        <v>0.60399999999999998</v>
      </c>
      <c r="B606">
        <f>Uo*COS(2*PI()*Wn*Sheet2!A606) + (Vo/Wn - (Po*(w/Wn))/(K*(1-(w/Wn)^2)))*SIN(2*PI()*Wn*Sheet2!A606) +(Po*SIN(2*PI()*w*Sheet2!A606))/(K*(1-(w/Wn)^2))</f>
        <v>-1.569197083235675</v>
      </c>
      <c r="C606">
        <f t="shared" si="38"/>
        <v>-1.6443621928240431</v>
      </c>
      <c r="D606">
        <f t="shared" si="39"/>
        <v>-268.59808545525067</v>
      </c>
      <c r="R606">
        <f t="shared" si="36"/>
        <v>0.60399999999999998</v>
      </c>
      <c r="S606">
        <f t="shared" si="37"/>
        <v>-1.6443621928240431</v>
      </c>
    </row>
    <row r="607" spans="1:19" x14ac:dyDescent="0.3">
      <c r="A607">
        <v>0.60499999999999998</v>
      </c>
      <c r="B607">
        <f>Uo*COS(2*PI()*Wn*Sheet2!A607) + (Vo/Wn - (Po*(w/Wn))/(K*(1-(w/Wn)^2)))*SIN(2*PI()*Wn*Sheet2!A607) +(Po*SIN(2*PI()*w*Sheet2!A607))/(K*(1-(w/Wn)^2))</f>
        <v>-1.2085835873248318</v>
      </c>
      <c r="C607">
        <f t="shared" si="38"/>
        <v>-1.4354927385526248</v>
      </c>
      <c r="D607">
        <f t="shared" si="39"/>
        <v>-234.4803370831381</v>
      </c>
      <c r="R607">
        <f t="shared" si="36"/>
        <v>0.60499999999999998</v>
      </c>
      <c r="S607">
        <f t="shared" si="37"/>
        <v>-1.4354927385526248</v>
      </c>
    </row>
    <row r="608" spans="1:19" x14ac:dyDescent="0.3">
      <c r="A608">
        <v>0.60599999999999998</v>
      </c>
      <c r="B608">
        <f>Uo*COS(2*PI()*Wn*Sheet2!A608) + (Vo/Wn - (Po*(w/Wn))/(K*(1-(w/Wn)^2)))*SIN(2*PI()*Wn*Sheet2!A608) +(Po*SIN(2*PI()*w*Sheet2!A608))/(K*(1-(w/Wn)^2))</f>
        <v>-0.84757527036833191</v>
      </c>
      <c r="C608">
        <f t="shared" si="38"/>
        <v>-1.2265319412780515</v>
      </c>
      <c r="D608">
        <f t="shared" si="39"/>
        <v>-200.34766830244749</v>
      </c>
      <c r="R608">
        <f t="shared" si="36"/>
        <v>0.60599999999999998</v>
      </c>
      <c r="S608">
        <f t="shared" si="37"/>
        <v>-1.2265319412780515</v>
      </c>
    </row>
    <row r="609" spans="1:19" x14ac:dyDescent="0.3">
      <c r="A609">
        <v>0.60699999999999998</v>
      </c>
      <c r="B609">
        <f>Uo*COS(2*PI()*Wn*Sheet2!A609) + (Vo/Wn - (Po*(w/Wn))/(K*(1-(w/Wn)^2)))*SIN(2*PI()*Wn*Sheet2!A609) +(Po*SIN(2*PI()*w*Sheet2!A609))/(K*(1-(w/Wn)^2))</f>
        <v>-0.48629006684977982</v>
      </c>
      <c r="C609">
        <f t="shared" si="38"/>
        <v>-1.0175481677743543</v>
      </c>
      <c r="D609">
        <f t="shared" si="39"/>
        <v>-166.21124647320067</v>
      </c>
      <c r="R609">
        <f t="shared" si="36"/>
        <v>0.60699999999999998</v>
      </c>
      <c r="S609">
        <f t="shared" si="37"/>
        <v>-1.0175481677743543</v>
      </c>
    </row>
    <row r="610" spans="1:19" x14ac:dyDescent="0.3">
      <c r="A610">
        <v>0.60799999999999998</v>
      </c>
      <c r="B610">
        <f>Uo*COS(2*PI()*Wn*Sheet2!A610) + (Vo/Wn - (Po*(w/Wn))/(K*(1-(w/Wn)^2)))*SIN(2*PI()*Wn*Sheet2!A610) +(Po*SIN(2*PI()*w*Sheet2!A610))/(K*(1-(w/Wn)^2))</f>
        <v>-0.12484600170616056</v>
      </c>
      <c r="C610">
        <f t="shared" si="38"/>
        <v>-0.80860966885627283</v>
      </c>
      <c r="D610">
        <f t="shared" si="39"/>
        <v>-132.08222001406713</v>
      </c>
      <c r="R610">
        <f t="shared" si="36"/>
        <v>0.60799999999999998</v>
      </c>
      <c r="S610">
        <f t="shared" si="37"/>
        <v>-0.80860966885627283</v>
      </c>
    </row>
    <row r="611" spans="1:19" x14ac:dyDescent="0.3">
      <c r="A611">
        <v>0.60899999999999999</v>
      </c>
      <c r="B611">
        <f>Uo*COS(2*PI()*Wn*Sheet2!A611) + (Vo/Wn - (Po*(w/Wn))/(K*(1-(w/Wn)^2)))*SIN(2*PI()*Wn*Sheet2!A611) +(Po*SIN(2*PI()*w*Sheet2!A611))/(K*(1-(w/Wn)^2))</f>
        <v>0.23663884822839265</v>
      </c>
      <c r="C611">
        <f t="shared" si="38"/>
        <v>-0.59978455731270719</v>
      </c>
      <c r="D611">
        <f t="shared" si="39"/>
        <v>-97.971714797907069</v>
      </c>
      <c r="R611">
        <f t="shared" si="36"/>
        <v>0.60899999999999999</v>
      </c>
      <c r="S611">
        <f t="shared" si="37"/>
        <v>-0.59978455731270719</v>
      </c>
    </row>
    <row r="612" spans="1:19" x14ac:dyDescent="0.3">
      <c r="A612">
        <v>0.61</v>
      </c>
      <c r="B612">
        <f>Uo*COS(2*PI()*Wn*Sheet2!A612) + (Vo/Wn - (Po*(w/Wn))/(K*(1-(w/Wn)^2)))*SIN(2*PI()*Wn*Sheet2!A612) +(Po*SIN(2*PI()*w*Sheet2!A612))/(K*(1-(w/Wn)^2))</f>
        <v>0.5980463927961388</v>
      </c>
      <c r="C612">
        <f t="shared" si="38"/>
        <v>-0.39114078592486429</v>
      </c>
      <c r="D612">
        <f t="shared" si="39"/>
        <v>-63.890830561149151</v>
      </c>
      <c r="R612">
        <f t="shared" si="36"/>
        <v>0.61</v>
      </c>
      <c r="S612">
        <f t="shared" si="37"/>
        <v>-0.39114078592486429</v>
      </c>
    </row>
    <row r="613" spans="1:19" x14ac:dyDescent="0.3">
      <c r="A613">
        <v>0.61099999999999999</v>
      </c>
      <c r="B613">
        <f>Uo*COS(2*PI()*Wn*Sheet2!A613) + (Vo/Wn - (Po*(w/Wn))/(K*(1-(w/Wn)^2)))*SIN(2*PI()*Wn*Sheet2!A613) +(Po*SIN(2*PI()*w*Sheet2!A613))/(K*(1-(w/Wn)^2))</f>
        <v>0.95925856709362201</v>
      </c>
      <c r="C613">
        <f t="shared" si="38"/>
        <v>-0.18274612557632247</v>
      </c>
      <c r="D613">
        <f t="shared" si="39"/>
        <v>-29.850637328182273</v>
      </c>
      <c r="R613">
        <f t="shared" si="36"/>
        <v>0.61099999999999999</v>
      </c>
      <c r="S613">
        <f t="shared" si="37"/>
        <v>-0.18274612557632247</v>
      </c>
    </row>
    <row r="614" spans="1:19" x14ac:dyDescent="0.3">
      <c r="A614">
        <v>0.61199999999999999</v>
      </c>
      <c r="B614">
        <f>Uo*COS(2*PI()*Wn*Sheet2!A614) + (Vo/Wn - (Po*(w/Wn))/(K*(1-(w/Wn)^2)))*SIN(2*PI()*Wn*Sheet2!A614) +(Po*SIN(2*PI()*w*Sheet2!A614))/(K*(1-(w/Wn)^2))</f>
        <v>1.3201573700409592</v>
      </c>
      <c r="C614">
        <f t="shared" si="38"/>
        <v>2.5331856537799565E-2</v>
      </c>
      <c r="D614">
        <f t="shared" si="39"/>
        <v>4.137828148064286</v>
      </c>
      <c r="R614">
        <f t="shared" si="36"/>
        <v>0.61199999999999999</v>
      </c>
      <c r="S614">
        <f t="shared" si="37"/>
        <v>2.5331856537799565E-2</v>
      </c>
    </row>
    <row r="615" spans="1:19" x14ac:dyDescent="0.3">
      <c r="A615">
        <v>0.61299999999999999</v>
      </c>
      <c r="B615">
        <f>Uo*COS(2*PI()*Wn*Sheet2!A615) + (Vo/Wn - (Po*(w/Wn))/(K*(1-(w/Wn)^2)))*SIN(2*PI()*Wn*Sheet2!A615) +(Po*SIN(2*PI()*w*Sheet2!A615))/(K*(1-(w/Wn)^2))</f>
        <v>1.6806249029308109</v>
      </c>
      <c r="C615">
        <f t="shared" si="38"/>
        <v>0.2330258185961506</v>
      </c>
      <c r="D615">
        <f t="shared" si="39"/>
        <v>38.063565928304065</v>
      </c>
      <c r="R615">
        <f t="shared" si="36"/>
        <v>0.61299999999999999</v>
      </c>
      <c r="S615">
        <f t="shared" si="37"/>
        <v>0.2330258185961506</v>
      </c>
    </row>
    <row r="616" spans="1:19" x14ac:dyDescent="0.3">
      <c r="A616">
        <v>0.61399999999999999</v>
      </c>
      <c r="B616">
        <f>Uo*COS(2*PI()*Wn*Sheet2!A616) + (Vo/Wn - (Po*(w/Wn))/(K*(1-(w/Wn)^2)))*SIN(2*PI()*Wn*Sheet2!A616) +(Po*SIN(2*PI()*w*Sheet2!A616))/(K*(1-(w/Wn)^2))</f>
        <v>2.04054340794334</v>
      </c>
      <c r="C616">
        <f t="shared" si="38"/>
        <v>0.44026866572340756</v>
      </c>
      <c r="D616">
        <f t="shared" si="39"/>
        <v>71.91561641061098</v>
      </c>
      <c r="R616">
        <f t="shared" si="36"/>
        <v>0.61399999999999999</v>
      </c>
      <c r="S616">
        <f t="shared" si="37"/>
        <v>0.44026866572340756</v>
      </c>
    </row>
    <row r="617" spans="1:19" x14ac:dyDescent="0.3">
      <c r="A617">
        <v>0.61499999999999999</v>
      </c>
      <c r="B617">
        <f>Uo*COS(2*PI()*Wn*Sheet2!A617) + (Vo/Wn - (Po*(w/Wn))/(K*(1-(w/Wn)^2)))*SIN(2*PI()*Wn*Sheet2!A617) +(Po*SIN(2*PI()*w*Sheet2!A617))/(K*(1-(w/Wn)^2))</f>
        <v>2.3997953066157147</v>
      </c>
      <c r="C617">
        <f t="shared" si="38"/>
        <v>0.64699357144331016</v>
      </c>
      <c r="D617">
        <f t="shared" si="39"/>
        <v>105.68306383466195</v>
      </c>
      <c r="R617">
        <f t="shared" si="36"/>
        <v>0.61499999999999999</v>
      </c>
      <c r="S617">
        <f t="shared" si="37"/>
        <v>0.64699357144331016</v>
      </c>
    </row>
    <row r="618" spans="1:19" x14ac:dyDescent="0.3">
      <c r="A618">
        <v>0.61599999999999999</v>
      </c>
      <c r="B618">
        <f>Uo*COS(2*PI()*Wn*Sheet2!A618) + (Vo/Wn - (Po*(w/Wn))/(K*(1-(w/Wn)^2)))*SIN(2*PI()*Wn*Sheet2!A618) +(Po*SIN(2*PI()*w*Sheet2!A618))/(K*(1-(w/Wn)^2))</f>
        <v>2.7582632382524497</v>
      </c>
      <c r="C618">
        <f t="shared" si="38"/>
        <v>0.85313399900502318</v>
      </c>
      <c r="D618">
        <f t="shared" si="39"/>
        <v>139.35503976528815</v>
      </c>
      <c r="R618">
        <f t="shared" si="36"/>
        <v>0.61599999999999999</v>
      </c>
      <c r="S618">
        <f t="shared" si="37"/>
        <v>0.85313399900502318</v>
      </c>
    </row>
    <row r="619" spans="1:19" x14ac:dyDescent="0.3">
      <c r="A619">
        <v>0.61699999999999999</v>
      </c>
      <c r="B619">
        <f>Uo*COS(2*PI()*Wn*Sheet2!A619) + (Vo/Wn - (Po*(w/Wn))/(K*(1-(w/Wn)^2)))*SIN(2*PI()*Wn*Sheet2!A619) +(Po*SIN(2*PI()*w*Sheet2!A619))/(K*(1-(w/Wn)^2))</f>
        <v>3.1158300982651732</v>
      </c>
      <c r="C619">
        <f t="shared" si="38"/>
        <v>1.0586237225767547</v>
      </c>
      <c r="D619">
        <f t="shared" si="39"/>
        <v>172.92072655434333</v>
      </c>
      <c r="R619">
        <f t="shared" si="36"/>
        <v>0.61699999999999999</v>
      </c>
      <c r="S619">
        <f t="shared" si="37"/>
        <v>1.0586237225767547</v>
      </c>
    </row>
    <row r="620" spans="1:19" x14ac:dyDescent="0.3">
      <c r="A620">
        <v>0.61799999999999999</v>
      </c>
      <c r="B620">
        <f>Uo*COS(2*PI()*Wn*Sheet2!A620) + (Vo/Wn - (Po*(w/Wn))/(K*(1-(w/Wn)^2)))*SIN(2*PI()*Wn*Sheet2!A620) +(Po*SIN(2*PI()*w*Sheet2!A620))/(K*(1-(w/Wn)^2))</f>
        <v>3.4723790764281675</v>
      </c>
      <c r="C620">
        <f t="shared" si="38"/>
        <v>1.2633968482992965</v>
      </c>
      <c r="D620">
        <f t="shared" si="39"/>
        <v>206.36936077969105</v>
      </c>
      <c r="R620">
        <f t="shared" si="36"/>
        <v>0.61799999999999999</v>
      </c>
      <c r="S620">
        <f t="shared" si="37"/>
        <v>1.2633968482992965</v>
      </c>
    </row>
    <row r="621" spans="1:19" x14ac:dyDescent="0.3">
      <c r="A621">
        <v>0.61899999999999999</v>
      </c>
      <c r="B621">
        <f>Uo*COS(2*PI()*Wn*Sheet2!A621) + (Vo/Wn - (Po*(w/Wn))/(K*(1-(w/Wn)^2)))*SIN(2*PI()*Wn*Sheet2!A621) +(Po*SIN(2*PI()*w*Sheet2!A621))/(K*(1-(w/Wn)^2))</f>
        <v>3.8277936950383058</v>
      </c>
      <c r="C621">
        <f t="shared" si="38"/>
        <v>1.4673878351935161</v>
      </c>
      <c r="D621">
        <f t="shared" si="39"/>
        <v>239.69023666033564</v>
      </c>
      <c r="R621">
        <f t="shared" si="36"/>
        <v>0.61899999999999999</v>
      </c>
      <c r="S621">
        <f t="shared" si="37"/>
        <v>1.4673878351935161</v>
      </c>
    </row>
    <row r="622" spans="1:19" x14ac:dyDescent="0.3">
      <c r="A622">
        <v>0.62</v>
      </c>
      <c r="B622">
        <f>Uo*COS(2*PI()*Wn*Sheet2!A622) + (Vo/Wn - (Po*(w/Wn))/(K*(1-(w/Wn)^2)))*SIN(2*PI()*Wn*Sheet2!A622) +(Po*SIN(2*PI()*w*Sheet2!A622))/(K*(1-(w/Wn)^2))</f>
        <v>4.1819578469657994</v>
      </c>
      <c r="C622">
        <f t="shared" si="38"/>
        <v>1.6705315159145979</v>
      </c>
      <c r="D622">
        <f t="shared" si="39"/>
        <v>272.87270944652062</v>
      </c>
      <c r="R622">
        <f t="shared" si="36"/>
        <v>0.62</v>
      </c>
      <c r="S622">
        <f t="shared" si="37"/>
        <v>1.6705315159145979</v>
      </c>
    </row>
    <row r="623" spans="1:19" x14ac:dyDescent="0.3">
      <c r="A623">
        <v>0.621</v>
      </c>
      <c r="B623">
        <f>Uo*COS(2*PI()*Wn*Sheet2!A623) + (Vo/Wn - (Po*(w/Wn))/(K*(1-(w/Wn)^2)))*SIN(2*PI()*Wn*Sheet2!A623) +(Po*SIN(2*PI()*w*Sheet2!A623))/(K*(1-(w/Wn)^2))</f>
        <v>4.5347558335844482</v>
      </c>
      <c r="C623">
        <f t="shared" si="38"/>
        <v>1.8727631173471804</v>
      </c>
      <c r="D623">
        <f t="shared" si="39"/>
        <v>305.90619878383808</v>
      </c>
      <c r="R623">
        <f t="shared" si="36"/>
        <v>0.621</v>
      </c>
      <c r="S623">
        <f t="shared" si="37"/>
        <v>1.8727631173471804</v>
      </c>
    </row>
    <row r="624" spans="1:19" x14ac:dyDescent="0.3">
      <c r="A624">
        <v>0.622</v>
      </c>
      <c r="B624">
        <f>Uo*COS(2*PI()*Wn*Sheet2!A624) + (Vo/Wn - (Po*(w/Wn))/(K*(1-(w/Wn)^2)))*SIN(2*PI()*Wn*Sheet2!A624) +(Po*SIN(2*PI()*w*Sheet2!A624))/(K*(1-(w/Wn)^2))</f>
        <v>4.8860724025678808</v>
      </c>
      <c r="C624">
        <f t="shared" si="38"/>
        <v>2.0740182810343062</v>
      </c>
      <c r="D624">
        <f t="shared" si="39"/>
        <v>338.78019205019234</v>
      </c>
      <c r="R624">
        <f t="shared" si="36"/>
        <v>0.622</v>
      </c>
      <c r="S624">
        <f t="shared" si="37"/>
        <v>2.0740182810343062</v>
      </c>
    </row>
    <row r="625" spans="1:19" x14ac:dyDescent="0.3">
      <c r="A625">
        <v>0.623</v>
      </c>
      <c r="B625">
        <f>Uo*COS(2*PI()*Wn*Sheet2!A625) + (Vo/Wn - (Po*(w/Wn))/(K*(1-(w/Wn)^2)))*SIN(2*PI()*Wn*Sheet2!A625) +(Po*SIN(2*PI()*w*Sheet2!A625))/(K*(1-(w/Wn)^2))</f>
        <v>5.2357927855405526</v>
      </c>
      <c r="C625">
        <f t="shared" si="38"/>
        <v>2.2742330834344657</v>
      </c>
      <c r="D625">
        <f t="shared" si="39"/>
        <v>371.48424766468349</v>
      </c>
      <c r="R625">
        <f t="shared" si="36"/>
        <v>0.623</v>
      </c>
      <c r="S625">
        <f t="shared" si="37"/>
        <v>2.2742330834344657</v>
      </c>
    </row>
    <row r="626" spans="1:19" x14ac:dyDescent="0.3">
      <c r="A626">
        <v>0.624</v>
      </c>
      <c r="B626">
        <f>Uo*COS(2*PI()*Wn*Sheet2!A626) + (Vo/Wn - (Po*(w/Wn))/(K*(1-(w/Wn)^2)))*SIN(2*PI()*Wn*Sheet2!A626) +(Po*SIN(2*PI()*w*Sheet2!A626))/(K*(1-(w/Wn)^2))</f>
        <v>5.5838027355700959</v>
      </c>
      <c r="C626">
        <f t="shared" si="38"/>
        <v>2.4733440559997883</v>
      </c>
      <c r="D626">
        <f t="shared" si="39"/>
        <v>404.00799836727668</v>
      </c>
      <c r="R626">
        <f t="shared" si="36"/>
        <v>0.624</v>
      </c>
      <c r="S626">
        <f t="shared" si="37"/>
        <v>2.4733440559997883</v>
      </c>
    </row>
    <row r="627" spans="1:19" x14ac:dyDescent="0.3">
      <c r="A627">
        <v>0.625</v>
      </c>
      <c r="B627">
        <f>Uo*COS(2*PI()*Wn*Sheet2!A627) + (Vo/Wn - (Po*(w/Wn))/(K*(1-(w/Wn)^2)))*SIN(2*PI()*Wn*Sheet2!A627) +(Po*SIN(2*PI()*w*Sheet2!A627))/(K*(1-(w/Wn)^2))</f>
        <v>5.929988564489868</v>
      </c>
      <c r="C627">
        <f t="shared" si="38"/>
        <v>2.6712882050697955</v>
      </c>
      <c r="D627">
        <f t="shared" si="39"/>
        <v>436.34115446834369</v>
      </c>
      <c r="R627">
        <f t="shared" si="36"/>
        <v>0.625</v>
      </c>
      <c r="S627">
        <f t="shared" si="37"/>
        <v>2.6712882050697955</v>
      </c>
    </row>
    <row r="628" spans="1:19" x14ac:dyDescent="0.3">
      <c r="A628">
        <v>0.626</v>
      </c>
      <c r="B628">
        <f>Uo*COS(2*PI()*Wn*Sheet2!A628) + (Vo/Wn - (Po*(w/Wn))/(K*(1-(w/Wn)^2)))*SIN(2*PI()*Wn*Sheet2!A628) +(Po*SIN(2*PI()*w*Sheet2!A628))/(K*(1-(w/Wn)^2))</f>
        <v>6.2742371800384591</v>
      </c>
      <c r="C628">
        <f t="shared" si="38"/>
        <v>2.8680030315739264</v>
      </c>
      <c r="D628">
        <f t="shared" si="39"/>
        <v>468.47350706696932</v>
      </c>
      <c r="R628">
        <f t="shared" si="36"/>
        <v>0.626</v>
      </c>
      <c r="S628">
        <f t="shared" si="37"/>
        <v>2.8680030315739264</v>
      </c>
    </row>
    <row r="629" spans="1:19" x14ac:dyDescent="0.3">
      <c r="A629">
        <v>0.627</v>
      </c>
      <c r="B629">
        <f>Uo*COS(2*PI()*Wn*Sheet2!A629) + (Vo/Wn - (Po*(w/Wn))/(K*(1-(w/Wn)^2)))*SIN(2*PI()*Wn*Sheet2!A629) +(Po*SIN(2*PI()*w*Sheet2!A629))/(K*(1-(w/Wn)^2))</f>
        <v>6.6164361228048598</v>
      </c>
      <c r="C629">
        <f t="shared" si="38"/>
        <v>3.0634265505372689</v>
      </c>
      <c r="D629">
        <f t="shared" si="39"/>
        <v>500.39493123711162</v>
      </c>
      <c r="R629">
        <f t="shared" si="36"/>
        <v>0.627</v>
      </c>
      <c r="S629">
        <f t="shared" si="37"/>
        <v>3.0634265505372689</v>
      </c>
    </row>
    <row r="630" spans="1:19" x14ac:dyDescent="0.3">
      <c r="A630">
        <v>0.628</v>
      </c>
      <c r="B630">
        <f>Uo*COS(2*PI()*Wn*Sheet2!A630) + (Vo/Wn - (Po*(w/Wn))/(K*(1-(w/Wn)^2)))*SIN(2*PI()*Wn*Sheet2!A630) +(Po*SIN(2*PI()*w*Sheet2!A630))/(K*(1-(w/Wn)^2))</f>
        <v>6.956473602966895</v>
      </c>
      <c r="C630">
        <f t="shared" si="38"/>
        <v>3.2574973103832523</v>
      </c>
      <c r="D630">
        <f t="shared" si="39"/>
        <v>532.09538918059764</v>
      </c>
      <c r="R630">
        <f t="shared" si="36"/>
        <v>0.628</v>
      </c>
      <c r="S630">
        <f t="shared" si="37"/>
        <v>3.2574973103832523</v>
      </c>
    </row>
    <row r="631" spans="1:19" x14ac:dyDescent="0.3">
      <c r="A631">
        <v>0.629</v>
      </c>
      <c r="B631">
        <f>Uo*COS(2*PI()*Wn*Sheet2!A631) + (Vo/Wn - (Po*(w/Wn))/(K*(1-(w/Wn)^2)))*SIN(2*PI()*Wn*Sheet2!A631) +(Po*SIN(2*PI()*w*Sheet2!A631))/(K*(1-(w/Wn)^2))</f>
        <v>7.294238536810572</v>
      </c>
      <c r="C631">
        <f t="shared" si="38"/>
        <v>3.4501544120272185</v>
      </c>
      <c r="D631">
        <f t="shared" si="39"/>
        <v>563.56493334595916</v>
      </c>
      <c r="R631">
        <f t="shared" si="36"/>
        <v>0.629</v>
      </c>
      <c r="S631">
        <f t="shared" si="37"/>
        <v>3.4501544120272185</v>
      </c>
    </row>
    <row r="632" spans="1:19" x14ac:dyDescent="0.3">
      <c r="A632">
        <v>0.63</v>
      </c>
      <c r="B632">
        <f>Uo*COS(2*PI()*Wn*Sheet2!A632) + (Vo/Wn - (Po*(w/Wn))/(K*(1-(w/Wn)^2)))*SIN(2*PI()*Wn*Sheet2!A632) +(Po*SIN(2*PI()*w*Sheet2!A632))/(K*(1-(w/Wn)^2))</f>
        <v>7.6296205830192694</v>
      </c>
      <c r="C632">
        <f t="shared" si="38"/>
        <v>3.6413375277554603</v>
      </c>
      <c r="D632">
        <f t="shared" si="39"/>
        <v>594.79370951222688</v>
      </c>
      <c r="R632">
        <f t="shared" si="36"/>
        <v>0.63</v>
      </c>
      <c r="S632">
        <f t="shared" si="37"/>
        <v>3.6413375277554603</v>
      </c>
    </row>
    <row r="633" spans="1:19" x14ac:dyDescent="0.3">
      <c r="A633">
        <v>0.63100000000000001</v>
      </c>
      <c r="B633">
        <f>Uo*COS(2*PI()*Wn*Sheet2!A633) + (Vo/Wn - (Po*(w/Wn))/(K*(1-(w/Wn)^2)))*SIN(2*PI()*Wn*Sheet2!A633) +(Po*SIN(2*PI()*w*Sheet2!A633))/(K*(1-(w/Wn)^2))</f>
        <v>7.9625101787198558</v>
      </c>
      <c r="C633">
        <f t="shared" si="38"/>
        <v>3.8309869198833759</v>
      </c>
      <c r="D633">
        <f t="shared" si="39"/>
        <v>625.77195983664376</v>
      </c>
      <c r="R633">
        <f t="shared" si="36"/>
        <v>0.63100000000000001</v>
      </c>
      <c r="S633">
        <f t="shared" si="37"/>
        <v>3.8309869198833759</v>
      </c>
    </row>
    <row r="634" spans="1:19" x14ac:dyDescent="0.3">
      <c r="A634">
        <v>0.63200000000000001</v>
      </c>
      <c r="B634">
        <f>Uo*COS(2*PI()*Wn*Sheet2!A634) + (Vo/Wn - (Po*(w/Wn))/(K*(1-(w/Wn)^2)))*SIN(2*PI()*Wn*Sheet2!A634) +(Po*SIN(2*PI()*w*Sheet2!A634))/(K*(1-(w/Wn)^2))</f>
        <v>8.2927985752750413</v>
      </c>
      <c r="C634">
        <f t="shared" si="38"/>
        <v>4.0190434591876691</v>
      </c>
      <c r="D634">
        <f t="shared" si="39"/>
        <v>656.49002586546931</v>
      </c>
      <c r="R634">
        <f t="shared" si="36"/>
        <v>0.63200000000000001</v>
      </c>
      <c r="S634">
        <f t="shared" si="37"/>
        <v>4.0190434591876691</v>
      </c>
    </row>
    <row r="635" spans="1:19" x14ac:dyDescent="0.3">
      <c r="A635">
        <v>0.63300000000000001</v>
      </c>
      <c r="B635">
        <f>Uo*COS(2*PI()*Wn*Sheet2!A635) + (Vo/Wn - (Po*(w/Wn))/(K*(1-(w/Wn)^2)))*SIN(2*PI()*Wn*Sheet2!A635) +(Po*SIN(2*PI()*w*Sheet2!A635))/(K*(1-(w/Wn)^2))</f>
        <v>8.6203778738092058</v>
      </c>
      <c r="C635">
        <f t="shared" si="38"/>
        <v>4.2054486431063536</v>
      </c>
      <c r="D635">
        <f t="shared" si="39"/>
        <v>686.93835150685686</v>
      </c>
      <c r="R635">
        <f t="shared" si="36"/>
        <v>0.63300000000000001</v>
      </c>
      <c r="S635">
        <f t="shared" si="37"/>
        <v>4.2054486431063536</v>
      </c>
    </row>
    <row r="636" spans="1:19" x14ac:dyDescent="0.3">
      <c r="A636">
        <v>0.63400000000000001</v>
      </c>
      <c r="B636">
        <f>Uo*COS(2*PI()*Wn*Sheet2!A636) + (Vo/Wn - (Po*(w/Wn))/(K*(1-(w/Wn)^2)))*SIN(2*PI()*Wn*Sheet2!A636) +(Po*SIN(2*PI()*w*Sheet2!A636))/(K*(1-(w/Wn)^2))</f>
        <v>8.9451410604571553</v>
      </c>
      <c r="C636">
        <f t="shared" si="38"/>
        <v>4.3901446137016658</v>
      </c>
      <c r="D636">
        <f t="shared" si="39"/>
        <v>717.10748596500264</v>
      </c>
      <c r="R636">
        <f t="shared" si="36"/>
        <v>0.63400000000000001</v>
      </c>
      <c r="S636">
        <f t="shared" si="37"/>
        <v>4.3901446137016658</v>
      </c>
    </row>
    <row r="637" spans="1:19" x14ac:dyDescent="0.3">
      <c r="A637">
        <v>0.63500000000000001</v>
      </c>
      <c r="B637">
        <f>Uo*COS(2*PI()*Wn*Sheet2!A637) + (Vo/Wn - (Po*(w/Wn))/(K*(1-(w/Wn)^2)))*SIN(2*PI()*Wn*Sheet2!A637) +(Po*SIN(2*PI()*w*Sheet2!A637))/(K*(1-(w/Wn)^2))</f>
        <v>9.2669820413232316</v>
      </c>
      <c r="C637">
        <f t="shared" si="38"/>
        <v>4.5730741753798458</v>
      </c>
      <c r="D637">
        <f t="shared" si="39"/>
        <v>746.98808663458101</v>
      </c>
      <c r="R637">
        <f t="shared" si="36"/>
        <v>0.63500000000000001</v>
      </c>
      <c r="S637">
        <f t="shared" si="37"/>
        <v>4.5730741753798458</v>
      </c>
    </row>
    <row r="638" spans="1:19" x14ac:dyDescent="0.3">
      <c r="A638">
        <v>0.63600000000000001</v>
      </c>
      <c r="B638">
        <f>Uo*COS(2*PI()*Wn*Sheet2!A638) + (Vo/Wn - (Po*(w/Wn))/(K*(1-(w/Wn)^2)))*SIN(2*PI()*Wn*Sheet2!A638) +(Po*SIN(2*PI()*w*Sheet2!A638))/(K*(1-(w/Wn)^2))</f>
        <v>9.5857956771404016</v>
      </c>
      <c r="C638">
        <f t="shared" si="38"/>
        <v>4.7541808123630389</v>
      </c>
      <c r="D638">
        <f t="shared" si="39"/>
        <v>776.57092195468863</v>
      </c>
      <c r="R638">
        <f t="shared" si="36"/>
        <v>0.63600000000000001</v>
      </c>
      <c r="S638">
        <f t="shared" si="37"/>
        <v>4.7541808123630389</v>
      </c>
    </row>
    <row r="639" spans="1:19" x14ac:dyDescent="0.3">
      <c r="A639">
        <v>0.63700000000000001</v>
      </c>
      <c r="B639">
        <f>Uo*COS(2*PI()*Wn*Sheet2!A639) + (Vo/Wn - (Po*(w/Wn))/(K*(1-(w/Wn)^2)))*SIN(2*PI()*Wn*Sheet2!A639) +(Po*SIN(2*PI()*w*Sheet2!A639))/(K*(1-(w/Wn)^2))</f>
        <v>9.9014778176169997</v>
      </c>
      <c r="C639">
        <f t="shared" si="38"/>
        <v>4.9334087059074569</v>
      </c>
      <c r="D639">
        <f t="shared" si="39"/>
        <v>805.84687422134323</v>
      </c>
      <c r="R639">
        <f t="shared" si="36"/>
        <v>0.63700000000000001</v>
      </c>
      <c r="S639">
        <f t="shared" si="37"/>
        <v>4.9334087059074569</v>
      </c>
    </row>
    <row r="640" spans="1:19" x14ac:dyDescent="0.3">
      <c r="A640">
        <v>0.63800000000000001</v>
      </c>
      <c r="B640">
        <f>Uo*COS(2*PI()*Wn*Sheet2!A640) + (Vo/Wn - (Po*(w/Wn))/(K*(1-(w/Wn)^2)))*SIN(2*PI()*Wn*Sheet2!A640) +(Po*SIN(2*PI()*w*Sheet2!A640))/(K*(1-(w/Wn)^2))</f>
        <v>10.213925335460864</v>
      </c>
      <c r="C640">
        <f t="shared" si="38"/>
        <v>5.1107027512632506</v>
      </c>
      <c r="D640">
        <f t="shared" si="39"/>
        <v>834.80694235779072</v>
      </c>
      <c r="R640">
        <f t="shared" si="36"/>
        <v>0.63800000000000001</v>
      </c>
      <c r="S640">
        <f t="shared" si="37"/>
        <v>5.1107027512632506</v>
      </c>
    </row>
    <row r="641" spans="1:19" x14ac:dyDescent="0.3">
      <c r="A641">
        <v>0.63900000000000001</v>
      </c>
      <c r="B641">
        <f>Uo*COS(2*PI()*Wn*Sheet2!A641) + (Vo/Wn - (Po*(w/Wn))/(K*(1-(w/Wn)^2)))*SIN(2*PI()*Wn*Sheet2!A641) +(Po*SIN(2*PI()*w*Sheet2!A641))/(K*(1-(w/Wn)^2))</f>
        <v>10.523036160068797</v>
      </c>
      <c r="C641">
        <f t="shared" si="38"/>
        <v>5.2860085743704248</v>
      </c>
      <c r="D641">
        <f t="shared" si="39"/>
        <v>863.44224464169724</v>
      </c>
      <c r="R641">
        <f t="shared" ref="R641:R704" si="40">A641</f>
        <v>0.63900000000000001</v>
      </c>
      <c r="S641">
        <f t="shared" ref="S641:S704" si="41">C641</f>
        <v>5.2860085743704248</v>
      </c>
    </row>
    <row r="642" spans="1:19" x14ac:dyDescent="0.3">
      <c r="A642">
        <v>0.64</v>
      </c>
      <c r="B642">
        <f>Uo*COS(2*PI()*Wn*Sheet2!A642) + (Vo/Wn - (Po*(w/Wn))/(K*(1-(w/Wn)^2)))*SIN(2*PI()*Wn*Sheet2!A642) +(Po*SIN(2*PI()*w*Sheet2!A642))/(K*(1-(w/Wn)^2))</f>
        <v>10.828709310871321</v>
      </c>
      <c r="C642">
        <f t="shared" ref="C642:C705" si="42">EXP(-zeta*Wn*A642*2*PI())*($H$1*COS(wnD*2*PI()*A642) + $H$2*SIN(wnD*2*PI()*A642)) + $H$3*SIN(w*2*PI()*A642) + $H$4*COS(w*2*PI()*A642)</f>
        <v>5.4592725482863944</v>
      </c>
      <c r="D642">
        <f t="shared" ref="D642:D705" si="43">K*C642</f>
        <v>891.74402138850542</v>
      </c>
      <c r="R642">
        <f t="shared" si="40"/>
        <v>0.64</v>
      </c>
      <c r="S642">
        <f t="shared" si="41"/>
        <v>5.4592725482863944</v>
      </c>
    </row>
    <row r="643" spans="1:19" x14ac:dyDescent="0.3">
      <c r="A643">
        <v>0.64100000000000001</v>
      </c>
      <c r="B643">
        <f>Uo*COS(2*PI()*Wn*Sheet2!A643) + (Vo/Wn - (Po*(w/Wn))/(K*(1-(w/Wn)^2)))*SIN(2*PI()*Wn*Sheet2!A643) +(Po*SIN(2*PI()*w*Sheet2!A643))/(K*(1-(w/Wn)^2))</f>
        <v>11.130844930320841</v>
      </c>
      <c r="C643">
        <f t="shared" si="42"/>
        <v>5.6304418093397643</v>
      </c>
      <c r="D643">
        <f t="shared" si="43"/>
        <v>919.70363759007103</v>
      </c>
      <c r="R643">
        <f t="shared" si="40"/>
        <v>0.64100000000000001</v>
      </c>
      <c r="S643">
        <f t="shared" si="41"/>
        <v>5.6304418093397643</v>
      </c>
    </row>
    <row r="644" spans="1:19" x14ac:dyDescent="0.3">
      <c r="A644">
        <v>0.64200000000000002</v>
      </c>
      <c r="B644">
        <f>Uo*COS(2*PI()*Wn*Sheet2!A644) + (Vo/Wn - (Po*(w/Wn))/(K*(1-(w/Wn)^2)))*SIN(2*PI()*Wn*Sheet2!A644) +(Po*SIN(2*PI()*w*Sheet2!A644))/(K*(1-(w/Wn)^2))</f>
        <v>11.429344316513435</v>
      </c>
      <c r="C644">
        <f t="shared" si="42"/>
        <v>5.7994642730060688</v>
      </c>
      <c r="D644">
        <f t="shared" si="43"/>
        <v>947.31258550788368</v>
      </c>
      <c r="R644">
        <f t="shared" si="40"/>
        <v>0.64200000000000002</v>
      </c>
      <c r="S644">
        <f t="shared" si="41"/>
        <v>5.7994642730060688</v>
      </c>
    </row>
    <row r="645" spans="1:19" x14ac:dyDescent="0.3">
      <c r="A645">
        <v>0.64300000000000002</v>
      </c>
      <c r="B645">
        <f>Uo*COS(2*PI()*Wn*Sheet2!A645) + (Vo/Wn - (Po*(w/Wn))/(K*(1-(w/Wn)^2)))*SIN(2*PI()*Wn*Sheet2!A645) +(Po*SIN(2*PI()*w*Sheet2!A645))/(K*(1-(w/Wn)^2))</f>
        <v>11.724109955432658</v>
      </c>
      <c r="C645">
        <f t="shared" si="42"/>
        <v>5.966288649500302</v>
      </c>
      <c r="D645">
        <f t="shared" si="43"/>
        <v>974.56248722002533</v>
      </c>
      <c r="R645">
        <f t="shared" si="40"/>
        <v>0.64300000000000002</v>
      </c>
      <c r="S645">
        <f t="shared" si="41"/>
        <v>5.966288649500302</v>
      </c>
    </row>
    <row r="646" spans="1:19" x14ac:dyDescent="0.3">
      <c r="A646">
        <v>0.64400000000000002</v>
      </c>
      <c r="B646">
        <f>Uo*COS(2*PI()*Wn*Sheet2!A646) + (Vo/Wn - (Po*(w/Wn))/(K*(1-(w/Wn)^2)))*SIN(2*PI()*Wn*Sheet2!A646) +(Po*SIN(2*PI()*w*Sheet2!A646))/(K*(1-(w/Wn)^2))</f>
        <v>12.01504555280559</v>
      </c>
      <c r="C646">
        <f t="shared" si="42"/>
        <v>6.1308644590820673</v>
      </c>
      <c r="D646">
        <f t="shared" si="43"/>
        <v>1001.4450971211885</v>
      </c>
      <c r="R646">
        <f t="shared" si="40"/>
        <v>0.64400000000000002</v>
      </c>
      <c r="S646">
        <f t="shared" si="41"/>
        <v>6.1308644590820673</v>
      </c>
    </row>
    <row r="647" spans="1:19" x14ac:dyDescent="0.3">
      <c r="A647">
        <v>0.64500000000000002</v>
      </c>
      <c r="B647">
        <f>Uo*COS(2*PI()*Wn*Sheet2!A647) + (Vo/Wn - (Po*(w/Wn))/(K*(1-(w/Wn)^2)))*SIN(2*PI()*Wn*Sheet2!A647) +(Po*SIN(2*PI()*w*Sheet2!A647))/(K*(1-(w/Wn)^2))</f>
        <v>12.302056065560407</v>
      </c>
      <c r="C647">
        <f t="shared" si="42"/>
        <v>6.2931420470686978</v>
      </c>
      <c r="D647">
        <f t="shared" si="43"/>
        <v>1027.9523043749916</v>
      </c>
      <c r="R647">
        <f t="shared" si="40"/>
        <v>0.64500000000000002</v>
      </c>
      <c r="S647">
        <f t="shared" si="41"/>
        <v>6.2931420470686978</v>
      </c>
    </row>
    <row r="648" spans="1:19" x14ac:dyDescent="0.3">
      <c r="A648">
        <v>0.64600000000000002</v>
      </c>
      <c r="B648">
        <f>Uo*COS(2*PI()*Wn*Sheet2!A648) + (Vo/Wn - (Po*(w/Wn))/(K*(1-(w/Wn)^2)))*SIN(2*PI()*Wn*Sheet2!A648) +(Po*SIN(2*PI()*w*Sheet2!A648))/(K*(1-(w/Wn)^2))</f>
        <v>12.585047732874932</v>
      </c>
      <c r="C648">
        <f t="shared" si="42"/>
        <v>6.4530725985518034</v>
      </c>
      <c r="D648">
        <f t="shared" si="43"/>
        <v>1054.0761353178507</v>
      </c>
      <c r="R648">
        <f t="shared" si="40"/>
        <v>0.64600000000000002</v>
      </c>
      <c r="S648">
        <f t="shared" si="41"/>
        <v>6.4530725985518034</v>
      </c>
    </row>
    <row r="649" spans="1:19" x14ac:dyDescent="0.3">
      <c r="A649">
        <v>0.64700000000000002</v>
      </c>
      <c r="B649">
        <f>Uo*COS(2*PI()*Wn*Sheet2!A649) + (Vo/Wn - (Po*(w/Wn))/(K*(1-(w/Wn)^2)))*SIN(2*PI()*Wn*Sheet2!A649) +(Po*SIN(2*PI()*w*Sheet2!A649))/(K*(1-(w/Wn)^2))</f>
        <v>12.863928106806718</v>
      </c>
      <c r="C649">
        <f t="shared" si="42"/>
        <v>6.6106081528134171</v>
      </c>
      <c r="D649">
        <f t="shared" si="43"/>
        <v>1079.8087558137836</v>
      </c>
      <c r="R649">
        <f t="shared" si="40"/>
        <v>0.64700000000000002</v>
      </c>
      <c r="S649">
        <f t="shared" si="41"/>
        <v>6.6106081528134171</v>
      </c>
    </row>
    <row r="650" spans="1:19" x14ac:dyDescent="0.3">
      <c r="A650">
        <v>0.64800000000000002</v>
      </c>
      <c r="B650">
        <f>Uo*COS(2*PI()*Wn*Sheet2!A650) + (Vo/Wn - (Po*(w/Wn))/(K*(1-(w/Wn)^2)))*SIN(2*PI()*Wn*Sheet2!A650) +(Po*SIN(2*PI()*w*Sheet2!A650))/(K*(1-(w/Wn)^2))</f>
        <v>13.138606082493789</v>
      </c>
      <c r="C650">
        <f t="shared" si="42"/>
        <v>6.7657016174370384</v>
      </c>
      <c r="D650">
        <f t="shared" si="43"/>
        <v>1105.1424735593753</v>
      </c>
      <c r="R650">
        <f t="shared" si="40"/>
        <v>0.64800000000000002</v>
      </c>
      <c r="S650">
        <f t="shared" si="41"/>
        <v>6.7657016174370384</v>
      </c>
    </row>
    <row r="651" spans="1:19" x14ac:dyDescent="0.3">
      <c r="A651">
        <v>0.64900000000000002</v>
      </c>
      <c r="B651">
        <f>Uo*COS(2*PI()*Wn*Sheet2!A651) + (Vo/Wn - (Po*(w/Wn))/(K*(1-(w/Wn)^2)))*SIN(2*PI()*Wn*Sheet2!A651) +(Po*SIN(2*PI()*w*Sheet2!A651))/(K*(1-(w/Wn)^2))</f>
        <v>13.408991927917079</v>
      </c>
      <c r="C651">
        <f t="shared" si="42"/>
        <v>6.9183067821100561</v>
      </c>
      <c r="D651">
        <f t="shared" si="43"/>
        <v>1130.0697403383324</v>
      </c>
      <c r="R651">
        <f t="shared" si="40"/>
        <v>0.64900000000000002</v>
      </c>
      <c r="S651">
        <f t="shared" si="41"/>
        <v>6.9183067821100561</v>
      </c>
    </row>
    <row r="652" spans="1:19" x14ac:dyDescent="0.3">
      <c r="A652">
        <v>0.65</v>
      </c>
      <c r="B652">
        <f>Uo*COS(2*PI()*Wn*Sheet2!A652) + (Vo/Wn - (Po*(w/Wn))/(K*(1-(w/Wn)^2)))*SIN(2*PI()*Wn*Sheet2!A652) +(Po*SIN(2*PI()*w*Sheet2!A652))/(K*(1-(w/Wn)^2))</f>
        <v>13.674997313213931</v>
      </c>
      <c r="C652">
        <f t="shared" si="42"/>
        <v>7.0683783321130882</v>
      </c>
      <c r="D652">
        <f t="shared" si="43"/>
        <v>1154.583154224898</v>
      </c>
      <c r="R652">
        <f t="shared" si="40"/>
        <v>0.65</v>
      </c>
      <c r="S652">
        <f t="shared" si="41"/>
        <v>7.0683783321130882</v>
      </c>
    </row>
    <row r="653" spans="1:19" x14ac:dyDescent="0.3">
      <c r="A653">
        <v>0.65100000000000002</v>
      </c>
      <c r="B653">
        <f>Uo*COS(2*PI()*Wn*Sheet2!A653) + (Vo/Wn - (Po*(w/Wn))/(K*(1-(w/Wn)^2)))*SIN(2*PI()*Wn*Sheet2!A653) +(Po*SIN(2*PI()*w*Sheet2!A653))/(K*(1-(w/Wn)^2))</f>
        <v>13.936535339533986</v>
      </c>
      <c r="C653">
        <f t="shared" si="42"/>
        <v>7.2158718614928912</v>
      </c>
      <c r="D653">
        <f t="shared" si="43"/>
        <v>1178.675461735578</v>
      </c>
      <c r="R653">
        <f t="shared" si="40"/>
        <v>0.65100000000000002</v>
      </c>
      <c r="S653">
        <f t="shared" si="41"/>
        <v>7.2158718614928912</v>
      </c>
    </row>
    <row r="654" spans="1:19" x14ac:dyDescent="0.3">
      <c r="A654">
        <v>0.65200000000000002</v>
      </c>
      <c r="B654">
        <f>Uo*COS(2*PI()*Wn*Sheet2!A654) + (Vo/Wn - (Po*(w/Wn))/(K*(1-(w/Wn)^2)))*SIN(2*PI()*Wn*Sheet2!A654) +(Po*SIN(2*PI()*w*Sheet2!A654))/(K*(1-(w/Wn)^2))</f>
        <v>14.193520567427163</v>
      </c>
      <c r="C654">
        <f t="shared" si="42"/>
        <v>7.3607438859146521</v>
      </c>
      <c r="D654">
        <f t="shared" si="43"/>
        <v>1202.3395599284966</v>
      </c>
      <c r="R654">
        <f t="shared" si="40"/>
        <v>0.65200000000000002</v>
      </c>
      <c r="S654">
        <f t="shared" si="41"/>
        <v>7.3607438859146521</v>
      </c>
    </row>
    <row r="655" spans="1:19" x14ac:dyDescent="0.3">
      <c r="A655">
        <v>0.65300000000000002</v>
      </c>
      <c r="B655">
        <f>Uo*COS(2*PI()*Wn*Sheet2!A655) + (Vo/Wn - (Po*(w/Wn))/(K*(1-(w/Wn)^2)))*SIN(2*PI()*Wn*Sheet2!A655) +(Po*SIN(2*PI()*w*Sheet2!A655))/(K*(1-(w/Wn)^2))</f>
        <v>14.445869044755275</v>
      </c>
      <c r="C655">
        <f t="shared" si="42"/>
        <v>7.5029518551904841</v>
      </c>
      <c r="D655">
        <f t="shared" si="43"/>
        <v>1225.5684984498623</v>
      </c>
      <c r="R655">
        <f t="shared" si="40"/>
        <v>0.65300000000000002</v>
      </c>
      <c r="S655">
        <f t="shared" si="41"/>
        <v>7.5029518551904841</v>
      </c>
    </row>
    <row r="656" spans="1:19" x14ac:dyDescent="0.3">
      <c r="A656">
        <v>0.65400000000000003</v>
      </c>
      <c r="B656">
        <f>Uo*COS(2*PI()*Wn*Sheet2!A656) + (Vo/Wn - (Po*(w/Wn))/(K*(1-(w/Wn)^2)))*SIN(2*PI()*Wn*Sheet2!A656) +(Po*SIN(2*PI()*w*Sheet2!A656))/(K*(1-(w/Wn)^2))</f>
        <v>14.693498334117404</v>
      </c>
      <c r="C656">
        <f t="shared" si="42"/>
        <v>7.6424541654801788</v>
      </c>
      <c r="D656">
        <f t="shared" si="43"/>
        <v>1248.3554815268965</v>
      </c>
      <c r="R656">
        <f t="shared" si="40"/>
        <v>0.65400000000000003</v>
      </c>
      <c r="S656">
        <f t="shared" si="41"/>
        <v>7.6424541654801788</v>
      </c>
    </row>
    <row r="657" spans="1:19" x14ac:dyDescent="0.3">
      <c r="A657">
        <v>0.65500000000000003</v>
      </c>
      <c r="B657">
        <f>Uo*COS(2*PI()*Wn*Sheet2!A657) + (Vo/Wn - (Po*(w/Wn))/(K*(1-(w/Wn)^2)))*SIN(2*PI()*Wn*Sheet2!A657) +(Po*SIN(2*PI()*w*Sheet2!A657))/(K*(1-(w/Wn)^2))</f>
        <v>14.936327539780789</v>
      </c>
      <c r="C657">
        <f t="shared" si="42"/>
        <v>7.7792101711612949</v>
      </c>
      <c r="D657">
        <f t="shared" si="43"/>
        <v>1270.6938699067525</v>
      </c>
      <c r="R657">
        <f t="shared" si="40"/>
        <v>0.65500000000000003</v>
      </c>
      <c r="S657">
        <f t="shared" si="41"/>
        <v>7.7792101711612949</v>
      </c>
    </row>
    <row r="658" spans="1:19" x14ac:dyDescent="0.3">
      <c r="A658">
        <v>0.65600000000000003</v>
      </c>
      <c r="B658">
        <f>Uo*COS(2*PI()*Wn*Sheet2!A658) + (Vo/Wn - (Po*(w/Wn))/(K*(1-(w/Wn)^2)))*SIN(2*PI()*Wn*Sheet2!A658) +(Po*SIN(2*PI()*w*Sheet2!A658))/(K*(1-(w/Wn)^2))</f>
        <v>15.174277334107733</v>
      </c>
      <c r="C658">
        <f t="shared" si="42"/>
        <v>7.9131801963648085</v>
      </c>
      <c r="D658">
        <f t="shared" si="43"/>
        <v>1292.5771827408039</v>
      </c>
      <c r="R658">
        <f t="shared" si="40"/>
        <v>0.65600000000000003</v>
      </c>
      <c r="S658">
        <f t="shared" si="41"/>
        <v>7.9131801963648085</v>
      </c>
    </row>
    <row r="659" spans="1:19" x14ac:dyDescent="0.3">
      <c r="A659">
        <v>0.65700000000000003</v>
      </c>
      <c r="B659">
        <f>Uo*COS(2*PI()*Wn*Sheet2!A659) + (Vo/Wn - (Po*(w/Wn))/(K*(1-(w/Wn)^2)))*SIN(2*PI()*Wn*Sheet2!A659) +(Po*SIN(2*PI()*w*Sheet2!A659))/(K*(1-(w/Wn)^2))</f>
        <v>15.407269983470597</v>
      </c>
      <c r="C659">
        <f t="shared" si="42"/>
        <v>8.0443255461736793</v>
      </c>
      <c r="D659">
        <f t="shared" si="43"/>
        <v>1313.999099413873</v>
      </c>
      <c r="R659">
        <f t="shared" si="40"/>
        <v>0.65700000000000003</v>
      </c>
      <c r="S659">
        <f t="shared" si="41"/>
        <v>8.0443255461736793</v>
      </c>
    </row>
    <row r="660" spans="1:19" x14ac:dyDescent="0.3">
      <c r="A660">
        <v>0.65800000000000003</v>
      </c>
      <c r="B660">
        <f>Uo*COS(2*PI()*Wn*Sheet2!A660) + (Vo/Wn - (Po*(w/Wn))/(K*(1-(w/Wn)^2)))*SIN(2*PI()*Wn*Sheet2!A660) +(Po*SIN(2*PI()*w*Sheet2!A660))/(K*(1-(w/Wn)^2))</f>
        <v>15.635229373645707</v>
      </c>
      <c r="C660">
        <f t="shared" si="42"/>
        <v>8.1726085174807626</v>
      </c>
      <c r="D660">
        <f t="shared" si="43"/>
        <v>1334.9534613178143</v>
      </c>
      <c r="R660">
        <f t="shared" si="40"/>
        <v>0.65800000000000003</v>
      </c>
      <c r="S660">
        <f t="shared" si="41"/>
        <v>8.1726085174807626</v>
      </c>
    </row>
    <row r="661" spans="1:19" x14ac:dyDescent="0.3">
      <c r="A661">
        <v>0.65900000000000003</v>
      </c>
      <c r="B661">
        <f>Uo*COS(2*PI()*Wn*Sheet2!A661) + (Vo/Wn - (Po*(w/Wn))/(K*(1-(w/Wn)^2)))*SIN(2*PI()*Wn*Sheet2!A661) +(Po*SIN(2*PI()*w*Sheet2!A661))/(K*(1-(w/Wn)^2))</f>
        <v>15.858081034678577</v>
      </c>
      <c r="C661">
        <f t="shared" si="42"/>
        <v>8.2979924095036566</v>
      </c>
      <c r="D661">
        <f t="shared" si="43"/>
        <v>1355.4342735690607</v>
      </c>
      <c r="R661">
        <f t="shared" si="40"/>
        <v>0.65900000000000003</v>
      </c>
      <c r="S661">
        <f t="shared" si="41"/>
        <v>8.2979924095036566</v>
      </c>
    </row>
    <row r="662" spans="1:19" x14ac:dyDescent="0.3">
      <c r="A662">
        <v>0.66</v>
      </c>
      <c r="B662">
        <f>Uo*COS(2*PI()*Wn*Sheet2!A662) + (Vo/Wn - (Po*(w/Wn))/(K*(1-(w/Wn)^2)))*SIN(2*PI()*Wn*Sheet2!A662) +(Po*SIN(2*PI()*w*Sheet2!A662))/(K*(1-(w/Wn)^2))</f>
        <v>16.075752165211675</v>
      </c>
      <c r="C662">
        <f t="shared" si="42"/>
        <v>8.4204415339531877</v>
      </c>
      <c r="D662">
        <f t="shared" si="43"/>
        <v>1375.4357066695936</v>
      </c>
      <c r="R662">
        <f t="shared" si="40"/>
        <v>0.66</v>
      </c>
      <c r="S662">
        <f t="shared" si="41"/>
        <v>8.4204415339531877</v>
      </c>
    </row>
    <row r="663" spans="1:19" x14ac:dyDescent="0.3">
      <c r="A663">
        <v>0.66100000000000003</v>
      </c>
      <c r="B663">
        <f>Uo*COS(2*PI()*Wn*Sheet2!A663) + (Vo/Wn - (Po*(w/Wn))/(K*(1-(w/Wn)^2)))*SIN(2*PI()*Wn*Sheet2!A663) +(Po*SIN(2*PI()*w*Sheet2!A663))/(K*(1-(w/Wn)^2))</f>
        <v>16.288171656267277</v>
      </c>
      <c r="C663">
        <f t="shared" si="42"/>
        <v>8.539921224853229</v>
      </c>
      <c r="D663">
        <f t="shared" si="43"/>
        <v>1394.9520981109592</v>
      </c>
      <c r="R663">
        <f t="shared" si="40"/>
        <v>0.66100000000000003</v>
      </c>
      <c r="S663">
        <f t="shared" si="41"/>
        <v>8.539921224853229</v>
      </c>
    </row>
    <row r="664" spans="1:19" x14ac:dyDescent="0.3">
      <c r="A664">
        <v>0.66200000000000003</v>
      </c>
      <c r="B664">
        <f>Uo*COS(2*PI()*Wn*Sheet2!A664) + (Vo/Wn - (Po*(w/Wn))/(K*(1-(w/Wn)^2)))*SIN(2*PI()*Wn*Sheet2!A664) +(Po*SIN(2*PI()*w*Sheet2!A664))/(K*(1-(w/Wn)^2))</f>
        <v>16.495270114477478</v>
      </c>
      <c r="C664">
        <f t="shared" si="42"/>
        <v>8.6563978480090888</v>
      </c>
      <c r="D664">
        <f t="shared" si="43"/>
        <v>1413.9779539208807</v>
      </c>
      <c r="R664">
        <f t="shared" si="40"/>
        <v>0.66200000000000003</v>
      </c>
      <c r="S664">
        <f t="shared" si="41"/>
        <v>8.6563978480090888</v>
      </c>
    </row>
    <row r="665" spans="1:19" x14ac:dyDescent="0.3">
      <c r="A665">
        <v>0.66300000000000003</v>
      </c>
      <c r="B665">
        <f>Uo*COS(2*PI()*Wn*Sheet2!A665) + (Vo/Wn - (Po*(w/Wn))/(K*(1-(w/Wn)^2)))*SIN(2*PI()*Wn*Sheet2!A665) +(Po*SIN(2*PI()*w*Sheet2!A665))/(K*(1-(w/Wn)^2))</f>
        <v>16.696979884753528</v>
      </c>
      <c r="C665">
        <f t="shared" si="42"/>
        <v>8.7698388101219305</v>
      </c>
      <c r="D665">
        <f t="shared" si="43"/>
        <v>1432.5079501520527</v>
      </c>
      <c r="R665">
        <f t="shared" si="40"/>
        <v>0.66300000000000003</v>
      </c>
      <c r="S665">
        <f t="shared" si="41"/>
        <v>8.7698388101219305</v>
      </c>
    </row>
    <row r="666" spans="1:19" x14ac:dyDescent="0.3">
      <c r="A666">
        <v>0.66400000000000003</v>
      </c>
      <c r="B666">
        <f>Uo*COS(2*PI()*Wn*Sheet2!A666) + (Vo/Wn - (Po*(w/Wn))/(K*(1-(w/Wn)^2)))*SIN(2*PI()*Wn*Sheet2!A666) +(Po*SIN(2*PI()*w*Sheet2!A666))/(K*(1-(w/Wn)^2))</f>
        <v>16.893235072387608</v>
      </c>
      <c r="C666">
        <f t="shared" si="42"/>
        <v>8.880212567547197</v>
      </c>
      <c r="D666">
        <f t="shared" si="43"/>
        <v>1450.5369343127832</v>
      </c>
      <c r="R666">
        <f t="shared" si="40"/>
        <v>0.66400000000000003</v>
      </c>
      <c r="S666">
        <f t="shared" si="41"/>
        <v>8.880212567547197</v>
      </c>
    </row>
    <row r="667" spans="1:19" x14ac:dyDescent="0.3">
      <c r="A667">
        <v>0.66500000000000004</v>
      </c>
      <c r="B667">
        <f>Uo*COS(2*PI()*Wn*Sheet2!A667) + (Vo/Wn - (Po*(w/Wn))/(K*(1-(w/Wn)^2)))*SIN(2*PI()*Wn*Sheet2!A667) +(Po*SIN(2*PI()*w*Sheet2!A667))/(K*(1-(w/Wn)^2))</f>
        <v>17.083971564579198</v>
      </c>
      <c r="C667">
        <f t="shared" si="42"/>
        <v>8.9874886346944045</v>
      </c>
      <c r="D667">
        <f t="shared" si="43"/>
        <v>1468.0599267390583</v>
      </c>
      <c r="R667">
        <f t="shared" si="40"/>
        <v>0.66500000000000004</v>
      </c>
      <c r="S667">
        <f t="shared" si="41"/>
        <v>8.9874886346944045</v>
      </c>
    </row>
    <row r="668" spans="1:19" x14ac:dyDescent="0.3">
      <c r="A668">
        <v>0.66600000000000004</v>
      </c>
      <c r="B668">
        <f>Uo*COS(2*PI()*Wn*Sheet2!A668) + (Vo/Wn - (Po*(w/Wn))/(K*(1-(w/Wn)^2)))*SIN(2*PI()*Wn*Sheet2!A668) +(Po*SIN(2*PI()*w*Sheet2!A668))/(K*(1-(w/Wn)^2))</f>
        <v>17.26912705137967</v>
      </c>
      <c r="C668">
        <f t="shared" si="42"/>
        <v>9.0916375920666468</v>
      </c>
      <c r="D668">
        <f t="shared" si="43"/>
        <v>1485.0721219077527</v>
      </c>
      <c r="R668">
        <f t="shared" si="40"/>
        <v>0.66600000000000004</v>
      </c>
      <c r="S668">
        <f t="shared" si="41"/>
        <v>9.0916375920666468</v>
      </c>
    </row>
    <row r="669" spans="1:19" x14ac:dyDescent="0.3">
      <c r="A669">
        <v>0.66700000000000004</v>
      </c>
      <c r="B669">
        <f>Uo*COS(2*PI()*Wn*Sheet2!A669) + (Vo/Wn - (Po*(w/Wn))/(K*(1-(w/Wn)^2)))*SIN(2*PI()*Wn*Sheet2!A669) +(Po*SIN(2*PI()*w*Sheet2!A669))/(K*(1-(w/Wn)^2))</f>
        <v>17.448641046047602</v>
      </c>
      <c r="C669">
        <f t="shared" si="42"/>
        <v>9.1926310939374325</v>
      </c>
      <c r="D669">
        <f t="shared" si="43"/>
        <v>1501.5688896906015</v>
      </c>
      <c r="R669">
        <f t="shared" si="40"/>
        <v>0.66700000000000004</v>
      </c>
      <c r="S669">
        <f t="shared" si="41"/>
        <v>9.1926310939374325</v>
      </c>
    </row>
    <row r="670" spans="1:19" x14ac:dyDescent="0.3">
      <c r="A670">
        <v>0.66800000000000004</v>
      </c>
      <c r="B670">
        <f>Uo*COS(2*PI()*Wn*Sheet2!A670) + (Vo/Wn - (Po*(w/Wn))/(K*(1-(w/Wn)^2)))*SIN(2*PI()*Wn*Sheet2!A670) +(Po*SIN(2*PI()*w*Sheet2!A670))/(K*(1-(w/Wn)^2))</f>
        <v>17.622454904808748</v>
      </c>
      <c r="C670">
        <f t="shared" si="42"/>
        <v>9.2904418756633778</v>
      </c>
      <c r="D670">
        <f t="shared" si="43"/>
        <v>1517.5457765486913</v>
      </c>
      <c r="R670">
        <f t="shared" si="40"/>
        <v>0.66800000000000004</v>
      </c>
      <c r="S670">
        <f t="shared" si="41"/>
        <v>9.2904418756633778</v>
      </c>
    </row>
    <row r="671" spans="1:19" x14ac:dyDescent="0.3">
      <c r="A671">
        <v>0.66900000000000004</v>
      </c>
      <c r="B671">
        <f>Uo*COS(2*PI()*Wn*Sheet2!A671) + (Vo/Wn - (Po*(w/Wn))/(K*(1-(w/Wn)^2)))*SIN(2*PI()*Wn*Sheet2!A671) +(Po*SIN(2*PI()*w*Sheet2!A671))/(K*(1-(w/Wn)^2))</f>
        <v>17.790511846013739</v>
      </c>
      <c r="C671">
        <f t="shared" si="42"/>
        <v>9.3850437606306549</v>
      </c>
      <c r="D671">
        <f t="shared" si="43"/>
        <v>1532.9985066671268</v>
      </c>
      <c r="R671">
        <f t="shared" si="40"/>
        <v>0.66900000000000004</v>
      </c>
      <c r="S671">
        <f t="shared" si="41"/>
        <v>9.3850437606306549</v>
      </c>
    </row>
    <row r="672" spans="1:19" x14ac:dyDescent="0.3">
      <c r="A672">
        <v>0.67</v>
      </c>
      <c r="B672">
        <f>Uo*COS(2*PI()*Wn*Sheet2!A672) + (Vo/Wn - (Po*(w/Wn))/(K*(1-(w/Wn)^2)))*SIN(2*PI()*Wn*Sheet2!A672) +(Po*SIN(2*PI()*w*Sheet2!A672))/(K*(1-(w/Wn)^2))</f>
        <v>17.952756968687659</v>
      </c>
      <c r="C672">
        <f t="shared" si="42"/>
        <v>9.4764116668339646</v>
      </c>
      <c r="D672">
        <f t="shared" si="43"/>
        <v>1547.9229830296711</v>
      </c>
      <c r="R672">
        <f t="shared" si="40"/>
        <v>0.67</v>
      </c>
      <c r="S672">
        <f t="shared" si="41"/>
        <v>9.4764116668339646</v>
      </c>
    </row>
    <row r="673" spans="1:19" x14ac:dyDescent="0.3">
      <c r="A673">
        <v>0.67100000000000004</v>
      </c>
      <c r="B673">
        <f>Uo*COS(2*PI()*Wn*Sheet2!A673) + (Vo/Wn - (Po*(w/Wn))/(K*(1-(w/Wn)^2)))*SIN(2*PI()*Wn*Sheet2!A673) +(Po*SIN(2*PI()*w*Sheet2!A673))/(K*(1-(w/Wn)^2))</f>
        <v>18.109137270465013</v>
      </c>
      <c r="C673">
        <f t="shared" si="42"/>
        <v>9.5645216130862085</v>
      </c>
      <c r="D673">
        <f t="shared" si="43"/>
        <v>1562.3152884330646</v>
      </c>
      <c r="R673">
        <f t="shared" si="40"/>
        <v>0.67100000000000004</v>
      </c>
      <c r="S673">
        <f t="shared" si="41"/>
        <v>9.5645216130862085</v>
      </c>
    </row>
    <row r="674" spans="1:19" x14ac:dyDescent="0.3">
      <c r="A674">
        <v>0.67200000000000004</v>
      </c>
      <c r="B674">
        <f>Uo*COS(2*PI()*Wn*Sheet2!A674) + (Vo/Wn - (Po*(w/Wn))/(K*(1-(w/Wn)^2)))*SIN(2*PI()*Wn*Sheet2!A674) +(Po*SIN(2*PI()*w*Sheet2!A674))/(K*(1-(w/Wn)^2))</f>
        <v>18.259601664904721</v>
      </c>
      <c r="C674">
        <f t="shared" si="42"/>
        <v>9.6493507248577775</v>
      </c>
      <c r="D674">
        <f t="shared" si="43"/>
        <v>1576.1716864408429</v>
      </c>
      <c r="R674">
        <f t="shared" si="40"/>
        <v>0.67200000000000004</v>
      </c>
      <c r="S674">
        <f t="shared" si="41"/>
        <v>9.6493507248577775</v>
      </c>
    </row>
    <row r="675" spans="1:19" x14ac:dyDescent="0.3">
      <c r="A675">
        <v>0.67300000000000004</v>
      </c>
      <c r="B675">
        <f>Uo*COS(2*PI()*Wn*Sheet2!A675) + (Vo/Wn - (Po*(w/Wn))/(K*(1-(w/Wn)^2)))*SIN(2*PI()*Wn*Sheet2!A675) +(Po*SIN(2*PI()*w*Sheet2!A675))/(K*(1-(w/Wn)^2))</f>
        <v>18.404100998178951</v>
      </c>
      <c r="C675">
        <f t="shared" si="42"/>
        <v>9.7308772397439789</v>
      </c>
      <c r="D675">
        <f t="shared" si="43"/>
        <v>1589.4886222764114</v>
      </c>
      <c r="R675">
        <f t="shared" si="40"/>
        <v>0.67300000000000004</v>
      </c>
      <c r="S675">
        <f t="shared" si="41"/>
        <v>9.7308772397439789</v>
      </c>
    </row>
    <row r="676" spans="1:19" x14ac:dyDescent="0.3">
      <c r="A676">
        <v>0.67400000000000004</v>
      </c>
      <c r="B676">
        <f>Uo*COS(2*PI()*Wn*Sheet2!A676) + (Vo/Wn - (Po*(w/Wn))/(K*(1-(w/Wn)^2)))*SIN(2*PI()*Wn*Sheet2!A676) +(Po*SIN(2*PI()*w*Sheet2!A676))/(K*(1-(w/Wn)^2))</f>
        <v>18.54258806513084</v>
      </c>
      <c r="C676">
        <f t="shared" si="42"/>
        <v>9.8090805125597651</v>
      </c>
      <c r="D676">
        <f t="shared" si="43"/>
        <v>1602.2627236552446</v>
      </c>
      <c r="R676">
        <f t="shared" si="40"/>
        <v>0.67400000000000004</v>
      </c>
      <c r="S676">
        <f t="shared" si="41"/>
        <v>9.8090805125597651</v>
      </c>
    </row>
    <row r="677" spans="1:19" x14ac:dyDescent="0.3">
      <c r="A677">
        <v>0.67500000000000004</v>
      </c>
      <c r="B677">
        <f>Uo*COS(2*PI()*Wn*Sheet2!A677) + (Vo/Wn - (Po*(w/Wn))/(K*(1-(w/Wn)^2)))*SIN(2*PI()*Wn*Sheet2!A677) +(Po*SIN(2*PI()*w*Sheet2!A677))/(K*(1-(w/Wn)^2))</f>
        <v>18.675017624695403</v>
      </c>
      <c r="C677">
        <f t="shared" si="42"/>
        <v>9.8839410200604156</v>
      </c>
      <c r="D677">
        <f t="shared" si="43"/>
        <v>1614.4908015559843</v>
      </c>
      <c r="R677">
        <f t="shared" si="40"/>
        <v>0.67500000000000004</v>
      </c>
      <c r="S677">
        <f t="shared" si="41"/>
        <v>9.8839410200604156</v>
      </c>
    </row>
    <row r="678" spans="1:19" x14ac:dyDescent="0.3">
      <c r="A678">
        <v>0.67600000000000005</v>
      </c>
      <c r="B678">
        <f>Uo*COS(2*PI()*Wn*Sheet2!A678) + (Vo/Wn - (Po*(w/Wn))/(K*(1-(w/Wn)^2)))*SIN(2*PI()*Wn*Sheet2!A678) +(Po*SIN(2*PI()*w*Sheet2!A678))/(K*(1-(w/Wn)^2))</f>
        <v>18.801346414679035</v>
      </c>
      <c r="C678">
        <f t="shared" si="42"/>
        <v>9.9554403652877266</v>
      </c>
      <c r="D678">
        <f t="shared" si="43"/>
        <v>1626.1698509303665</v>
      </c>
      <c r="R678">
        <f t="shared" si="40"/>
        <v>0.67600000000000005</v>
      </c>
      <c r="S678">
        <f t="shared" si="41"/>
        <v>9.9554403652877266</v>
      </c>
    </row>
    <row r="679" spans="1:19" x14ac:dyDescent="0.3">
      <c r="A679">
        <v>0.67700000000000005</v>
      </c>
      <c r="B679">
        <f>Uo*COS(2*PI()*Wn*Sheet2!A679) + (Vo/Wn - (Po*(w/Wn))/(K*(1-(w/Wn)^2)))*SIN(2*PI()*Wn*Sheet2!A679) +(Po*SIN(2*PI()*w*Sheet2!A679))/(K*(1-(w/Wn)^2))</f>
        <v>18.921533165892331</v>
      </c>
      <c r="C679">
        <f t="shared" si="42"/>
        <v>10.023561281540566</v>
      </c>
      <c r="D679">
        <f t="shared" si="43"/>
        <v>1637.2970513517935</v>
      </c>
      <c r="R679">
        <f t="shared" si="40"/>
        <v>0.67700000000000005</v>
      </c>
      <c r="S679">
        <f t="shared" si="41"/>
        <v>10.023561281540566</v>
      </c>
    </row>
    <row r="680" spans="1:19" x14ac:dyDescent="0.3">
      <c r="A680">
        <v>0.67800000000000005</v>
      </c>
      <c r="B680">
        <f>Uo*COS(2*PI()*Wn*Sheet2!A680) + (Vo/Wn - (Po*(w/Wn))/(K*(1-(w/Wn)^2)))*SIN(2*PI()*Wn*Sheet2!A680) +(Po*SIN(2*PI()*w*Sheet2!A680))/(K*(1-(w/Wn)^2))</f>
        <v>19.035538615631996</v>
      </c>
      <c r="C680">
        <f t="shared" si="42"/>
        <v>10.088287635969449</v>
      </c>
      <c r="D680">
        <f t="shared" si="43"/>
        <v>1647.8697676024865</v>
      </c>
      <c r="R680">
        <f t="shared" si="40"/>
        <v>0.67800000000000005</v>
      </c>
      <c r="S680">
        <f t="shared" si="41"/>
        <v>10.088287635969449</v>
      </c>
    </row>
    <row r="681" spans="1:19" x14ac:dyDescent="0.3">
      <c r="A681">
        <v>0.67900000000000005</v>
      </c>
      <c r="B681">
        <f>Uo*COS(2*PI()*Wn*Sheet2!A681) + (Vo/Wn - (Po*(w/Wn))/(K*(1-(w/Wn)^2)))*SIN(2*PI()*Wn*Sheet2!A681) +(Po*SIN(2*PI()*w*Sheet2!A681))/(K*(1-(w/Wn)^2))</f>
        <v>19.143325520507247</v>
      </c>
      <c r="C681">
        <f t="shared" si="42"/>
        <v>10.149604432794588</v>
      </c>
      <c r="D681">
        <f t="shared" si="43"/>
        <v>1657.8855501991393</v>
      </c>
      <c r="R681">
        <f t="shared" si="40"/>
        <v>0.67900000000000005</v>
      </c>
      <c r="S681">
        <f t="shared" si="41"/>
        <v>10.149604432794588</v>
      </c>
    </row>
    <row r="682" spans="1:19" x14ac:dyDescent="0.3">
      <c r="A682">
        <v>0.68</v>
      </c>
      <c r="B682">
        <f>Uo*COS(2*PI()*Wn*Sheet2!A682) + (Vo/Wn - (Po*(w/Wn))/(K*(1-(w/Wn)^2)))*SIN(2*PI()*Wn*Sheet2!A682) +(Po*SIN(2*PI()*w*Sheet2!A682))/(K*(1-(w/Wn)^2))</f>
        <v>19.244858668606415</v>
      </c>
      <c r="C682">
        <f t="shared" si="42"/>
        <v>10.207497816146855</v>
      </c>
      <c r="D682">
        <f t="shared" si="43"/>
        <v>1667.3421358569742</v>
      </c>
      <c r="R682">
        <f t="shared" si="40"/>
        <v>0.68</v>
      </c>
      <c r="S682">
        <f t="shared" si="41"/>
        <v>10.207497816146855</v>
      </c>
    </row>
    <row r="683" spans="1:19" x14ac:dyDescent="0.3">
      <c r="A683">
        <v>0.68100000000000005</v>
      </c>
      <c r="B683">
        <f>Uo*COS(2*PI()*Wn*Sheet2!A683) + (Vo/Wn - (Po*(w/Wn))/(K*(1-(w/Wn)^2)))*SIN(2*PI()*Wn*Sheet2!A683) +(Po*SIN(2*PI()*w*Sheet2!A683))/(K*(1-(w/Wn)^2))</f>
        <v>19.340104891000109</v>
      </c>
      <c r="C683">
        <f t="shared" si="42"/>
        <v>10.261955072531771</v>
      </c>
      <c r="D683">
        <f t="shared" si="43"/>
        <v>1676.237447892222</v>
      </c>
      <c r="R683">
        <f t="shared" si="40"/>
        <v>0.68100000000000005</v>
      </c>
      <c r="S683">
        <f t="shared" si="41"/>
        <v>10.261955072531771</v>
      </c>
    </row>
    <row r="684" spans="1:19" x14ac:dyDescent="0.3">
      <c r="A684">
        <v>0.68200000000000005</v>
      </c>
      <c r="B684">
        <f>Uo*COS(2*PI()*Wn*Sheet2!A684) + (Vo/Wn - (Po*(w/Wn))/(K*(1-(w/Wn)^2)))*SIN(2*PI()*Wn*Sheet2!A684) +(Po*SIN(2*PI()*w*Sheet2!A684))/(K*(1-(w/Wn)^2))</f>
        <v>19.429033072576779</v>
      </c>
      <c r="C684">
        <f t="shared" si="42"/>
        <v>10.312964632915991</v>
      </c>
      <c r="D684">
        <f t="shared" si="43"/>
        <v>1684.5695965629386</v>
      </c>
      <c r="R684">
        <f t="shared" si="40"/>
        <v>0.68200000000000005</v>
      </c>
      <c r="S684">
        <f t="shared" si="41"/>
        <v>10.312964632915991</v>
      </c>
    </row>
    <row r="685" spans="1:19" x14ac:dyDescent="0.3">
      <c r="A685">
        <v>0.68300000000000005</v>
      </c>
      <c r="B685">
        <f>Uo*COS(2*PI()*Wn*Sheet2!A685) + (Vo/Wn - (Po*(w/Wn))/(K*(1-(w/Wn)^2)))*SIN(2*PI()*Wn*Sheet2!A685) +(Po*SIN(2*PI()*w*Sheet2!A685))/(K*(1-(w/Wn)^2))</f>
        <v>19.511614162207497</v>
      </c>
      <c r="C685">
        <f t="shared" si="42"/>
        <v>10.360516074436637</v>
      </c>
      <c r="D685">
        <f t="shared" si="43"/>
        <v>1692.3368793482157</v>
      </c>
      <c r="R685">
        <f t="shared" si="40"/>
        <v>0.68300000000000005</v>
      </c>
      <c r="S685">
        <f t="shared" si="41"/>
        <v>10.360516074436637</v>
      </c>
    </row>
    <row r="686" spans="1:19" x14ac:dyDescent="0.3">
      <c r="A686">
        <v>0.68400000000000005</v>
      </c>
      <c r="B686">
        <f>Uo*COS(2*PI()*Wn*Sheet2!A686) + (Vo/Wn - (Po*(w/Wn))/(K*(1-(w/Wn)^2)))*SIN(2*PI()*Wn*Sheet2!A686) +(Po*SIN(2*PI()*w*Sheet2!A686))/(K*(1-(w/Wn)^2))</f>
        <v>19.587821182236333</v>
      </c>
      <c r="C686">
        <f t="shared" si="42"/>
        <v>10.404600121733356</v>
      </c>
      <c r="D686">
        <f t="shared" si="43"/>
        <v>1699.5377811657661</v>
      </c>
      <c r="R686">
        <f t="shared" si="40"/>
        <v>0.68400000000000005</v>
      </c>
      <c r="S686">
        <f t="shared" si="41"/>
        <v>10.404600121733356</v>
      </c>
    </row>
    <row r="687" spans="1:19" x14ac:dyDescent="0.3">
      <c r="A687">
        <v>0.68500000000000005</v>
      </c>
      <c r="B687">
        <f>Uo*COS(2*PI()*Wn*Sheet2!A687) + (Vo/Wn - (Po*(w/Wn))/(K*(1-(w/Wn)^2)))*SIN(2*PI()*Wn*Sheet2!A687) +(Po*SIN(2*PI()*w*Sheet2!A687))/(K*(1-(w/Wn)^2))</f>
        <v>19.657629237293516</v>
      </c>
      <c r="C687">
        <f t="shared" si="42"/>
        <v>10.445208647903504</v>
      </c>
      <c r="D687">
        <f t="shared" si="43"/>
        <v>1706.1709745279466</v>
      </c>
      <c r="R687">
        <f t="shared" si="40"/>
        <v>0.68500000000000005</v>
      </c>
      <c r="S687">
        <f t="shared" si="41"/>
        <v>10.445208647903504</v>
      </c>
    </row>
    <row r="688" spans="1:19" x14ac:dyDescent="0.3">
      <c r="A688">
        <v>0.68600000000000005</v>
      </c>
      <c r="B688">
        <f>Uo*COS(2*PI()*Wn*Sheet2!A688) + (Vo/Wn - (Po*(w/Wn))/(K*(1-(w/Wn)^2)))*SIN(2*PI()*Wn*Sheet2!A688) +(Po*SIN(2*PI()*w*Sheet2!A688))/(K*(1-(w/Wn)^2))</f>
        <v>19.721015522428193</v>
      </c>
      <c r="C688">
        <f t="shared" si="42"/>
        <v>10.482334675080713</v>
      </c>
      <c r="D688">
        <f t="shared" si="43"/>
        <v>1712.235319636266</v>
      </c>
      <c r="R688">
        <f t="shared" si="40"/>
        <v>0.68600000000000005</v>
      </c>
      <c r="S688">
        <f t="shared" si="41"/>
        <v>10.482334675080713</v>
      </c>
    </row>
    <row r="689" spans="1:19" x14ac:dyDescent="0.3">
      <c r="A689">
        <v>0.68700000000000006</v>
      </c>
      <c r="B689">
        <f>Uo*COS(2*PI()*Wn*Sheet2!A689) + (Vo/Wn - (Po*(w/Wn))/(K*(1-(w/Wn)^2)))*SIN(2*PI()*Wn*Sheet2!A689) +(Po*SIN(2*PI()*w*Sheet2!A689))/(K*(1-(w/Wn)^2))</f>
        <v>19.777959330558438</v>
      </c>
      <c r="C689">
        <f t="shared" si="42"/>
        <v>10.515972374637442</v>
      </c>
      <c r="D689">
        <f t="shared" si="43"/>
        <v>1717.7298644144694</v>
      </c>
      <c r="R689">
        <f t="shared" si="40"/>
        <v>0.68700000000000006</v>
      </c>
      <c r="S689">
        <f t="shared" si="41"/>
        <v>10.515972374637442</v>
      </c>
    </row>
    <row r="690" spans="1:19" x14ac:dyDescent="0.3">
      <c r="A690">
        <v>0.68799999999999994</v>
      </c>
      <c r="B690">
        <f>Uo*COS(2*PI()*Wn*Sheet2!A690) + (Vo/Wn - (Po*(w/Wn))/(K*(1-(w/Wn)^2)))*SIN(2*PI()*Wn*Sheet2!A690) +(Po*SIN(2*PI()*w*Sheet2!A690))/(K*(1-(w/Wn)^2))</f>
        <v>19.82844205923579</v>
      </c>
      <c r="C690">
        <f t="shared" si="42"/>
        <v>10.546117067011991</v>
      </c>
      <c r="D690">
        <f t="shared" si="43"/>
        <v>1722.653844480282</v>
      </c>
      <c r="R690">
        <f t="shared" si="40"/>
        <v>0.68799999999999994</v>
      </c>
      <c r="S690">
        <f t="shared" si="41"/>
        <v>10.546117067011991</v>
      </c>
    </row>
    <row r="691" spans="1:19" x14ac:dyDescent="0.3">
      <c r="A691">
        <v>0.68899999999999995</v>
      </c>
      <c r="B691">
        <f>Uo*COS(2*PI()*Wn*Sheet2!A691) + (Vo/Wn - (Po*(w/Wn))/(K*(1-(w/Wn)^2)))*SIN(2*PI()*Wn*Sheet2!A691) +(Po*SIN(2*PI()*w*Sheet2!A691))/(K*(1-(w/Wn)^2))</f>
        <v>19.872447216722403</v>
      </c>
      <c r="C691">
        <f t="shared" si="42"/>
        <v>10.572765221160891</v>
      </c>
      <c r="D691">
        <f t="shared" si="43"/>
        <v>1727.0066830559599</v>
      </c>
      <c r="R691">
        <f t="shared" si="40"/>
        <v>0.68899999999999995</v>
      </c>
      <c r="S691">
        <f t="shared" si="41"/>
        <v>10.572765221160891</v>
      </c>
    </row>
    <row r="692" spans="1:19" x14ac:dyDescent="0.3">
      <c r="A692">
        <v>0.69</v>
      </c>
      <c r="B692">
        <f>Uo*COS(2*PI()*Wn*Sheet2!A692) + (Vo/Wn - (Po*(w/Wn))/(K*(1-(w/Wn)^2)))*SIN(2*PI()*Wn*Sheet2!A692) +(Po*SIN(2*PI()*w*Sheet2!A692))/(K*(1-(w/Wn)^2))</f>
        <v>19.909960427378476</v>
      </c>
      <c r="C692">
        <f t="shared" si="42"/>
        <v>10.595914453637304</v>
      </c>
      <c r="D692">
        <f t="shared" si="43"/>
        <v>1730.787990817752</v>
      </c>
      <c r="R692">
        <f t="shared" si="40"/>
        <v>0.69</v>
      </c>
      <c r="S692">
        <f t="shared" si="41"/>
        <v>10.595914453637304</v>
      </c>
    </row>
    <row r="693" spans="1:19" x14ac:dyDescent="0.3">
      <c r="A693">
        <v>0.69099999999999995</v>
      </c>
      <c r="B693">
        <f>Uo*COS(2*PI()*Wn*Sheet2!A693) + (Vo/Wn - (Po*(w/Wn))/(K*(1-(w/Wn)^2)))*SIN(2*PI()*Wn*Sheet2!A693) +(Po*SIN(2*PI()*w*Sheet2!A693))/(K*(1-(w/Wn)^2))</f>
        <v>19.940969436358593</v>
      </c>
      <c r="C693">
        <f t="shared" si="42"/>
        <v>10.615563527296644</v>
      </c>
      <c r="D693">
        <f t="shared" si="43"/>
        <v>1733.997565684469</v>
      </c>
      <c r="R693">
        <f t="shared" si="40"/>
        <v>0.69099999999999995</v>
      </c>
      <c r="S693">
        <f t="shared" si="41"/>
        <v>10.615563527296644</v>
      </c>
    </row>
    <row r="694" spans="1:19" x14ac:dyDescent="0.3">
      <c r="A694">
        <v>0.69199999999999995</v>
      </c>
      <c r="B694">
        <f>Uo*COS(2*PI()*Wn*Sheet2!A694) + (Vo/Wn - (Po*(w/Wn))/(K*(1-(w/Wn)^2)))*SIN(2*PI()*Wn*Sheet2!A694) +(Po*SIN(2*PI()*w*Sheet2!A694))/(K*(1-(w/Wn)^2))</f>
        <v>19.965464113615074</v>
      </c>
      <c r="C694">
        <f t="shared" si="42"/>
        <v>10.631712349630298</v>
      </c>
      <c r="D694">
        <f t="shared" si="43"/>
        <v>1736.6353925453063</v>
      </c>
      <c r="R694">
        <f t="shared" si="40"/>
        <v>0.69199999999999995</v>
      </c>
      <c r="S694">
        <f t="shared" si="41"/>
        <v>10.631712349630298</v>
      </c>
    </row>
    <row r="695" spans="1:19" x14ac:dyDescent="0.3">
      <c r="A695">
        <v>0.69299999999999995</v>
      </c>
      <c r="B695">
        <f>Uo*COS(2*PI()*Wn*Sheet2!A695) + (Vo/Wn - (Po*(w/Wn))/(K*(1-(w/Wn)^2)))*SIN(2*PI()*Wn*Sheet2!A695) +(Po*SIN(2*PI()*w*Sheet2!A695))/(K*(1-(w/Wn)^2))</f>
        <v>19.983436457207315</v>
      </c>
      <c r="C695">
        <f t="shared" si="42"/>
        <v>10.644361970728841</v>
      </c>
      <c r="D695">
        <f t="shared" si="43"/>
        <v>1738.7016429271446</v>
      </c>
      <c r="R695">
        <f t="shared" si="40"/>
        <v>0.69299999999999995</v>
      </c>
      <c r="S695">
        <f t="shared" si="41"/>
        <v>10.644361970728841</v>
      </c>
    </row>
    <row r="696" spans="1:19" x14ac:dyDescent="0.3">
      <c r="A696">
        <v>0.69399999999999995</v>
      </c>
      <c r="B696">
        <f>Uo*COS(2*PI()*Wn*Sheet2!A696) + (Vo/Wn - (Po*(w/Wn))/(K*(1-(w/Wn)^2)))*SIN(2*PI()*Wn*Sheet2!A696) +(Po*SIN(2*PI()*w*Sheet2!A696))/(K*(1-(w/Wn)^2))</f>
        <v>19.994880595915845</v>
      </c>
      <c r="C696">
        <f t="shared" si="42"/>
        <v>10.65351458087596</v>
      </c>
      <c r="D696">
        <f t="shared" si="43"/>
        <v>1740.1966746015305</v>
      </c>
      <c r="R696">
        <f t="shared" si="40"/>
        <v>0.69399999999999995</v>
      </c>
      <c r="S696">
        <f t="shared" si="41"/>
        <v>10.65351458087596</v>
      </c>
    </row>
    <row r="697" spans="1:19" x14ac:dyDescent="0.3">
      <c r="A697">
        <v>0.69499999999999995</v>
      </c>
      <c r="B697">
        <f>Uo*COS(2*PI()*Wn*Sheet2!A697) + (Vo/Wn - (Po*(w/Wn))/(K*(1-(w/Wn)^2)))*SIN(2*PI()*Wn*Sheet2!A697) +(Po*SIN(2*PI()*w*Sheet2!A697))/(K*(1-(w/Wn)^2))</f>
        <v>19.999792791160349</v>
      </c>
      <c r="C697">
        <f t="shared" si="42"/>
        <v>10.659173507774581</v>
      </c>
      <c r="D697">
        <f t="shared" si="43"/>
        <v>1741.1210311315783</v>
      </c>
      <c r="R697">
        <f t="shared" si="40"/>
        <v>0.69499999999999995</v>
      </c>
      <c r="S697">
        <f t="shared" si="41"/>
        <v>10.659173507774581</v>
      </c>
    </row>
    <row r="698" spans="1:19" x14ac:dyDescent="0.3">
      <c r="A698">
        <v>0.69599999999999995</v>
      </c>
      <c r="B698">
        <f>Uo*COS(2*PI()*Wn*Sheet2!A698) + (Vo/Wn - (Po*(w/Wn))/(K*(1-(w/Wn)^2)))*SIN(2*PI()*Wn*Sheet2!A698) +(Po*SIN(2*PI()*w*Sheet2!A698))/(K*(1-(w/Wn)^2))</f>
        <v>19.998171438220986</v>
      </c>
      <c r="C698">
        <f t="shared" si="42"/>
        <v>10.661343213406781</v>
      </c>
      <c r="D698">
        <f t="shared" si="43"/>
        <v>1741.4754413590535</v>
      </c>
      <c r="R698">
        <f t="shared" si="40"/>
        <v>0.69599999999999995</v>
      </c>
      <c r="S698">
        <f t="shared" si="41"/>
        <v>10.661343213406781</v>
      </c>
    </row>
    <row r="699" spans="1:19" x14ac:dyDescent="0.3">
      <c r="A699">
        <v>0.69699999999999995</v>
      </c>
      <c r="B699">
        <f>Uo*COS(2*PI()*Wn*Sheet2!A699) + (Vo/Wn - (Po*(w/Wn))/(K*(1-(w/Wn)^2)))*SIN(2*PI()*Wn*Sheet2!A699) +(Po*SIN(2*PI()*w*Sheet2!A699))/(K*(1-(w/Wn)^2))</f>
        <v>19.990017066762618</v>
      </c>
      <c r="C699">
        <f t="shared" si="42"/>
        <v>10.66002929052916</v>
      </c>
      <c r="D699">
        <f t="shared" si="43"/>
        <v>1741.2608188319089</v>
      </c>
      <c r="R699">
        <f t="shared" si="40"/>
        <v>0.69699999999999995</v>
      </c>
      <c r="S699">
        <f t="shared" si="41"/>
        <v>10.66002929052916</v>
      </c>
    </row>
    <row r="700" spans="1:19" x14ac:dyDescent="0.3">
      <c r="A700">
        <v>0.69799999999999995</v>
      </c>
      <c r="B700">
        <f>Uo*COS(2*PI()*Wn*Sheet2!A700) + (Vo/Wn - (Po*(w/Wn))/(K*(1-(w/Wn)^2)))*SIN(2*PI()*Wn*Sheet2!A700) +(Po*SIN(2*PI()*w*Sheet2!A700))/(K*(1-(w/Wn)^2))</f>
        <v>19.975332340661787</v>
      </c>
      <c r="C700">
        <f t="shared" si="42"/>
        <v>10.655238458805451</v>
      </c>
      <c r="D700">
        <f t="shared" si="43"/>
        <v>1740.4782611725673</v>
      </c>
      <c r="R700">
        <f t="shared" si="40"/>
        <v>0.69799999999999995</v>
      </c>
      <c r="S700">
        <f t="shared" si="41"/>
        <v>10.655238458805451</v>
      </c>
    </row>
    <row r="701" spans="1:19" x14ac:dyDescent="0.3">
      <c r="A701">
        <v>0.69899999999999995</v>
      </c>
      <c r="B701">
        <f>Uo*COS(2*PI()*Wn*Sheet2!A701) + (Vo/Wn - (Po*(w/Wn))/(K*(1-(w/Wn)^2)))*SIN(2*PI()*Wn*Sheet2!A701) +(Po*SIN(2*PI()*w*Sheet2!A701))/(K*(1-(w/Wn)^2))</f>
        <v>19.954122057136466</v>
      </c>
      <c r="C701">
        <f t="shared" si="42"/>
        <v>10.646978560578338</v>
      </c>
      <c r="D701">
        <f t="shared" si="43"/>
        <v>1739.1290493872684</v>
      </c>
      <c r="R701">
        <f t="shared" si="40"/>
        <v>0.69899999999999995</v>
      </c>
      <c r="S701">
        <f t="shared" si="41"/>
        <v>10.646978560578338</v>
      </c>
    </row>
    <row r="702" spans="1:19" x14ac:dyDescent="0.3">
      <c r="A702">
        <v>0.7</v>
      </c>
      <c r="B702">
        <f>Uo*COS(2*PI()*Wn*Sheet2!A702) + (Vo/Wn - (Po*(w/Wn))/(K*(1-(w/Wn)^2)))*SIN(2*PI()*Wn*Sheet2!A702) +(Po*SIN(2*PI()*w*Sheet2!A702))/(K*(1-(w/Wn)^2))</f>
        <v>19.926393145178924</v>
      </c>
      <c r="C702">
        <f t="shared" si="42"/>
        <v>10.635258556282459</v>
      </c>
      <c r="D702">
        <f t="shared" si="43"/>
        <v>1737.2146471168087</v>
      </c>
      <c r="R702">
        <f t="shared" si="40"/>
        <v>0.7</v>
      </c>
      <c r="S702">
        <f t="shared" si="41"/>
        <v>10.635258556282459</v>
      </c>
    </row>
    <row r="703" spans="1:19" x14ac:dyDescent="0.3">
      <c r="A703">
        <v>0.70099999999999996</v>
      </c>
      <c r="B703">
        <f>Uo*COS(2*PI()*Wn*Sheet2!A703) + (Vo/Wn - (Po*(w/Wn))/(K*(1-(w/Wn)^2)))*SIN(2*PI()*Wn*Sheet2!A703) +(Po*SIN(2*PI()*w*Sheet2!A703))/(K*(1-(w/Wn)^2))</f>
        <v>19.892154663292125</v>
      </c>
      <c r="C703">
        <f t="shared" si="42"/>
        <v>10.620088519500769</v>
      </c>
      <c r="D703">
        <f t="shared" si="43"/>
        <v>1734.7366998290217</v>
      </c>
      <c r="R703">
        <f t="shared" si="40"/>
        <v>0.70099999999999996</v>
      </c>
      <c r="S703">
        <f t="shared" si="41"/>
        <v>10.620088519500769</v>
      </c>
    </row>
    <row r="704" spans="1:19" x14ac:dyDescent="0.3">
      <c r="A704">
        <v>0.70199999999999996</v>
      </c>
      <c r="B704">
        <f>Uo*COS(2*PI()*Wn*Sheet2!A704) + (Vo/Wn - (Po*(w/Wn))/(K*(1-(w/Wn)^2)))*SIN(2*PI()*Wn*Sheet2!A704) +(Po*SIN(2*PI()*w*Sheet2!A704))/(K*(1-(w/Wn)^2))</f>
        <v>19.851417796530502</v>
      </c>
      <c r="C704">
        <f t="shared" si="42"/>
        <v>10.601479631666518</v>
      </c>
      <c r="D704">
        <f t="shared" si="43"/>
        <v>1731.6970339533748</v>
      </c>
      <c r="R704">
        <f t="shared" si="40"/>
        <v>0.70199999999999996</v>
      </c>
      <c r="S704">
        <f t="shared" si="41"/>
        <v>10.601479631666518</v>
      </c>
    </row>
    <row r="705" spans="1:19" x14ac:dyDescent="0.3">
      <c r="A705">
        <v>0.70299999999999996</v>
      </c>
      <c r="B705">
        <f>Uo*COS(2*PI()*Wn*Sheet2!A705) + (Vo/Wn - (Po*(w/Wn))/(K*(1-(w/Wn)^2)))*SIN(2*PI()*Wn*Sheet2!A705) +(Po*SIN(2*PI()*w*Sheet2!A705))/(K*(1-(w/Wn)^2))</f>
        <v>19.804195852846032</v>
      </c>
      <c r="C705">
        <f t="shared" si="42"/>
        <v>10.579444176413221</v>
      </c>
      <c r="D705">
        <f t="shared" si="43"/>
        <v>1728.0976559580649</v>
      </c>
      <c r="R705">
        <f t="shared" ref="R705:R768" si="44">A705</f>
        <v>0.70299999999999996</v>
      </c>
      <c r="S705">
        <f t="shared" ref="S705:S768" si="45">C705</f>
        <v>10.579444176413221</v>
      </c>
    </row>
    <row r="706" spans="1:19" x14ac:dyDescent="0.3">
      <c r="A706">
        <v>0.70399999999999996</v>
      </c>
      <c r="B706">
        <f>Uo*COS(2*PI()*Wn*Sheet2!A706) + (Vo/Wn - (Po*(w/Wn))/(K*(1-(w/Wn)^2)))*SIN(2*PI()*Wn*Sheet2!A706) +(Po*SIN(2*PI()*w*Sheet2!A706))/(K*(1-(w/Wn)^2))</f>
        <v>19.750504258740754</v>
      </c>
      <c r="C706">
        <f t="shared" ref="C706:C769" si="46">EXP(-zeta*Wn*A706*2*PI())*($H$1*COS(wnD*2*PI()*A706) + $H$2*SIN(wnD*2*PI()*A706)) + $H$3*SIN(w*2*PI()*A706) + $H$4*COS(w*2*PI()*A706)</f>
        <v>10.553995533575053</v>
      </c>
      <c r="D706">
        <f t="shared" ref="D706:D769" si="47">K*C706</f>
        <v>1723.9407513700148</v>
      </c>
      <c r="R706">
        <f t="shared" si="44"/>
        <v>0.70399999999999996</v>
      </c>
      <c r="S706">
        <f t="shared" si="45"/>
        <v>10.553995533575053</v>
      </c>
    </row>
    <row r="707" spans="1:19" x14ac:dyDescent="0.3">
      <c r="A707">
        <v>0.70499999999999996</v>
      </c>
      <c r="B707">
        <f>Uo*COS(2*PI()*Wn*Sheet2!A707) + (Vo/Wn - (Po*(w/Wn))/(K*(1-(w/Wn)^2)))*SIN(2*PI()*Wn*Sheet2!A707) +(Po*SIN(2*PI()*w*Sheet2!A707))/(K*(1-(w/Wn)^2))</f>
        <v>19.690360554227254</v>
      </c>
      <c r="C707">
        <f t="shared" si="46"/>
        <v>10.525148172840339</v>
      </c>
      <c r="D707">
        <f t="shared" si="47"/>
        <v>1719.2286837382032</v>
      </c>
      <c r="R707">
        <f t="shared" si="44"/>
        <v>0.70499999999999996</v>
      </c>
      <c r="S707">
        <f t="shared" si="45"/>
        <v>10.525148172840339</v>
      </c>
    </row>
    <row r="708" spans="1:19" x14ac:dyDescent="0.3">
      <c r="A708">
        <v>0.70599999999999996</v>
      </c>
      <c r="B708">
        <f>Uo*COS(2*PI()*Wn*Sheet2!A708) + (Vo/Wn - (Po*(w/Wn))/(K*(1-(w/Wn)^2)))*SIN(2*PI()*Wn*Sheet2!A708) +(Po*SIN(2*PI()*w*Sheet2!A708))/(K*(1-(w/Wn)^2))</f>
        <v>19.623784387098652</v>
      </c>
      <c r="C708">
        <f t="shared" si="46"/>
        <v>10.49291764706075</v>
      </c>
      <c r="D708">
        <f t="shared" si="47"/>
        <v>1713.9639935407558</v>
      </c>
      <c r="R708">
        <f t="shared" si="44"/>
        <v>0.70599999999999996</v>
      </c>
      <c r="S708">
        <f t="shared" si="45"/>
        <v>10.49291764706075</v>
      </c>
    </row>
    <row r="709" spans="1:19" x14ac:dyDescent="0.3">
      <c r="A709">
        <v>0.70699999999999996</v>
      </c>
      <c r="B709">
        <f>Uo*COS(2*PI()*Wn*Sheet2!A709) + (Vo/Wn - (Po*(w/Wn))/(K*(1-(w/Wn)^2)))*SIN(2*PI()*Wn*Sheet2!A709) +(Po*SIN(2*PI()*w*Sheet2!A709))/(K*(1-(w/Wn)^2))</f>
        <v>19.550797506510087</v>
      </c>
      <c r="C709">
        <f t="shared" si="46"/>
        <v>10.457320585219099</v>
      </c>
      <c r="D709">
        <f t="shared" si="47"/>
        <v>1708.1493970362721</v>
      </c>
      <c r="R709">
        <f t="shared" si="44"/>
        <v>0.70699999999999996</v>
      </c>
      <c r="S709">
        <f t="shared" si="45"/>
        <v>10.457320585219099</v>
      </c>
    </row>
    <row r="710" spans="1:19" x14ac:dyDescent="0.3">
      <c r="A710">
        <v>0.70799999999999996</v>
      </c>
      <c r="B710">
        <f>Uo*COS(2*PI()*Wn*Sheet2!A710) + (Vo/Wn - (Po*(w/Wn))/(K*(1-(w/Wn)^2)))*SIN(2*PI()*Wn*Sheet2!A710) +(Po*SIN(2*PI()*w*Sheet2!A710))/(K*(1-(w/Wn)^2))</f>
        <v>19.471423755873623</v>
      </c>
      <c r="C710">
        <f t="shared" si="46"/>
        <v>10.418374685058541</v>
      </c>
      <c r="D710">
        <f t="shared" si="47"/>
        <v>1701.7877850598429</v>
      </c>
      <c r="R710">
        <f t="shared" si="44"/>
        <v>0.70799999999999996</v>
      </c>
      <c r="S710">
        <f t="shared" si="45"/>
        <v>10.418374685058541</v>
      </c>
    </row>
    <row r="711" spans="1:19" x14ac:dyDescent="0.3">
      <c r="A711">
        <v>0.70899999999999996</v>
      </c>
      <c r="B711">
        <f>Uo*COS(2*PI()*Wn*Sheet2!A711) + (Vo/Wn - (Po*(w/Wn))/(K*(1-(w/Wn)^2)))*SIN(2*PI()*Wn*Sheet2!A711) +(Po*SIN(2*PI()*w*Sheet2!A711))/(K*(1-(w/Wn)^2))</f>
        <v>19.38568906506914</v>
      </c>
      <c r="C711">
        <f t="shared" si="46"/>
        <v>10.376098705376327</v>
      </c>
      <c r="D711">
        <f t="shared" si="47"/>
        <v>1694.8822217642733</v>
      </c>
      <c r="R711">
        <f t="shared" si="44"/>
        <v>0.70899999999999996</v>
      </c>
      <c r="S711">
        <f t="shared" si="45"/>
        <v>10.376098705376327</v>
      </c>
    </row>
    <row r="712" spans="1:19" x14ac:dyDescent="0.3">
      <c r="A712">
        <v>0.71</v>
      </c>
      <c r="B712">
        <f>Uo*COS(2*PI()*Wn*Sheet2!A712) + (Vo/Wn - (Po*(w/Wn))/(K*(1-(w/Wn)^2)))*SIN(2*PI()*Wn*Sheet2!A712) +(Po*SIN(2*PI()*w*Sheet2!A712))/(K*(1-(w/Wn)^2))</f>
        <v>19.293621441973464</v>
      </c>
      <c r="C712">
        <f t="shared" si="46"/>
        <v>10.330512457985082</v>
      </c>
      <c r="D712">
        <f t="shared" si="47"/>
        <v>1687.4359433070015</v>
      </c>
      <c r="R712">
        <f t="shared" si="44"/>
        <v>0.71</v>
      </c>
      <c r="S712">
        <f t="shared" si="45"/>
        <v>10.330512457985082</v>
      </c>
    </row>
    <row r="713" spans="1:19" x14ac:dyDescent="0.3">
      <c r="A713">
        <v>0.71099999999999997</v>
      </c>
      <c r="B713">
        <f>Uo*COS(2*PI()*Wn*Sheet2!A713) + (Vo/Wn - (Po*(w/Wn))/(K*(1-(w/Wn)^2)))*SIN(2*PI()*Wn*Sheet2!A713) +(Po*SIN(2*PI()*w*Sheet2!A713))/(K*(1-(w/Wn)^2))</f>
        <v>19.195250963310805</v>
      </c>
      <c r="C713">
        <f t="shared" si="46"/>
        <v>10.281636799344996</v>
      </c>
      <c r="D713">
        <f t="shared" si="47"/>
        <v>1679.4523564832584</v>
      </c>
      <c r="R713">
        <f t="shared" si="44"/>
        <v>0.71099999999999997</v>
      </c>
      <c r="S713">
        <f t="shared" si="45"/>
        <v>10.281636799344996</v>
      </c>
    </row>
    <row r="714" spans="1:19" x14ac:dyDescent="0.3">
      <c r="A714">
        <v>0.71199999999999997</v>
      </c>
      <c r="B714">
        <f>Uo*COS(2*PI()*Wn*Sheet2!A714) + (Vo/Wn - (Po*(w/Wn))/(K*(1-(w/Wn)^2)))*SIN(2*PI()*Wn*Sheet2!A714) +(Po*SIN(2*PI()*w*Sheet2!A714))/(K*(1-(w/Wn)^2))</f>
        <v>19.090609764827196</v>
      </c>
      <c r="C714">
        <f t="shared" si="46"/>
        <v>10.229493621870082</v>
      </c>
      <c r="D714">
        <f t="shared" si="47"/>
        <v>1670.9350373059901</v>
      </c>
      <c r="R714">
        <f t="shared" si="44"/>
        <v>0.71199999999999997</v>
      </c>
      <c r="S714">
        <f t="shared" si="45"/>
        <v>10.229493621870082</v>
      </c>
    </row>
    <row r="715" spans="1:19" x14ac:dyDescent="0.3">
      <c r="A715">
        <v>0.71299999999999997</v>
      </c>
      <c r="B715">
        <f>Uo*COS(2*PI()*Wn*Sheet2!A715) + (Vo/Wn - (Po*(w/Wn))/(K*(1-(w/Wn)^2)))*SIN(2*PI()*Wn*Sheet2!A715) +(Po*SIN(2*PI()*w*Sheet2!A715))/(K*(1-(w/Wn)^2))</f>
        <v>18.979732030792434</v>
      </c>
      <c r="C715">
        <f t="shared" si="46"/>
        <v>10.174105844912093</v>
      </c>
      <c r="D715">
        <f t="shared" si="47"/>
        <v>1661.8877295331276</v>
      </c>
      <c r="R715">
        <f t="shared" si="44"/>
        <v>0.71299999999999997</v>
      </c>
      <c r="S715">
        <f t="shared" si="45"/>
        <v>10.174105844912093</v>
      </c>
    </row>
    <row r="716" spans="1:19" x14ac:dyDescent="0.3">
      <c r="A716">
        <v>0.71399999999999997</v>
      </c>
      <c r="B716">
        <f>Uo*COS(2*PI()*Wn*Sheet2!A716) + (Vo/Wn - (Po*(w/Wn))/(K*(1-(w/Wn)^2)))*SIN(2*PI()*Wn*Sheet2!A716) +(Po*SIN(2*PI()*w*Sheet2!A716))/(K*(1-(w/Wn)^2))</f>
        <v>18.862653982832665</v>
      </c>
      <c r="C716">
        <f t="shared" si="46"/>
        <v>10.115497405425469</v>
      </c>
      <c r="D716">
        <f t="shared" si="47"/>
        <v>1652.3143431427536</v>
      </c>
      <c r="R716">
        <f t="shared" si="44"/>
        <v>0.71399999999999997</v>
      </c>
      <c r="S716">
        <f t="shared" si="45"/>
        <v>10.115497405425469</v>
      </c>
    </row>
    <row r="717" spans="1:19" x14ac:dyDescent="0.3">
      <c r="A717">
        <v>0.71499999999999997</v>
      </c>
      <c r="B717">
        <f>Uo*COS(2*PI()*Wn*Sheet2!A717) + (Vo/Wn - (Po*(w/Wn))/(K*(1-(w/Wn)^2)))*SIN(2*PI()*Wn*Sheet2!A717) +(Po*SIN(2*PI()*w*Sheet2!A717))/(K*(1-(w/Wn)^2))</f>
        <v>18.739413868097547</v>
      </c>
      <c r="C717">
        <f t="shared" si="46"/>
        <v>10.05369324831708</v>
      </c>
      <c r="D717">
        <f t="shared" si="47"/>
        <v>1642.2189527567832</v>
      </c>
      <c r="R717">
        <f t="shared" si="44"/>
        <v>0.71499999999999997</v>
      </c>
      <c r="S717">
        <f t="shared" si="45"/>
        <v>10.05369324831708</v>
      </c>
    </row>
    <row r="718" spans="1:19" x14ac:dyDescent="0.3">
      <c r="A718">
        <v>0.71599999999999997</v>
      </c>
      <c r="B718">
        <f>Uo*COS(2*PI()*Wn*Sheet2!A718) + (Vo/Wn - (Po*(w/Wn))/(K*(1-(w/Wn)^2)))*SIN(2*PI()*Wn*Sheet2!A718) +(Po*SIN(2*PI()*w*Sheet2!A718))/(K*(1-(w/Wn)^2))</f>
        <v>18.610051946765559</v>
      </c>
      <c r="C718">
        <f t="shared" si="46"/>
        <v>9.9887193164843406</v>
      </c>
      <c r="D718">
        <f t="shared" si="47"/>
        <v>1631.6057960137414</v>
      </c>
      <c r="R718">
        <f t="shared" si="44"/>
        <v>0.71599999999999997</v>
      </c>
      <c r="S718">
        <f t="shared" si="45"/>
        <v>9.9887193164843406</v>
      </c>
    </row>
    <row r="719" spans="1:19" x14ac:dyDescent="0.3">
      <c r="A719">
        <v>0.71699999999999997</v>
      </c>
      <c r="B719">
        <f>Uo*COS(2*PI()*Wn*Sheet2!A719) + (Vo/Wn - (Po*(w/Wn))/(K*(1-(w/Wn)^2)))*SIN(2*PI()*Wn*Sheet2!A719) +(Po*SIN(2*PI()*w*Sheet2!A719))/(K*(1-(w/Wn)^2))</f>
        <v>18.474610478891861</v>
      </c>
      <c r="C719">
        <f t="shared" si="46"/>
        <v>9.9206025405456657</v>
      </c>
      <c r="D719">
        <f t="shared" si="47"/>
        <v>1620.4792718912847</v>
      </c>
      <c r="R719">
        <f t="shared" si="44"/>
        <v>0.71699999999999997</v>
      </c>
      <c r="S719">
        <f t="shared" si="45"/>
        <v>9.9206025405456657</v>
      </c>
    </row>
    <row r="720" spans="1:19" x14ac:dyDescent="0.3">
      <c r="A720">
        <v>0.71799999999999997</v>
      </c>
      <c r="B720">
        <f>Uo*COS(2*PI()*Wn*Sheet2!A720) + (Vo/Wn - (Po*(w/Wn))/(K*(1-(w/Wn)^2)))*SIN(2*PI()*Wn*Sheet2!A720) +(Po*SIN(2*PI()*w*Sheet2!A720))/(K*(1-(w/Wn)^2))</f>
        <v>18.333133710602691</v>
      </c>
      <c r="C720">
        <f t="shared" si="46"/>
        <v>9.8493708282670234</v>
      </c>
      <c r="D720">
        <f t="shared" si="47"/>
        <v>1608.8439389790849</v>
      </c>
      <c r="R720">
        <f t="shared" si="44"/>
        <v>0.71799999999999997</v>
      </c>
      <c r="S720">
        <f t="shared" si="45"/>
        <v>9.8493708282670234</v>
      </c>
    </row>
    <row r="721" spans="1:19" x14ac:dyDescent="0.3">
      <c r="A721">
        <v>0.71899999999999997</v>
      </c>
      <c r="B721">
        <f>Uo*COS(2*PI()*Wn*Sheet2!A721) + (Vo/Wn - (Po*(w/Wn))/(K*(1-(w/Wn)^2)))*SIN(2*PI()*Wn*Sheet2!A721) +(Po*SIN(2*PI()*w*Sheet2!A721))/(K*(1-(w/Wn)^2))</f>
        <v>18.185667859640986</v>
      </c>
      <c r="C721">
        <f t="shared" si="46"/>
        <v>9.7750530536886782</v>
      </c>
      <c r="D721">
        <f t="shared" si="47"/>
        <v>1596.7045137027374</v>
      </c>
      <c r="R721">
        <f t="shared" si="44"/>
        <v>0.71899999999999997</v>
      </c>
      <c r="S721">
        <f t="shared" si="45"/>
        <v>9.7750530536886782</v>
      </c>
    </row>
    <row r="722" spans="1:19" x14ac:dyDescent="0.3">
      <c r="A722">
        <v>0.72</v>
      </c>
      <c r="B722">
        <f>Uo*COS(2*PI()*Wn*Sheet2!A722) + (Vo/Wn - (Po*(w/Wn))/(K*(1-(w/Wn)^2)))*SIN(2*PI()*Wn*Sheet2!A722) +(Po*SIN(2*PI()*w*Sheet2!A722))/(K*(1-(w/Wn)^2))</f>
        <v>18.03226110026802</v>
      </c>
      <c r="C722">
        <f t="shared" si="46"/>
        <v>9.6976790459562263</v>
      </c>
      <c r="D722">
        <f t="shared" si="47"/>
        <v>1584.0658684993689</v>
      </c>
      <c r="R722">
        <f t="shared" si="44"/>
        <v>0.72</v>
      </c>
      <c r="S722">
        <f t="shared" si="45"/>
        <v>9.6976790459562263</v>
      </c>
    </row>
    <row r="723" spans="1:19" x14ac:dyDescent="0.3">
      <c r="A723">
        <v>0.72099999999999997</v>
      </c>
      <c r="B723">
        <f>Uo*COS(2*PI()*Wn*Sheet2!A723) + (Vo/Wn - (Po*(w/Wn))/(K*(1-(w/Wn)^2)))*SIN(2*PI()*Wn*Sheet2!A723) +(Po*SIN(2*PI()*w*Sheet2!A723))/(K*(1-(w/Wn)^2))</f>
        <v>17.872963547525679</v>
      </c>
      <c r="C723">
        <f t="shared" si="46"/>
        <v>9.6172795778599909</v>
      </c>
      <c r="D723">
        <f t="shared" si="47"/>
        <v>1570.9330299456062</v>
      </c>
      <c r="R723">
        <f t="shared" si="44"/>
        <v>0.72099999999999997</v>
      </c>
      <c r="S723">
        <f t="shared" si="45"/>
        <v>9.6172795778599909</v>
      </c>
    </row>
    <row r="724" spans="1:19" x14ac:dyDescent="0.3">
      <c r="A724">
        <v>0.72199999999999998</v>
      </c>
      <c r="B724">
        <f>Uo*COS(2*PI()*Wn*Sheet2!A724) + (Vo/Wn - (Po*(w/Wn))/(K*(1-(w/Wn)^2)))*SIN(2*PI()*Wn*Sheet2!A724) +(Po*SIN(2*PI()*w*Sheet2!A724))/(K*(1-(w/Wn)^2))</f>
        <v>17.707827240864972</v>
      </c>
      <c r="C724">
        <f t="shared" si="46"/>
        <v>9.5338863540872225</v>
      </c>
      <c r="D724">
        <f t="shared" si="47"/>
        <v>1557.3111768386345</v>
      </c>
      <c r="R724">
        <f t="shared" si="44"/>
        <v>0.72199999999999998</v>
      </c>
      <c r="S724">
        <f t="shared" si="45"/>
        <v>9.5338863540872225</v>
      </c>
    </row>
    <row r="725" spans="1:19" x14ac:dyDescent="0.3">
      <c r="A725">
        <v>0.72299999999999998</v>
      </c>
      <c r="B725">
        <f>Uo*COS(2*PI()*Wn*Sheet2!A725) + (Vo/Wn - (Po*(w/Wn))/(K*(1-(w/Wn)^2)))*SIN(2*PI()*Wn*Sheet2!A725) +(Po*SIN(2*PI()*w*Sheet2!A725))/(K*(1-(w/Wn)^2))</f>
        <v>17.536906127145599</v>
      </c>
      <c r="C725">
        <f t="shared" si="46"/>
        <v>9.4475319991912325</v>
      </c>
      <c r="D725">
        <f t="shared" si="47"/>
        <v>1543.205638231017</v>
      </c>
      <c r="R725">
        <f t="shared" si="44"/>
        <v>0.72299999999999998</v>
      </c>
      <c r="S725">
        <f t="shared" si="45"/>
        <v>9.4475319991912325</v>
      </c>
    </row>
    <row r="726" spans="1:19" x14ac:dyDescent="0.3">
      <c r="A726">
        <v>0.72399999999999998</v>
      </c>
      <c r="B726">
        <f>Uo*COS(2*PI()*Wn*Sheet2!A726) + (Vo/Wn - (Po*(w/Wn))/(K*(1-(w/Wn)^2)))*SIN(2*PI()*Wn*Sheet2!A726) +(Po*SIN(2*PI()*w*Sheet2!A726))/(K*(1-(w/Wn)^2))</f>
        <v>17.36025604301269</v>
      </c>
      <c r="C726">
        <f t="shared" si="46"/>
        <v>9.3582500452821602</v>
      </c>
      <c r="D726">
        <f t="shared" si="47"/>
        <v>1528.6218914200449</v>
      </c>
      <c r="R726">
        <f t="shared" si="44"/>
        <v>0.72399999999999998</v>
      </c>
      <c r="S726">
        <f t="shared" si="45"/>
        <v>9.3582500452821602</v>
      </c>
    </row>
    <row r="727" spans="1:19" x14ac:dyDescent="0.3">
      <c r="A727">
        <v>0.72499999999999998</v>
      </c>
      <c r="B727">
        <f>Uo*COS(2*PI()*Wn*Sheet2!A727) + (Vo/Wn - (Po*(w/Wn))/(K*(1-(w/Wn)^2)))*SIN(2*PI()*Wn*Sheet2!A727) +(Po*SIN(2*PI()*w*Sheet2!A727))/(K*(1-(w/Wn)^2))</f>
        <v>17.177934696655914</v>
      </c>
      <c r="C727">
        <f t="shared" si="46"/>
        <v>9.2660749194436178</v>
      </c>
      <c r="D727">
        <f t="shared" si="47"/>
        <v>1513.5655598923115</v>
      </c>
      <c r="R727">
        <f t="shared" si="44"/>
        <v>0.72499999999999998</v>
      </c>
      <c r="S727">
        <f t="shared" si="45"/>
        <v>9.2660749194436178</v>
      </c>
    </row>
    <row r="728" spans="1:19" x14ac:dyDescent="0.3">
      <c r="A728">
        <v>0.72599999999999998</v>
      </c>
      <c r="B728">
        <f>Uo*COS(2*PI()*Wn*Sheet2!A728) + (Vo/Wn - (Po*(w/Wn))/(K*(1-(w/Wn)^2)))*SIN(2*PI()*Wn*Sheet2!A728) +(Po*SIN(2*PI()*w*Sheet2!A728))/(K*(1-(w/Wn)^2))</f>
        <v>16.990001648957453</v>
      </c>
      <c r="C728">
        <f t="shared" si="46"/>
        <v>9.1710419308800777</v>
      </c>
      <c r="D728">
        <f t="shared" si="47"/>
        <v>1498.0424112243045</v>
      </c>
      <c r="R728">
        <f t="shared" si="44"/>
        <v>0.72599999999999998</v>
      </c>
      <c r="S728">
        <f t="shared" si="45"/>
        <v>9.1710419308800777</v>
      </c>
    </row>
    <row r="729" spans="1:19" x14ac:dyDescent="0.3">
      <c r="A729">
        <v>0.72699999999999998</v>
      </c>
      <c r="B729">
        <f>Uo*COS(2*PI()*Wn*Sheet2!A729) + (Vo/Wn - (Po*(w/Wn))/(K*(1-(w/Wn)^2)))*SIN(2*PI()*Wn*Sheet2!A729) +(Po*SIN(2*PI()*w*Sheet2!A729))/(K*(1-(w/Wn)^2))</f>
        <v>16.796518294034463</v>
      </c>
      <c r="C729">
        <f t="shared" si="46"/>
        <v>9.0731872577994217</v>
      </c>
      <c r="D729">
        <f t="shared" si="47"/>
        <v>1482.0583549397375</v>
      </c>
      <c r="R729">
        <f t="shared" si="44"/>
        <v>0.72699999999999998</v>
      </c>
      <c r="S729">
        <f t="shared" si="45"/>
        <v>9.0731872577994217</v>
      </c>
    </row>
    <row r="730" spans="1:19" x14ac:dyDescent="0.3">
      <c r="A730">
        <v>0.72799999999999998</v>
      </c>
      <c r="B730">
        <f>Uo*COS(2*PI()*Wn*Sheet2!A730) + (Vo/Wn - (Po*(w/Wn))/(K*(1-(w/Wn)^2)))*SIN(2*PI()*Wn*Sheet2!A730) +(Po*SIN(2*PI()*w*Sheet2!A730))/(K*(1-(w/Wn)^2))</f>
        <v>16.597547839182948</v>
      </c>
      <c r="C730">
        <f t="shared" si="46"/>
        <v>8.9725479340357222</v>
      </c>
      <c r="D730">
        <f t="shared" si="47"/>
        <v>1465.6194403244504</v>
      </c>
      <c r="R730">
        <f t="shared" si="44"/>
        <v>0.72799999999999998</v>
      </c>
      <c r="S730">
        <f t="shared" si="45"/>
        <v>8.9725479340357222</v>
      </c>
    </row>
    <row r="731" spans="1:19" x14ac:dyDescent="0.3">
      <c r="A731">
        <v>0.72899999999999998</v>
      </c>
      <c r="B731">
        <f>Uo*COS(2*PI()*Wn*Sheet2!A731) + (Vo/Wn - (Po*(w/Wn))/(K*(1-(w/Wn)^2)))*SIN(2*PI()*Wn*Sheet2!A731) +(Po*SIN(2*PI()*w*Sheet2!A731))/(K*(1-(w/Wn)^2))</f>
        <v>16.393155284228989</v>
      </c>
      <c r="C731">
        <f t="shared" si="46"/>
        <v>8.8691618354167137</v>
      </c>
      <c r="D731">
        <f t="shared" si="47"/>
        <v>1448.7318541996062</v>
      </c>
      <c r="R731">
        <f t="shared" si="44"/>
        <v>0.72899999999999998</v>
      </c>
      <c r="S731">
        <f t="shared" si="45"/>
        <v>8.8691618354167137</v>
      </c>
    </row>
    <row r="732" spans="1:19" x14ac:dyDescent="0.3">
      <c r="A732">
        <v>0.73</v>
      </c>
      <c r="B732">
        <f>Uo*COS(2*PI()*Wn*Sheet2!A732) + (Vo/Wn - (Po*(w/Wn))/(K*(1-(w/Wn)^2)))*SIN(2*PI()*Wn*Sheet2!A732) +(Po*SIN(2*PI()*w*Sheet2!A732))/(K*(1-(w/Wn)^2))</f>
        <v>16.183407400294719</v>
      </c>
      <c r="C732">
        <f t="shared" si="46"/>
        <v>8.7630676658812519</v>
      </c>
      <c r="D732">
        <f t="shared" si="47"/>
        <v>1431.4019186540502</v>
      </c>
      <c r="R732">
        <f t="shared" si="44"/>
        <v>0.73</v>
      </c>
      <c r="S732">
        <f t="shared" si="45"/>
        <v>8.7630676658812519</v>
      </c>
    </row>
    <row r="733" spans="1:19" x14ac:dyDescent="0.3">
      <c r="A733">
        <v>0.73099999999999998</v>
      </c>
      <c r="B733">
        <f>Uo*COS(2*PI()*Wn*Sheet2!A733) + (Vo/Wn - (Po*(w/Wn))/(K*(1-(w/Wn)^2)))*SIN(2*PI()*Wn*Sheet2!A733) +(Po*SIN(2*PI()*w*Sheet2!A733))/(K*(1-(w/Wn)^2))</f>
        <v>15.968372707985306</v>
      </c>
      <c r="C733">
        <f t="shared" si="46"/>
        <v>8.6543049433514199</v>
      </c>
      <c r="D733">
        <f t="shared" si="47"/>
        <v>1413.6360887365902</v>
      </c>
      <c r="R733">
        <f t="shared" si="44"/>
        <v>0.73099999999999998</v>
      </c>
      <c r="S733">
        <f t="shared" si="45"/>
        <v>8.6543049433514199</v>
      </c>
    </row>
    <row r="734" spans="1:19" x14ac:dyDescent="0.3">
      <c r="A734">
        <v>0.73199999999999998</v>
      </c>
      <c r="B734">
        <f>Uo*COS(2*PI()*Wn*Sheet2!A734) + (Vo/Wn - (Po*(w/Wn))/(K*(1-(w/Wn)^2)))*SIN(2*PI()*Wn*Sheet2!A734) +(Po*SIN(2*PI()*w*Sheet2!A734))/(K*(1-(w/Wn)^2))</f>
        <v>15.74812145500476</v>
      </c>
      <c r="C734">
        <f t="shared" si="46"/>
        <v>8.5429139853645868</v>
      </c>
      <c r="D734">
        <f t="shared" si="47"/>
        <v>1395.4409501090681</v>
      </c>
      <c r="R734">
        <f t="shared" si="44"/>
        <v>0.73199999999999998</v>
      </c>
      <c r="S734">
        <f t="shared" si="45"/>
        <v>8.5429139853645868</v>
      </c>
    </row>
    <row r="735" spans="1:19" x14ac:dyDescent="0.3">
      <c r="A735">
        <v>0.73299999999999998</v>
      </c>
      <c r="B735">
        <f>Uo*COS(2*PI()*Wn*Sheet2!A735) + (Vo/Wn - (Po*(w/Wn))/(K*(1-(w/Wn)^2)))*SIN(2*PI()*Wn*Sheet2!A735) +(Po*SIN(2*PI()*w*Sheet2!A735))/(K*(1-(w/Wn)^2))</f>
        <v>15.522725593207188</v>
      </c>
      <c r="C735">
        <f t="shared" si="46"/>
        <v>8.4289358944703086</v>
      </c>
      <c r="D735">
        <f t="shared" si="47"/>
        <v>1376.8232166610189</v>
      </c>
      <c r="R735">
        <f t="shared" si="44"/>
        <v>0.73299999999999998</v>
      </c>
      <c r="S735">
        <f t="shared" si="45"/>
        <v>8.4289358944703086</v>
      </c>
    </row>
    <row r="736" spans="1:19" x14ac:dyDescent="0.3">
      <c r="A736">
        <v>0.73399999999999999</v>
      </c>
      <c r="B736">
        <f>Uo*COS(2*PI()*Wn*Sheet2!A736) + (Vo/Wn - (Po*(w/Wn))/(K*(1-(w/Wn)^2)))*SIN(2*PI()*Wn*Sheet2!A736) +(Po*SIN(2*PI()*w*Sheet2!A736))/(K*(1-(w/Wn)^2))</f>
        <v>15.292258755091648</v>
      </c>
      <c r="C736">
        <f t="shared" si="46"/>
        <v>8.3124125433975102</v>
      </c>
      <c r="D736">
        <f t="shared" si="47"/>
        <v>1357.7897280868065</v>
      </c>
      <c r="R736">
        <f t="shared" si="44"/>
        <v>0.73399999999999999</v>
      </c>
      <c r="S736">
        <f t="shared" si="45"/>
        <v>8.3124125433975102</v>
      </c>
    </row>
    <row r="737" spans="1:19" x14ac:dyDescent="0.3">
      <c r="A737">
        <v>0.73499999999999999</v>
      </c>
      <c r="B737">
        <f>Uo*COS(2*PI()*Wn*Sheet2!A737) + (Vo/Wn - (Po*(w/Wn))/(K*(1-(w/Wn)^2)))*SIN(2*PI()*Wn*Sheet2!A737) +(Po*SIN(2*PI()*w*Sheet2!A737))/(K*(1-(w/Wn)^2))</f>
        <v>15.056796229747773</v>
      </c>
      <c r="C737">
        <f t="shared" si="46"/>
        <v>8.1933865599969966</v>
      </c>
      <c r="D737">
        <f t="shared" si="47"/>
        <v>1338.3474474260593</v>
      </c>
      <c r="R737">
        <f t="shared" si="44"/>
        <v>0.73499999999999999</v>
      </c>
      <c r="S737">
        <f t="shared" si="45"/>
        <v>8.1933865599969966</v>
      </c>
    </row>
    <row r="738" spans="1:19" x14ac:dyDescent="0.3">
      <c r="A738">
        <v>0.73599999999999999</v>
      </c>
      <c r="B738">
        <f>Uo*COS(2*PI()*Wn*Sheet2!A738) + (Vo/Wn - (Po*(w/Wn))/(K*(1-(w/Wn)^2)))*SIN(2*PI()*Wn*Sheet2!A738) +(Po*SIN(2*PI()*w*Sheet2!A738))/(K*(1-(w/Wn)^2))</f>
        <v>14.816414938260198</v>
      </c>
      <c r="C738">
        <f t="shared" si="46"/>
        <v>8.0719013119646732</v>
      </c>
      <c r="D738">
        <f t="shared" si="47"/>
        <v>1318.5034585682895</v>
      </c>
      <c r="R738">
        <f t="shared" si="44"/>
        <v>0.73599999999999999</v>
      </c>
      <c r="S738">
        <f t="shared" si="45"/>
        <v>8.0719013119646732</v>
      </c>
    </row>
    <row r="739" spans="1:19" x14ac:dyDescent="0.3">
      <c r="A739">
        <v>0.73699999999999999</v>
      </c>
      <c r="B739">
        <f>Uo*COS(2*PI()*Wn*Sheet2!A739) + (Vo/Wn - (Po*(w/Wn))/(K*(1-(w/Wn)^2)))*SIN(2*PI()*Wn*Sheet2!A739) +(Po*SIN(2*PI()*w*Sheet2!A739))/(K*(1-(w/Wn)^2))</f>
        <v>14.571193408580072</v>
      </c>
      <c r="C739">
        <f t="shared" si="46"/>
        <v>7.9480008913509899</v>
      </c>
      <c r="D739">
        <f t="shared" si="47"/>
        <v>1298.2649637225882</v>
      </c>
      <c r="R739">
        <f t="shared" si="44"/>
        <v>0.73699999999999999</v>
      </c>
      <c r="S739">
        <f t="shared" si="45"/>
        <v>7.9480008913509899</v>
      </c>
    </row>
    <row r="740" spans="1:19" x14ac:dyDescent="0.3">
      <c r="A740">
        <v>0.73799999999999999</v>
      </c>
      <c r="B740">
        <f>Uo*COS(2*PI()*Wn*Sheet2!A740) + (Vo/Wn - (Po*(w/Wn))/(K*(1-(w/Wn)^2)))*SIN(2*PI()*Wn*Sheet2!A740) +(Po*SIN(2*PI()*w*Sheet2!A740))/(K*(1-(w/Wn)^2))</f>
        <v>14.321211749871312</v>
      </c>
      <c r="C740">
        <f t="shared" si="46"/>
        <v>7.8217300988617957</v>
      </c>
      <c r="D740">
        <f t="shared" si="47"/>
        <v>1277.6392808532521</v>
      </c>
      <c r="R740">
        <f t="shared" si="44"/>
        <v>0.73799999999999999</v>
      </c>
      <c r="S740">
        <f t="shared" si="45"/>
        <v>7.8217300988617957</v>
      </c>
    </row>
    <row r="741" spans="1:19" x14ac:dyDescent="0.3">
      <c r="A741">
        <v>0.73899999999999999</v>
      </c>
      <c r="B741">
        <f>Uo*COS(2*PI()*Wn*Sheet2!A741) + (Vo/Wn - (Po*(w/Wn))/(K*(1-(w/Wn)^2)))*SIN(2*PI()*Wn*Sheet2!A741) +(Po*SIN(2*PI()*w*Sheet2!A741))/(K*(1-(w/Wn)^2))</f>
        <v>14.066551626340653</v>
      </c>
      <c r="C741">
        <f t="shared" si="46"/>
        <v>7.6931344279563927</v>
      </c>
      <c r="D741">
        <f t="shared" si="47"/>
        <v>1256.6338410822825</v>
      </c>
      <c r="R741">
        <f t="shared" si="44"/>
        <v>0.73899999999999999</v>
      </c>
      <c r="S741">
        <f t="shared" si="45"/>
        <v>7.6931344279563927</v>
      </c>
    </row>
    <row r="742" spans="1:19" x14ac:dyDescent="0.3">
      <c r="A742">
        <v>0.74</v>
      </c>
      <c r="B742">
        <f>Uo*COS(2*PI()*Wn*Sheet2!A742) + (Vo/Wn - (Po*(w/Wn))/(K*(1-(w/Wn)^2)))*SIN(2*PI()*Wn*Sheet2!A742) +(Po*SIN(2*PI()*w*Sheet2!A742))/(K*(1-(w/Wn)^2))</f>
        <v>13.807296230559338</v>
      </c>
      <c r="C742">
        <f t="shared" si="46"/>
        <v>7.5622600487480529</v>
      </c>
      <c r="D742">
        <f t="shared" si="47"/>
        <v>1235.2561860596181</v>
      </c>
      <c r="R742">
        <f t="shared" si="44"/>
        <v>0.74</v>
      </c>
      <c r="S742">
        <f t="shared" si="45"/>
        <v>7.5622600487480529</v>
      </c>
    </row>
    <row r="743" spans="1:19" x14ac:dyDescent="0.3">
      <c r="A743">
        <v>0.74099999999999999</v>
      </c>
      <c r="B743">
        <f>Uo*COS(2*PI()*Wn*Sheet2!A743) + (Vo/Wn - (Po*(w/Wn))/(K*(1-(w/Wn)^2)))*SIN(2*PI()*Wn*Sheet2!A743) +(Po*SIN(2*PI()*w*Sheet2!A743))/(K*(1-(w/Wn)^2))</f>
        <v>13.543530256285898</v>
      </c>
      <c r="C743">
        <f t="shared" si="46"/>
        <v>7.4291537917129116</v>
      </c>
      <c r="D743">
        <f t="shared" si="47"/>
        <v>1213.5139653020656</v>
      </c>
      <c r="R743">
        <f t="shared" si="44"/>
        <v>0.74099999999999999</v>
      </c>
      <c r="S743">
        <f t="shared" si="45"/>
        <v>7.4291537917129116</v>
      </c>
    </row>
    <row r="744" spans="1:19" x14ac:dyDescent="0.3">
      <c r="A744">
        <v>0.74199999999999999</v>
      </c>
      <c r="B744">
        <f>Uo*COS(2*PI()*Wn*Sheet2!A744) + (Vo/Wn - (Po*(w/Wn))/(K*(1-(w/Wn)^2)))*SIN(2*PI()*Wn*Sheet2!A744) +(Po*SIN(2*PI()*w*Sheet2!A744))/(K*(1-(w/Wn)^2))</f>
        <v>13.275339870798117</v>
      </c>
      <c r="C744">
        <f t="shared" si="46"/>
        <v>7.2938631312125937</v>
      </c>
      <c r="D744">
        <f t="shared" si="47"/>
        <v>1191.4149335018069</v>
      </c>
      <c r="R744">
        <f t="shared" si="44"/>
        <v>0.74199999999999999</v>
      </c>
      <c r="S744">
        <f t="shared" si="45"/>
        <v>7.2938631312125937</v>
      </c>
    </row>
    <row r="745" spans="1:19" x14ac:dyDescent="0.3">
      <c r="A745">
        <v>0.74299999999999999</v>
      </c>
      <c r="B745">
        <f>Uo*COS(2*PI()*Wn*Sheet2!A745) + (Vo/Wn - (Po*(w/Wn))/(K*(1-(w/Wn)^2)))*SIN(2*PI()*Wn*Sheet2!A745) +(Po*SIN(2*PI()*w*Sheet2!A745))/(K*(1-(w/Wn)^2))</f>
        <v>13.002812686744061</v>
      </c>
      <c r="C745">
        <f t="shared" si="46"/>
        <v>7.1564361688365894</v>
      </c>
      <c r="D745">
        <f t="shared" si="47"/>
        <v>1168.9669478054614</v>
      </c>
      <c r="R745">
        <f t="shared" si="44"/>
        <v>0.74299999999999999</v>
      </c>
      <c r="S745">
        <f t="shared" si="45"/>
        <v>7.1564361688365894</v>
      </c>
    </row>
    <row r="746" spans="1:19" x14ac:dyDescent="0.3">
      <c r="A746">
        <v>0.74399999999999999</v>
      </c>
      <c r="B746">
        <f>Uo*COS(2*PI()*Wn*Sheet2!A746) + (Vo/Wn - (Po*(w/Wn))/(K*(1-(w/Wn)^2)))*SIN(2*PI()*Wn*Sheet2!A746) +(Po*SIN(2*PI()*w*Sheet2!A746))/(K*(1-(w/Wn)^2))</f>
        <v>12.726037733520476</v>
      </c>
      <c r="C746">
        <f t="shared" si="46"/>
        <v>7.0169216165698396</v>
      </c>
      <c r="D746">
        <f t="shared" si="47"/>
        <v>1146.1779650645979</v>
      </c>
      <c r="R746">
        <f t="shared" si="44"/>
        <v>0.74399999999999999</v>
      </c>
      <c r="S746">
        <f t="shared" si="45"/>
        <v>7.0169216165698396</v>
      </c>
    </row>
    <row r="747" spans="1:19" x14ac:dyDescent="0.3">
      <c r="A747">
        <v>0.745</v>
      </c>
      <c r="B747">
        <f>Uo*COS(2*PI()*Wn*Sheet2!A747) + (Vo/Wn - (Po*(w/Wn))/(K*(1-(w/Wn)^2)))*SIN(2*PI()*Wn*Sheet2!A747) +(Po*SIN(2*PI()*w*Sheet2!A747))/(K*(1-(w/Wn)^2))</f>
        <v>12.445105428188832</v>
      </c>
      <c r="C747">
        <f t="shared" si="46"/>
        <v>6.8753687797916614</v>
      </c>
      <c r="D747">
        <f t="shared" si="47"/>
        <v>1123.056039058697</v>
      </c>
      <c r="R747">
        <f t="shared" si="44"/>
        <v>0.745</v>
      </c>
      <c r="S747">
        <f t="shared" si="45"/>
        <v>6.8753687797916614</v>
      </c>
    </row>
    <row r="748" spans="1:19" x14ac:dyDescent="0.3">
      <c r="A748">
        <v>0.746</v>
      </c>
      <c r="B748">
        <f>Uo*COS(2*PI()*Wn*Sheet2!A748) + (Vo/Wn - (Po*(w/Wn))/(K*(1-(w/Wn)^2)))*SIN(2*PI()*Wn*Sheet2!A748) +(Po*SIN(2*PI()*w*Sheet2!A748))/(K*(1-(w/Wn)^2))</f>
        <v>12.160107545937564</v>
      </c>
      <c r="C748">
        <f t="shared" si="46"/>
        <v>6.731827540111512</v>
      </c>
      <c r="D748">
        <f t="shared" si="47"/>
        <v>1099.6093176914617</v>
      </c>
      <c r="R748">
        <f t="shared" si="44"/>
        <v>0.746</v>
      </c>
      <c r="S748">
        <f t="shared" si="45"/>
        <v>6.731827540111512</v>
      </c>
    </row>
    <row r="749" spans="1:19" x14ac:dyDescent="0.3">
      <c r="A749">
        <v>0.747</v>
      </c>
      <c r="B749">
        <f>Uo*COS(2*PI()*Wn*Sheet2!A749) + (Vo/Wn - (Po*(w/Wn))/(K*(1-(w/Wn)^2)))*SIN(2*PI()*Wn*Sheet2!A749) +(Po*SIN(2*PI()*w*Sheet2!A749))/(K*(1-(w/Wn)^2))</f>
        <v>11.871137190101122</v>
      </c>
      <c r="C749">
        <f t="shared" si="46"/>
        <v>6.5863483380478751</v>
      </c>
      <c r="D749">
        <f t="shared" si="47"/>
        <v>1075.8460401615023</v>
      </c>
      <c r="R749">
        <f t="shared" si="44"/>
        <v>0.747</v>
      </c>
      <c r="S749">
        <f t="shared" si="45"/>
        <v>6.5863483380478751</v>
      </c>
    </row>
    <row r="750" spans="1:19" x14ac:dyDescent="0.3">
      <c r="A750">
        <v>0.748</v>
      </c>
      <c r="B750">
        <f>Uo*COS(2*PI()*Wn*Sheet2!A750) + (Vo/Wn - (Po*(w/Wn))/(K*(1-(w/Wn)^2)))*SIN(2*PI()*Wn*Sheet2!A750) +(Po*SIN(2*PI()*w*Sheet2!A750))/(K*(1-(w/Wn)^2))</f>
        <v>11.578288761744664</v>
      </c>
      <c r="C750">
        <f t="shared" si="46"/>
        <v>6.4389821555557987</v>
      </c>
      <c r="D750">
        <f t="shared" si="47"/>
        <v>1051.7745341083</v>
      </c>
      <c r="R750">
        <f t="shared" si="44"/>
        <v>0.748</v>
      </c>
      <c r="S750">
        <f t="shared" si="45"/>
        <v>6.4389821555557987</v>
      </c>
    </row>
    <row r="751" spans="1:19" x14ac:dyDescent="0.3">
      <c r="A751">
        <v>0.749</v>
      </c>
      <c r="B751">
        <f>Uo*COS(2*PI()*Wn*Sheet2!A751) + (Vo/Wn - (Po*(w/Wn))/(K*(1-(w/Wn)^2)))*SIN(2*PI()*Wn*Sheet2!A751) +(Po*SIN(2*PI()*w*Sheet2!A751))/(K*(1-(w/Wn)^2))</f>
        <v>11.28165792882527</v>
      </c>
      <c r="C751">
        <f t="shared" si="46"/>
        <v>6.2897804984094821</v>
      </c>
      <c r="D751">
        <f t="shared" si="47"/>
        <v>1027.403212734494</v>
      </c>
      <c r="R751">
        <f t="shared" si="44"/>
        <v>0.749</v>
      </c>
      <c r="S751">
        <f t="shared" si="45"/>
        <v>6.2897804984094821</v>
      </c>
    </row>
    <row r="752" spans="1:19" x14ac:dyDescent="0.3">
      <c r="A752">
        <v>0.75</v>
      </c>
      <c r="B752">
        <f>Uo*COS(2*PI()*Wn*Sheet2!A752) + (Vo/Wn - (Po*(w/Wn))/(K*(1-(w/Wn)^2)))*SIN(2*PI()*Wn*Sheet2!A752) +(Po*SIN(2*PI()*w*Sheet2!A752))/(K*(1-(w/Wn)^2))</f>
        <v>10.981341594938833</v>
      </c>
      <c r="C752">
        <f t="shared" si="46"/>
        <v>6.1387953784454865</v>
      </c>
      <c r="D752">
        <f t="shared" si="47"/>
        <v>1002.7405719054001</v>
      </c>
      <c r="R752">
        <f t="shared" si="44"/>
        <v>0.75</v>
      </c>
      <c r="S752">
        <f t="shared" si="45"/>
        <v>6.1387953784454865</v>
      </c>
    </row>
    <row r="753" spans="1:19" x14ac:dyDescent="0.3">
      <c r="A753">
        <v>0.751</v>
      </c>
      <c r="B753">
        <f>Uo*COS(2*PI()*Wn*Sheet2!A753) + (Vo/Wn - (Po*(w/Wn))/(K*(1-(w/Wn)^2)))*SIN(2*PI()*Wn*Sheet2!A753) +(Po*SIN(2*PI()*w*Sheet2!A753))/(K*(1-(w/Wn)^2))</f>
        <v>10.677437867663713</v>
      </c>
      <c r="C753">
        <f t="shared" si="46"/>
        <v>5.9860792956730533</v>
      </c>
      <c r="D753">
        <f t="shared" si="47"/>
        <v>977.79518722682496</v>
      </c>
      <c r="R753">
        <f t="shared" si="44"/>
        <v>0.751</v>
      </c>
      <c r="S753">
        <f t="shared" si="45"/>
        <v>5.9860792956730533</v>
      </c>
    </row>
    <row r="754" spans="1:19" x14ac:dyDescent="0.3">
      <c r="A754">
        <v>0.752</v>
      </c>
      <c r="B754">
        <f>Uo*COS(2*PI()*Wn*Sheet2!A754) + (Vo/Wn - (Po*(w/Wn))/(K*(1-(w/Wn)^2)))*SIN(2*PI()*Wn*Sheet2!A754) +(Po*SIN(2*PI()*w*Sheet2!A754))/(K*(1-(w/Wn)^2))</f>
        <v>10.370046026510789</v>
      </c>
      <c r="C754">
        <f t="shared" si="46"/>
        <v>5.8316852202572615</v>
      </c>
      <c r="D754">
        <f t="shared" si="47"/>
        <v>952.57571110210665</v>
      </c>
      <c r="R754">
        <f t="shared" si="44"/>
        <v>0.752</v>
      </c>
      <c r="S754">
        <f t="shared" si="45"/>
        <v>5.8316852202572615</v>
      </c>
    </row>
    <row r="755" spans="1:19" x14ac:dyDescent="0.3">
      <c r="A755">
        <v>0.753</v>
      </c>
      <c r="B755">
        <f>Uo*COS(2*PI()*Wn*Sheet2!A755) + (Vo/Wn - (Po*(w/Wn))/(K*(1-(w/Wn)^2)))*SIN(2*PI()*Wn*Sheet2!A755) +(Po*SIN(2*PI()*w*Sheet2!A755))/(K*(1-(w/Wn)^2))</f>
        <v>10.059266490490661</v>
      </c>
      <c r="C755">
        <f t="shared" si="46"/>
        <v>5.6756665743812507</v>
      </c>
      <c r="D755">
        <f t="shared" si="47"/>
        <v>927.09086976940307</v>
      </c>
      <c r="R755">
        <f t="shared" si="44"/>
        <v>0.753</v>
      </c>
      <c r="S755">
        <f t="shared" si="45"/>
        <v>5.6756665743812507</v>
      </c>
    </row>
    <row r="756" spans="1:19" x14ac:dyDescent="0.3">
      <c r="A756">
        <v>0.754</v>
      </c>
      <c r="B756">
        <f>Uo*COS(2*PI()*Wn*Sheet2!A756) + (Vo/Wn - (Po*(w/Wn))/(K*(1-(w/Wn)^2)))*SIN(2*PI()*Wn*Sheet2!A756) +(Po*SIN(2*PI()*w*Sheet2!A756))/(K*(1-(w/Wn)^2))</f>
        <v>9.7452007853088993</v>
      </c>
      <c r="C756">
        <f t="shared" si="46"/>
        <v>5.5180772139938181</v>
      </c>
      <c r="D756">
        <f t="shared" si="47"/>
        <v>901.3494603202555</v>
      </c>
      <c r="R756">
        <f t="shared" si="44"/>
        <v>0.754</v>
      </c>
      <c r="S756">
        <f t="shared" si="45"/>
        <v>5.5180772139938181</v>
      </c>
    </row>
    <row r="757" spans="1:19" x14ac:dyDescent="0.3">
      <c r="A757">
        <v>0.755</v>
      </c>
      <c r="B757">
        <f>Uo*COS(2*PI()*Wn*Sheet2!A757) + (Vo/Wn - (Po*(w/Wn))/(K*(1-(w/Wn)^2)))*SIN(2*PI()*Wn*Sheet2!A757) +(Po*SIN(2*PI()*w*Sheet2!A757))/(K*(1-(w/Wn)^2))</f>
        <v>9.4279515101992999</v>
      </c>
      <c r="C757">
        <f t="shared" si="46"/>
        <v>5.358971410448186</v>
      </c>
      <c r="D757">
        <f t="shared" si="47"/>
        <v>875.360347700376</v>
      </c>
      <c r="R757">
        <f t="shared" si="44"/>
        <v>0.755</v>
      </c>
      <c r="S757">
        <f t="shared" si="45"/>
        <v>5.358971410448186</v>
      </c>
    </row>
    <row r="758" spans="1:19" x14ac:dyDescent="0.3">
      <c r="A758">
        <v>0.75600000000000001</v>
      </c>
      <c r="B758">
        <f>Uo*COS(2*PI()*Wn*Sheet2!A758) + (Vo/Wn - (Po*(w/Wn))/(K*(1-(w/Wn)^2)))*SIN(2*PI()*Wn*Sheet2!A758) +(Po*SIN(2*PI()*w*Sheet2!A758))/(K*(1-(w/Wn)^2))</f>
        <v>9.1076223044069344</v>
      </c>
      <c r="C758">
        <f t="shared" si="46"/>
        <v>5.1984038320385846</v>
      </c>
      <c r="D758">
        <f t="shared" si="47"/>
        <v>849.13246169374383</v>
      </c>
      <c r="R758">
        <f t="shared" si="44"/>
        <v>0.75600000000000001</v>
      </c>
      <c r="S758">
        <f t="shared" si="45"/>
        <v>5.1984038320385846</v>
      </c>
    </row>
    <row r="759" spans="1:19" x14ac:dyDescent="0.3">
      <c r="A759">
        <v>0.75700000000000001</v>
      </c>
      <c r="B759">
        <f>Uo*COS(2*PI()*Wn*Sheet2!A759) + (Vo/Wn - (Po*(w/Wn))/(K*(1-(w/Wn)^2)))*SIN(2*PI()*Wn*Sheet2!A759) +(Po*SIN(2*PI()*w*Sheet2!A759))/(K*(1-(w/Wn)^2))</f>
        <v>8.7843178133309525</v>
      </c>
      <c r="C759">
        <f t="shared" si="46"/>
        <v>5.0364295254403606</v>
      </c>
      <c r="D759">
        <f t="shared" si="47"/>
        <v>822.67479389094228</v>
      </c>
      <c r="R759">
        <f t="shared" si="44"/>
        <v>0.75700000000000001</v>
      </c>
      <c r="S759">
        <f t="shared" si="45"/>
        <v>5.0364295254403606</v>
      </c>
    </row>
    <row r="760" spans="1:19" x14ac:dyDescent="0.3">
      <c r="A760">
        <v>0.75800000000000001</v>
      </c>
      <c r="B760">
        <f>Uo*COS(2*PI()*Wn*Sheet2!A760) + (Vo/Wn - (Po*(w/Wn))/(K*(1-(w/Wn)^2)))*SIN(2*PI()*Wn*Sheet2!A760) +(Po*SIN(2*PI()*w*Sheet2!A760))/(K*(1-(w/Wn)^2))</f>
        <v>8.4581436543391817</v>
      </c>
      <c r="C760">
        <f t="shared" si="46"/>
        <v>4.8731038970603731</v>
      </c>
      <c r="D760">
        <f t="shared" si="47"/>
        <v>795.99639464284269</v>
      </c>
      <c r="R760">
        <f t="shared" si="44"/>
        <v>0.75800000000000001</v>
      </c>
      <c r="S760">
        <f t="shared" si="45"/>
        <v>4.8731038970603731</v>
      </c>
    </row>
    <row r="761" spans="1:19" x14ac:dyDescent="0.3">
      <c r="A761">
        <v>0.75900000000000001</v>
      </c>
      <c r="B761">
        <f>Uo*COS(2*PI()*Wn*Sheet2!A761) + (Vo/Wn - (Po*(w/Wn))/(K*(1-(w/Wn)^2)))*SIN(2*PI()*Wn*Sheet2!A761) +(Po*SIN(2*PI()*w*Sheet2!A761))/(K*(1-(w/Wn)^2))</f>
        <v>8.1292063822647229</v>
      </c>
      <c r="C761">
        <f t="shared" si="46"/>
        <v>4.7084826943033882</v>
      </c>
      <c r="D761">
        <f t="shared" si="47"/>
        <v>769.1063700005659</v>
      </c>
      <c r="R761">
        <f t="shared" si="44"/>
        <v>0.75900000000000001</v>
      </c>
      <c r="S761">
        <f t="shared" si="45"/>
        <v>4.7084826943033882</v>
      </c>
    </row>
    <row r="762" spans="1:19" x14ac:dyDescent="0.3">
      <c r="A762">
        <v>0.76</v>
      </c>
      <c r="B762">
        <f>Uo*COS(2*PI()*Wn*Sheet2!A762) + (Vo/Wn - (Po*(w/Wn))/(K*(1-(w/Wn)^2)))*SIN(2*PI()*Wn*Sheet2!A762) +(Po*SIN(2*PI()*w*Sheet2!A762))/(K*(1-(w/Wn)^2))</f>
        <v>7.797613454596771</v>
      </c>
      <c r="C762">
        <f t="shared" si="46"/>
        <v>4.5426219867612669</v>
      </c>
      <c r="D762">
        <f t="shared" si="47"/>
        <v>742.01387864283367</v>
      </c>
      <c r="R762">
        <f t="shared" si="44"/>
        <v>0.76</v>
      </c>
      <c r="S762">
        <f t="shared" si="45"/>
        <v>4.5426219867612669</v>
      </c>
    </row>
    <row r="763" spans="1:19" x14ac:dyDescent="0.3">
      <c r="A763">
        <v>0.76100000000000001</v>
      </c>
      <c r="B763">
        <f>Uo*COS(2*PI()*Wn*Sheet2!A763) + (Vo/Wn - (Po*(w/Wn))/(K*(1-(w/Wn)^2)))*SIN(2*PI()*Wn*Sheet2!A763) +(Po*SIN(2*PI()*w*Sheet2!A763))/(K*(1-(w/Wn)^2))</f>
        <v>7.4634731963760785</v>
      </c>
      <c r="C763">
        <f t="shared" si="46"/>
        <v>4.375578147330712</v>
      </c>
      <c r="D763">
        <f t="shared" si="47"/>
        <v>714.72812879164962</v>
      </c>
      <c r="R763">
        <f t="shared" si="44"/>
        <v>0.76100000000000001</v>
      </c>
      <c r="S763">
        <f t="shared" si="45"/>
        <v>4.375578147330712</v>
      </c>
    </row>
    <row r="764" spans="1:19" x14ac:dyDescent="0.3">
      <c r="A764">
        <v>0.76200000000000001</v>
      </c>
      <c r="B764">
        <f>Uo*COS(2*PI()*Wn*Sheet2!A764) + (Vo/Wn - (Po*(w/Wn))/(K*(1-(w/Wn)^2)))*SIN(2*PI()*Wn*Sheet2!A764) +(Po*SIN(2*PI()*w*Sheet2!A764))/(K*(1-(w/Wn)^2))</f>
        <v>7.1268947648074876</v>
      </c>
      <c r="C764">
        <f t="shared" si="46"/>
        <v>4.2074078332663722</v>
      </c>
      <c r="D764">
        <f t="shared" si="47"/>
        <v>687.25837511742156</v>
      </c>
      <c r="R764">
        <f t="shared" si="44"/>
        <v>0.76200000000000001</v>
      </c>
      <c r="S764">
        <f t="shared" si="45"/>
        <v>4.2074078332663722</v>
      </c>
    </row>
    <row r="765" spans="1:19" x14ac:dyDescent="0.3">
      <c r="A765">
        <v>0.76300000000000001</v>
      </c>
      <c r="B765">
        <f>Uo*COS(2*PI()*Wn*Sheet2!A765) + (Vo/Wn - (Po*(w/Wn))/(K*(1-(w/Wn)^2)))*SIN(2*PI()*Wn*Sheet2!A765) +(Po*SIN(2*PI()*w*Sheet2!A765))/(K*(1-(w/Wn)^2))</f>
        <v>6.7879881136001172</v>
      </c>
      <c r="C765">
        <f t="shared" si="46"/>
        <v>4.0381679671750845</v>
      </c>
      <c r="D765">
        <f t="shared" si="47"/>
        <v>659.61391563446932</v>
      </c>
      <c r="R765">
        <f t="shared" si="44"/>
        <v>0.76300000000000001</v>
      </c>
      <c r="S765">
        <f t="shared" si="45"/>
        <v>4.0381679671750845</v>
      </c>
    </row>
    <row r="766" spans="1:19" x14ac:dyDescent="0.3">
      <c r="A766">
        <v>0.76400000000000001</v>
      </c>
      <c r="B766">
        <f>Uo*COS(2*PI()*Wn*Sheet2!A766) + (Vo/Wn - (Po*(w/Wn))/(K*(1-(w/Wn)^2)))*SIN(2*PI()*Wn*Sheet2!A766) +(Po*SIN(2*PI()*w*Sheet2!A766))/(K*(1-(w/Wn)^2))</f>
        <v>6.4468639570478583</v>
      </c>
      <c r="C766">
        <f t="shared" si="46"/>
        <v>3.8679157179581076</v>
      </c>
      <c r="D766">
        <f t="shared" si="47"/>
        <v>631.80408858803617</v>
      </c>
      <c r="R766">
        <f t="shared" si="44"/>
        <v>0.76400000000000001</v>
      </c>
      <c r="S766">
        <f t="shared" si="45"/>
        <v>3.8679157179581076</v>
      </c>
    </row>
    <row r="767" spans="1:19" x14ac:dyDescent="0.3">
      <c r="A767">
        <v>0.76500000000000001</v>
      </c>
      <c r="B767">
        <f>Uo*COS(2*PI()*Wn*Sheet2!A767) + (Vo/Wn - (Po*(w/Wn))/(K*(1-(w/Wn)^2)))*SIN(2*PI()*Wn*Sheet2!A767) +(Po*SIN(2*PI()*w*Sheet2!A767))/(K*(1-(w/Wn)^2))</f>
        <v>6.1036337338608737</v>
      </c>
      <c r="C767">
        <f t="shared" si="46"/>
        <v>3.6967084817071116</v>
      </c>
      <c r="D767">
        <f t="shared" si="47"/>
        <v>603.83826933374792</v>
      </c>
      <c r="R767">
        <f t="shared" si="44"/>
        <v>0.76500000000000001</v>
      </c>
      <c r="S767">
        <f t="shared" si="45"/>
        <v>3.6967084817071116</v>
      </c>
    </row>
    <row r="768" spans="1:19" x14ac:dyDescent="0.3">
      <c r="A768">
        <v>0.76600000000000001</v>
      </c>
      <c r="B768">
        <f>Uo*COS(2*PI()*Wn*Sheet2!A768) + (Vo/Wn - (Po*(w/Wn))/(K*(1-(w/Wn)^2)))*SIN(2*PI()*Wn*Sheet2!A768) +(Po*SIN(2*PI()*w*Sheet2!A768))/(K*(1-(w/Wn)^2))</f>
        <v>5.7584095707609801</v>
      </c>
      <c r="C768">
        <f t="shared" si="46"/>
        <v>3.5246038625607685</v>
      </c>
      <c r="D768">
        <f t="shared" si="47"/>
        <v>575.72586721063522</v>
      </c>
      <c r="R768">
        <f t="shared" si="44"/>
        <v>0.76600000000000001</v>
      </c>
      <c r="S768">
        <f t="shared" si="45"/>
        <v>3.5246038625607685</v>
      </c>
    </row>
    <row r="769" spans="1:19" x14ac:dyDescent="0.3">
      <c r="A769">
        <v>0.76700000000000002</v>
      </c>
      <c r="B769">
        <f>Uo*COS(2*PI()*Wn*Sheet2!A769) + (Vo/Wn - (Po*(w/Wn))/(K*(1-(w/Wn)^2)))*SIN(2*PI()*Wn*Sheet2!A769) +(Po*SIN(2*PI()*w*Sheet2!A769))/(K*(1-(w/Wn)^2))</f>
        <v>5.4113042458517349</v>
      </c>
      <c r="C769">
        <f t="shared" si="46"/>
        <v>3.3516596535277672</v>
      </c>
      <c r="D769">
        <f t="shared" si="47"/>
        <v>547.47632240867222</v>
      </c>
      <c r="R769">
        <f t="shared" ref="R769:R832" si="48">A769</f>
        <v>0.76700000000000002</v>
      </c>
      <c r="S769">
        <f t="shared" ref="S769:S832" si="49">C769</f>
        <v>3.3516596535277672</v>
      </c>
    </row>
    <row r="770" spans="1:19" x14ac:dyDescent="0.3">
      <c r="A770">
        <v>0.76800000000000002</v>
      </c>
      <c r="B770">
        <f>Uo*COS(2*PI()*Wn*Sheet2!A770) + (Vo/Wn - (Po*(w/Wn))/(K*(1-(w/Wn)^2)))*SIN(2*PI()*Wn*Sheet2!A770) +(Po*SIN(2*PI()*w*Sheet2!A770))/(K*(1-(w/Wn)^2))</f>
        <v>5.0624311517762264</v>
      </c>
      <c r="C770">
        <f t="shared" ref="C770:C833" si="50">EXP(-zeta*Wn*A770*2*PI())*($H$1*COS(wnD*2*PI()*A770) + $H$2*SIN(wnD*2*PI()*A770)) + $H$3*SIN(w*2*PI()*A770) + $H$4*COS(w*2*PI()*A770)</f>
        <v>3.1779338172830403</v>
      </c>
      <c r="D770">
        <f t="shared" ref="D770:D833" si="51">K*C770</f>
        <v>519.09910283193926</v>
      </c>
      <c r="R770">
        <f t="shared" si="48"/>
        <v>0.76800000000000002</v>
      </c>
      <c r="S770">
        <f t="shared" si="49"/>
        <v>3.1779338172830403</v>
      </c>
    </row>
    <row r="771" spans="1:19" x14ac:dyDescent="0.3">
      <c r="A771">
        <v>0.76900000000000002</v>
      </c>
      <c r="B771">
        <f>Uo*COS(2*PI()*Wn*Sheet2!A771) + (Vo/Wn - (Po*(w/Wn))/(K*(1-(w/Wn)^2)))*SIN(2*PI()*Wn*Sheet2!A771) +(Po*SIN(2*PI()*w*Sheet2!A771))/(K*(1-(w/Wn)^2))</f>
        <v>4.7119042586737816</v>
      </c>
      <c r="C771">
        <f t="shared" si="50"/>
        <v>3.0034844669431404</v>
      </c>
      <c r="D771">
        <f t="shared" si="51"/>
        <v>490.60370095837931</v>
      </c>
      <c r="R771">
        <f t="shared" si="48"/>
        <v>0.76900000000000002</v>
      </c>
      <c r="S771">
        <f t="shared" si="49"/>
        <v>3.0034844669431404</v>
      </c>
    </row>
    <row r="772" spans="1:19" x14ac:dyDescent="0.3">
      <c r="A772">
        <v>0.77</v>
      </c>
      <c r="B772">
        <f>Uo*COS(2*PI()*Wn*Sheet2!A772) + (Vo/Wn - (Po*(w/Wn))/(K*(1-(w/Wn)^2)))*SIN(2*PI()*Wn*Sheet2!A772) +(Po*SIN(2*PI()*w*Sheet2!A772))/(K*(1-(w/Wn)^2))</f>
        <v>4.3598380769480007</v>
      </c>
      <c r="C772">
        <f t="shared" si="50"/>
        <v>2.8283698468272234</v>
      </c>
      <c r="D772">
        <f t="shared" si="51"/>
        <v>461.99963069720422</v>
      </c>
      <c r="R772">
        <f t="shared" si="48"/>
        <v>0.77</v>
      </c>
      <c r="S772">
        <f t="shared" si="49"/>
        <v>2.8283698468272234</v>
      </c>
    </row>
    <row r="773" spans="1:19" x14ac:dyDescent="0.3">
      <c r="A773">
        <v>0.77100000000000002</v>
      </c>
      <c r="B773">
        <f>Uo*COS(2*PI()*Wn*Sheet2!A773) + (Vo/Wn - (Po*(w/Wn))/(K*(1-(w/Wn)^2)))*SIN(2*PI()*Wn*Sheet2!A773) +(Po*SIN(2*PI()*w*Sheet2!A773))/(K*(1-(w/Wn)^2))</f>
        <v>4.0063476198586514</v>
      </c>
      <c r="C773">
        <f t="shared" si="50"/>
        <v>2.6526483132101286</v>
      </c>
      <c r="D773">
        <f t="shared" si="51"/>
        <v>433.29642424500952</v>
      </c>
      <c r="R773">
        <f t="shared" si="48"/>
        <v>0.77100000000000002</v>
      </c>
      <c r="S773">
        <f t="shared" si="49"/>
        <v>2.6526483132101286</v>
      </c>
    </row>
    <row r="774" spans="1:19" x14ac:dyDescent="0.3">
      <c r="A774">
        <v>0.77200000000000002</v>
      </c>
      <c r="B774">
        <f>Uo*COS(2*PI()*Wn*Sheet2!A774) + (Vo/Wn - (Po*(w/Wn))/(K*(1-(w/Wn)^2)))*SIN(2*PI()*Wn*Sheet2!A774) +(Po*SIN(2*PI()*w*Sheet2!A774))/(K*(1-(w/Wn)^2))</f>
        <v>3.65154836594877</v>
      </c>
      <c r="C774">
        <f t="shared" si="50"/>
        <v>2.4763783150734069</v>
      </c>
      <c r="D774">
        <f t="shared" si="51"/>
        <v>404.50362894155393</v>
      </c>
      <c r="R774">
        <f t="shared" si="48"/>
        <v>0.77200000000000002</v>
      </c>
      <c r="S774">
        <f t="shared" si="49"/>
        <v>2.4763783150734069</v>
      </c>
    </row>
    <row r="775" spans="1:19" x14ac:dyDescent="0.3">
      <c r="A775">
        <v>0.77300000000000002</v>
      </c>
      <c r="B775">
        <f>Uo*COS(2*PI()*Wn*Sheet2!A775) + (Vo/Wn - (Po*(w/Wn))/(K*(1-(w/Wn)^2)))*SIN(2*PI()*Wn*Sheet2!A775) +(Po*SIN(2*PI()*w*Sheet2!A775))/(K*(1-(w/Wn)^2))</f>
        <v>3.2955562213203162</v>
      </c>
      <c r="C775">
        <f t="shared" si="50"/>
        <v>2.299618374861137</v>
      </c>
      <c r="D775">
        <f t="shared" si="51"/>
        <v>375.63080412632132</v>
      </c>
      <c r="R775">
        <f t="shared" si="48"/>
        <v>0.77300000000000002</v>
      </c>
      <c r="S775">
        <f t="shared" si="49"/>
        <v>2.299618374861137</v>
      </c>
    </row>
    <row r="776" spans="1:19" x14ac:dyDescent="0.3">
      <c r="A776">
        <v>0.77400000000000002</v>
      </c>
      <c r="B776">
        <f>Uo*COS(2*PI()*Wn*Sheet2!A776) + (Vo/Wn - (Po*(w/Wn))/(K*(1-(w/Wn)^2)))*SIN(2*PI()*Wn*Sheet2!A776) +(Po*SIN(2*PI()*w*Sheet2!A776))/(K*(1-(w/Wn)^2))</f>
        <v>2.9384874817695956</v>
      </c>
      <c r="C776">
        <f t="shared" si="50"/>
        <v>2.1224270692462328</v>
      </c>
      <c r="D776">
        <f t="shared" si="51"/>
        <v>346.68751799679632</v>
      </c>
      <c r="R776">
        <f t="shared" si="48"/>
        <v>0.77400000000000002</v>
      </c>
      <c r="S776">
        <f t="shared" si="49"/>
        <v>2.1224270692462328</v>
      </c>
    </row>
    <row r="777" spans="1:19" x14ac:dyDescent="0.3">
      <c r="A777">
        <v>0.77500000000000002</v>
      </c>
      <c r="B777">
        <f>Uo*COS(2*PI()*Wn*Sheet2!A777) + (Vo/Wn - (Po*(w/Wn))/(K*(1-(w/Wn)^2)))*SIN(2*PI()*Wn*Sheet2!A777) +(Po*SIN(2*PI()*w*Sheet2!A777))/(K*(1-(w/Wn)^2))</f>
        <v>2.5804587947959385</v>
      </c>
      <c r="C777">
        <f t="shared" si="50"/>
        <v>1.9448630099140654</v>
      </c>
      <c r="D777">
        <f t="shared" si="51"/>
        <v>317.68334446956771</v>
      </c>
      <c r="R777">
        <f t="shared" si="48"/>
        <v>0.77500000000000002</v>
      </c>
      <c r="S777">
        <f t="shared" si="49"/>
        <v>1.9448630099140654</v>
      </c>
    </row>
    <row r="778" spans="1:19" x14ac:dyDescent="0.3">
      <c r="A778">
        <v>0.77600000000000002</v>
      </c>
      <c r="B778">
        <f>Uo*COS(2*PI()*Wn*Sheet2!A778) + (Vo/Wn - (Po*(w/Wn))/(K*(1-(w/Wn)^2)))*SIN(2*PI()*Wn*Sheet2!A778) +(Po*SIN(2*PI()*w*Sheet2!A778))/(K*(1-(w/Wn)^2))</f>
        <v>2.2215871214949208</v>
      </c>
      <c r="C778">
        <f t="shared" si="50"/>
        <v>1.7669848243690796</v>
      </c>
      <c r="D778">
        <f t="shared" si="51"/>
        <v>288.62786004518847</v>
      </c>
      <c r="R778">
        <f t="shared" si="48"/>
        <v>0.77600000000000002</v>
      </c>
      <c r="S778">
        <f t="shared" si="49"/>
        <v>1.7669848243690796</v>
      </c>
    </row>
    <row r="779" spans="1:19" x14ac:dyDescent="0.3">
      <c r="A779">
        <v>0.77700000000000002</v>
      </c>
      <c r="B779">
        <f>Uo*COS(2*PI()*Wn*Sheet2!A779) + (Vo/Wn - (Po*(w/Wn))/(K*(1-(w/Wn)^2)))*SIN(2*PI()*Wn*Sheet2!A779) +(Po*SIN(2*PI()*w*Sheet2!A779))/(K*(1-(w/Wn)^2))</f>
        <v>1.8619896983497022</v>
      </c>
      <c r="C779">
        <f t="shared" si="50"/>
        <v>1.5888511367711828</v>
      </c>
      <c r="D779">
        <f t="shared" si="51"/>
        <v>259.53064067789876</v>
      </c>
      <c r="R779">
        <f t="shared" si="48"/>
        <v>0.77700000000000002</v>
      </c>
      <c r="S779">
        <f t="shared" si="49"/>
        <v>1.5888511367711828</v>
      </c>
    </row>
    <row r="780" spans="1:19" x14ac:dyDescent="0.3">
      <c r="A780">
        <v>0.77800000000000002</v>
      </c>
      <c r="B780">
        <f>Uo*COS(2*PI()*Wn*Sheet2!A780) + (Vo/Wn - (Po*(w/Wn))/(K*(1-(w/Wn)^2)))*SIN(2*PI()*Wn*Sheet2!A780) +(Po*SIN(2*PI()*w*Sheet2!A780))/(K*(1-(w/Wn)^2))</f>
        <v>1.5017839989318356</v>
      </c>
      <c r="C780">
        <f t="shared" si="50"/>
        <v>1.4105205488075581</v>
      </c>
      <c r="D780">
        <f t="shared" si="51"/>
        <v>230.40125865113481</v>
      </c>
      <c r="R780">
        <f t="shared" si="48"/>
        <v>0.77800000000000002</v>
      </c>
      <c r="S780">
        <f t="shared" si="49"/>
        <v>1.4105205488075581</v>
      </c>
    </row>
    <row r="781" spans="1:19" x14ac:dyDescent="0.3">
      <c r="A781">
        <v>0.77900000000000003</v>
      </c>
      <c r="B781">
        <f>Uo*COS(2*PI()*Wn*Sheet2!A781) + (Vo/Wn - (Po*(w/Wn))/(K*(1-(w/Wn)^2)))*SIN(2*PI()*Wn*Sheet2!A781) +(Po*SIN(2*PI()*w*Sheet2!A781))/(K*(1-(w/Wn)^2))</f>
        <v>1.1410876955251905</v>
      </c>
      <c r="C781">
        <f t="shared" si="50"/>
        <v>1.232051620606629</v>
      </c>
      <c r="D781">
        <f t="shared" si="51"/>
        <v>201.24927945992408</v>
      </c>
      <c r="R781">
        <f t="shared" si="48"/>
        <v>0.77900000000000003</v>
      </c>
      <c r="S781">
        <f t="shared" si="49"/>
        <v>1.232051620606629</v>
      </c>
    </row>
    <row r="782" spans="1:19" x14ac:dyDescent="0.3">
      <c r="A782">
        <v>0.78</v>
      </c>
      <c r="B782">
        <f>Uo*COS(2*PI()*Wn*Sheet2!A782) + (Vo/Wn - (Po*(w/Wn))/(K*(1-(w/Wn)^2)))*SIN(2*PI()*Wn*Sheet2!A782) +(Po*SIN(2*PI()*w*Sheet2!A782))/(K*(1-(w/Wn)^2))</f>
        <v>0.78001862068439665</v>
      </c>
      <c r="C782">
        <f t="shared" si="50"/>
        <v>1.0535028516997773</v>
      </c>
      <c r="D782">
        <f t="shared" si="51"/>
        <v>172.08425870107953</v>
      </c>
      <c r="R782">
        <f t="shared" si="48"/>
        <v>0.78</v>
      </c>
      <c r="S782">
        <f t="shared" si="49"/>
        <v>1.0535028516997773</v>
      </c>
    </row>
    <row r="783" spans="1:19" x14ac:dyDescent="0.3">
      <c r="A783">
        <v>0.78100000000000003</v>
      </c>
      <c r="B783">
        <f>Uo*COS(2*PI()*Wn*Sheet2!A783) + (Vo/Wn - (Po*(w/Wn))/(K*(1-(w/Wn)^2)))*SIN(2*PI()*Wn*Sheet2!A783) +(Po*SIN(2*PI()*w*Sheet2!A783))/(K*(1-(w/Wn)^2))</f>
        <v>0.41869472874149261</v>
      </c>
      <c r="C783">
        <f t="shared" si="50"/>
        <v>0.87493266203749653</v>
      </c>
      <c r="D783">
        <f t="shared" si="51"/>
        <v>142.91573897228642</v>
      </c>
      <c r="R783">
        <f t="shared" si="48"/>
        <v>0.78100000000000003</v>
      </c>
      <c r="S783">
        <f t="shared" si="49"/>
        <v>0.87493266203749653</v>
      </c>
    </row>
    <row r="784" spans="1:19" x14ac:dyDescent="0.3">
      <c r="A784">
        <v>0.78200000000000003</v>
      </c>
      <c r="B784">
        <f>Uo*COS(2*PI()*Wn*Sheet2!A784) + (Vo/Wn - (Po*(w/Wn))/(K*(1-(w/Wn)^2)))*SIN(2*PI()*Wn*Sheet2!A784) +(Po*SIN(2*PI()*w*Sheet2!A784))/(K*(1-(w/Wn)^2))</f>
        <v>5.7234057272228508E-2</v>
      </c>
      <c r="C784">
        <f t="shared" si="50"/>
        <v>0.6963993730655238</v>
      </c>
      <c r="D784">
        <f t="shared" si="51"/>
        <v>113.75324678098595</v>
      </c>
      <c r="R784">
        <f t="shared" si="48"/>
        <v>0.78200000000000003</v>
      </c>
      <c r="S784">
        <f t="shared" si="49"/>
        <v>0.6963993730655238</v>
      </c>
    </row>
    <row r="785" spans="1:19" x14ac:dyDescent="0.3">
      <c r="A785">
        <v>0.78300000000000003</v>
      </c>
      <c r="B785">
        <f>Uo*COS(2*PI()*Wn*Sheet2!A785) + (Vo/Wn - (Po*(w/Wn))/(K*(1-(w/Wn)^2)))*SIN(2*PI()*Wn*Sheet2!A785) +(Po*SIN(2*PI()*w*Sheet2!A785))/(K*(1-(w/Wn)^2))</f>
        <v>-0.30424531146425932</v>
      </c>
      <c r="C785">
        <f t="shared" si="50"/>
        <v>0.51796118886757236</v>
      </c>
      <c r="D785">
        <f t="shared" si="51"/>
        <v>84.606289464137845</v>
      </c>
      <c r="R785">
        <f t="shared" si="48"/>
        <v>0.78300000000000003</v>
      </c>
      <c r="S785">
        <f t="shared" si="49"/>
        <v>0.51796118886757236</v>
      </c>
    </row>
    <row r="786" spans="1:19" x14ac:dyDescent="0.3">
      <c r="A786">
        <v>0.78400000000000003</v>
      </c>
      <c r="B786">
        <f>Uo*COS(2*PI()*Wn*Sheet2!A786) + (Vo/Wn - (Po*(w/Wn))/(K*(1-(w/Wn)^2)))*SIN(2*PI()*Wn*Sheet2!A786) +(Po*SIN(2*PI()*w*Sheet2!A786))/(K*(1-(w/Wn)^2))</f>
        <v>-0.66562528910093854</v>
      </c>
      <c r="C786">
        <f t="shared" si="50"/>
        <v>0.3396761773801445</v>
      </c>
      <c r="D786">
        <f t="shared" si="51"/>
        <v>55.484352119756984</v>
      </c>
      <c r="R786">
        <f t="shared" si="48"/>
        <v>0.78400000000000003</v>
      </c>
      <c r="S786">
        <f t="shared" si="49"/>
        <v>0.3396761773801445</v>
      </c>
    </row>
    <row r="787" spans="1:19" x14ac:dyDescent="0.3">
      <c r="A787">
        <v>0.78500000000000003</v>
      </c>
      <c r="B787">
        <f>Uo*COS(2*PI()*Wn*Sheet2!A787) + (Vo/Wn - (Po*(w/Wn))/(K*(1-(w/Wn)^2)))*SIN(2*PI()*Wn*Sheet2!A787) +(Po*SIN(2*PI()*w*Sheet2!A787))/(K*(1-(w/Wn)^2))</f>
        <v>-1.0267878197398337</v>
      </c>
      <c r="C787">
        <f t="shared" si="50"/>
        <v>0.16160225168596476</v>
      </c>
      <c r="D787">
        <f t="shared" si="51"/>
        <v>26.396894551292085</v>
      </c>
      <c r="R787">
        <f t="shared" si="48"/>
        <v>0.78500000000000003</v>
      </c>
      <c r="S787">
        <f t="shared" si="49"/>
        <v>0.16160225168596476</v>
      </c>
    </row>
    <row r="788" spans="1:19" x14ac:dyDescent="0.3">
      <c r="A788">
        <v>0.78600000000000003</v>
      </c>
      <c r="B788">
        <f>Uo*COS(2*PI()*Wn*Sheet2!A788) + (Vo/Wn - (Po*(w/Wn))/(K*(1-(w/Wn)^2)))*SIN(2*PI()*Wn*Sheet2!A788) +(Po*SIN(2*PI()*w*Sheet2!A788))/(K*(1-(w/Wn)^2))</f>
        <v>-1.387614918518727</v>
      </c>
      <c r="C788">
        <f t="shared" si="50"/>
        <v>-1.6202848608437983E-2</v>
      </c>
      <c r="D788">
        <f t="shared" si="51"/>
        <v>-2.6466517742502074</v>
      </c>
      <c r="R788">
        <f t="shared" si="48"/>
        <v>0.78600000000000003</v>
      </c>
      <c r="S788">
        <f t="shared" si="49"/>
        <v>-1.6202848608437983E-2</v>
      </c>
    </row>
    <row r="789" spans="1:19" x14ac:dyDescent="0.3">
      <c r="A789">
        <v>0.78700000000000003</v>
      </c>
      <c r="B789">
        <f>Uo*COS(2*PI()*Wn*Sheet2!A789) + (Vo/Wn - (Po*(w/Wn))/(K*(1-(w/Wn)^2)))*SIN(2*PI()*Wn*Sheet2!A789) +(Po*SIN(2*PI()*w*Sheet2!A789))/(K*(1-(w/Wn)^2))</f>
        <v>-1.7479887101546534</v>
      </c>
      <c r="C789">
        <f t="shared" si="50"/>
        <v>-0.19368157590489948</v>
      </c>
      <c r="D789">
        <f t="shared" si="51"/>
        <v>-31.636886753439569</v>
      </c>
      <c r="R789">
        <f t="shared" si="48"/>
        <v>0.78700000000000003</v>
      </c>
      <c r="S789">
        <f t="shared" si="49"/>
        <v>-0.19368157590489948</v>
      </c>
    </row>
    <row r="790" spans="1:19" x14ac:dyDescent="0.3">
      <c r="A790">
        <v>0.78800000000000003</v>
      </c>
      <c r="B790">
        <f>Uo*COS(2*PI()*Wn*Sheet2!A790) + (Vo/Wn - (Po*(w/Wn))/(K*(1-(w/Wn)^2)))*SIN(2*PI()*Wn*Sheet2!A790) +(Po*SIN(2*PI()*w*Sheet2!A790))/(K*(1-(w/Wn)^2))</f>
        <v>-2.1077914674512437</v>
      </c>
      <c r="C790">
        <f t="shared" si="50"/>
        <v>-0.37077659304948124</v>
      </c>
      <c r="D790">
        <f t="shared" si="51"/>
        <v>-60.564444657824851</v>
      </c>
      <c r="R790">
        <f t="shared" si="48"/>
        <v>0.78800000000000003</v>
      </c>
      <c r="S790">
        <f t="shared" si="49"/>
        <v>-0.37077659304948124</v>
      </c>
    </row>
    <row r="791" spans="1:19" x14ac:dyDescent="0.3">
      <c r="A791">
        <v>0.78900000000000003</v>
      </c>
      <c r="B791">
        <f>Uo*COS(2*PI()*Wn*Sheet2!A791) + (Vo/Wn - (Po*(w/Wn))/(K*(1-(w/Wn)^2)))*SIN(2*PI()*Wn*Sheet2!A791) +(Po*SIN(2*PI()*w*Sheet2!A791))/(K*(1-(w/Wn)^2))</f>
        <v>-2.4669056497582211</v>
      </c>
      <c r="C791">
        <f t="shared" si="50"/>
        <v>-0.5474307916666129</v>
      </c>
      <c r="D791">
        <f t="shared" si="51"/>
        <v>-89.41999712872169</v>
      </c>
      <c r="R791">
        <f t="shared" si="48"/>
        <v>0.78900000000000003</v>
      </c>
      <c r="S791">
        <f t="shared" si="49"/>
        <v>-0.5474307916666129</v>
      </c>
    </row>
    <row r="792" spans="1:19" x14ac:dyDescent="0.3">
      <c r="A792">
        <v>0.79</v>
      </c>
      <c r="B792">
        <f>Uo*COS(2*PI()*Wn*Sheet2!A792) + (Vo/Wn - (Po*(w/Wn))/(K*(1-(w/Wn)^2)))*SIN(2*PI()*Wn*Sheet2!A792) +(Po*SIN(2*PI()*w*Sheet2!A792))/(K*(1-(w/Wn)^2))</f>
        <v>-2.8252139413693915</v>
      </c>
      <c r="C792">
        <f t="shared" si="50"/>
        <v>-0.72358731038518076</v>
      </c>
      <c r="D792">
        <f t="shared" si="51"/>
        <v>-118.1942561543501</v>
      </c>
      <c r="R792">
        <f t="shared" si="48"/>
        <v>0.79</v>
      </c>
      <c r="S792">
        <f t="shared" si="49"/>
        <v>-0.72358731038518076</v>
      </c>
    </row>
    <row r="793" spans="1:19" x14ac:dyDescent="0.3">
      <c r="A793">
        <v>0.79100000000000004</v>
      </c>
      <c r="B793">
        <f>Uo*COS(2*PI()*Wn*Sheet2!A793) + (Vo/Wn - (Po*(w/Wn))/(K*(1-(w/Wn)^2)))*SIN(2*PI()*Wn*Sheet2!A793) +(Po*SIN(2*PI()*w*Sheet2!A793))/(K*(1-(w/Wn)^2))</f>
        <v>-3.1825992898477145</v>
      </c>
      <c r="C793">
        <f t="shared" si="50"/>
        <v>-0.89918955295135916</v>
      </c>
      <c r="D793">
        <f t="shared" si="51"/>
        <v>-146.87797702847212</v>
      </c>
      <c r="R793">
        <f t="shared" si="48"/>
        <v>0.79100000000000004</v>
      </c>
      <c r="S793">
        <f t="shared" si="49"/>
        <v>-0.89918955295135916</v>
      </c>
    </row>
    <row r="794" spans="1:19" x14ac:dyDescent="0.3">
      <c r="A794">
        <v>0.79200000000000004</v>
      </c>
      <c r="B794">
        <f>Uo*COS(2*PI()*Wn*Sheet2!A794) + (Vo/Wn - (Po*(w/Wn))/(K*(1-(w/Wn)^2)))*SIN(2*PI()*Wn*Sheet2!A794) +(Po*SIN(2*PI()*w*Sheet2!A794))/(K*(1-(w/Wn)^2))</f>
        <v>-3.5389449442638043</v>
      </c>
      <c r="C794">
        <f t="shared" si="50"/>
        <v>-1.0741812062219298</v>
      </c>
      <c r="D794">
        <f t="shared" si="51"/>
        <v>-175.46196128950766</v>
      </c>
      <c r="R794">
        <f t="shared" si="48"/>
        <v>0.79200000000000004</v>
      </c>
      <c r="S794">
        <f t="shared" si="49"/>
        <v>-1.0741812062219298</v>
      </c>
    </row>
    <row r="795" spans="1:19" x14ac:dyDescent="0.3">
      <c r="A795">
        <v>0.79300000000000004</v>
      </c>
      <c r="B795">
        <f>Uo*COS(2*PI()*Wn*Sheet2!A795) + (Vo/Wn - (Po*(w/Wn))/(K*(1-(w/Wn)^2)))*SIN(2*PI()*Wn*Sheet2!A795) +(Po*SIN(2*PI()*w*Sheet2!A795))/(K*(1-(w/Wn)^2))</f>
        <v>-3.8941344933364967</v>
      </c>
      <c r="C795">
        <f t="shared" si="50"/>
        <v>-1.248506258032976</v>
      </c>
      <c r="D795">
        <f t="shared" si="51"/>
        <v>-203.93705963929364</v>
      </c>
      <c r="R795">
        <f t="shared" si="48"/>
        <v>0.79300000000000004</v>
      </c>
      <c r="S795">
        <f t="shared" si="49"/>
        <v>-1.248506258032976</v>
      </c>
    </row>
    <row r="796" spans="1:19" x14ac:dyDescent="0.3">
      <c r="A796">
        <v>0.79400000000000004</v>
      </c>
      <c r="B796">
        <f>Uo*COS(2*PI()*Wn*Sheet2!A796) + (Vo/Wn - (Po*(w/Wn))/(K*(1-(w/Wn)^2)))*SIN(2*PI()*Wn*Sheet2!A796) +(Po*SIN(2*PI()*w*Sheet2!A796))/(K*(1-(w/Wn)^2))</f>
        <v>-4.2480519034618975</v>
      </c>
      <c r="C796">
        <f t="shared" si="50"/>
        <v>-1.4221090149378026</v>
      </c>
      <c r="D796">
        <f t="shared" si="51"/>
        <v>-232.29417484048179</v>
      </c>
      <c r="R796">
        <f t="shared" si="48"/>
        <v>0.79400000000000004</v>
      </c>
      <c r="S796">
        <f t="shared" si="49"/>
        <v>-1.4221090149378026</v>
      </c>
    </row>
    <row r="797" spans="1:19" x14ac:dyDescent="0.3">
      <c r="A797">
        <v>0.79500000000000004</v>
      </c>
      <c r="B797">
        <f>Uo*COS(2*PI()*Wn*Sheet2!A797) + (Vo/Wn - (Po*(w/Wn))/(K*(1-(w/Wn)^2)))*SIN(2*PI()*Wn*Sheet2!A797) +(Po*SIN(2*PI()*w*Sheet2!A797))/(K*(1-(w/Wn)^2))</f>
        <v>-4.6005815566196162</v>
      </c>
      <c r="C797">
        <f t="shared" si="50"/>
        <v>-1.5949341198090741</v>
      </c>
      <c r="D797">
        <f t="shared" si="51"/>
        <v>-260.524264591757</v>
      </c>
      <c r="R797">
        <f t="shared" si="48"/>
        <v>0.79500000000000004</v>
      </c>
      <c r="S797">
        <f t="shared" si="49"/>
        <v>-1.5949341198090741</v>
      </c>
    </row>
    <row r="798" spans="1:19" x14ac:dyDescent="0.3">
      <c r="A798">
        <v>0.79600000000000004</v>
      </c>
      <c r="B798">
        <f>Uo*COS(2*PI()*Wn*Sheet2!A798) + (Vo/Wn - (Po*(w/Wn))/(K*(1-(w/Wn)^2)))*SIN(2*PI()*Wn*Sheet2!A798) +(Po*SIN(2*PI()*w*Sheet2!A798))/(K*(1-(w/Wn)^2))</f>
        <v>-4.9516082881426682</v>
      </c>
      <c r="C798">
        <f t="shared" si="50"/>
        <v>-1.7669265692991196</v>
      </c>
      <c r="D798">
        <f t="shared" si="51"/>
        <v>-288.61834437988824</v>
      </c>
      <c r="R798">
        <f t="shared" si="48"/>
        <v>0.79600000000000004</v>
      </c>
      <c r="S798">
        <f t="shared" si="49"/>
        <v>-1.7669265692991196</v>
      </c>
    </row>
    <row r="799" spans="1:19" x14ac:dyDescent="0.3">
      <c r="A799">
        <v>0.79700000000000004</v>
      </c>
      <c r="B799">
        <f>Uo*COS(2*PI()*Wn*Sheet2!A799) + (Vo/Wn - (Po*(w/Wn))/(K*(1-(w/Wn)^2)))*SIN(2*PI()*Wn*Sheet2!A799) +(Po*SIN(2*PI()*w*Sheet2!A799))/(K*(1-(w/Wn)^2))</f>
        <v>-5.3010174243398414</v>
      </c>
      <c r="C799">
        <f t="shared" si="50"/>
        <v>-1.9380317311535145</v>
      </c>
      <c r="D799">
        <f t="shared" si="51"/>
        <v>-316.56749030781282</v>
      </c>
      <c r="R799">
        <f t="shared" si="48"/>
        <v>0.79700000000000004</v>
      </c>
      <c r="S799">
        <f t="shared" si="49"/>
        <v>-1.9380317311535145</v>
      </c>
    </row>
    <row r="800" spans="1:19" x14ac:dyDescent="0.3">
      <c r="A800">
        <v>0.79800000000000004</v>
      </c>
      <c r="B800">
        <f>Uo*COS(2*PI()*Wn*Sheet2!A800) + (Vo/Wn - (Po*(w/Wn))/(K*(1-(w/Wn)^2)))*SIN(2*PI()*Wn*Sheet2!A800) +(Po*SIN(2*PI()*w*Sheet2!A800))/(K*(1-(w/Wn)^2))</f>
        <v>-5.6486948199571083</v>
      </c>
      <c r="C800">
        <f t="shared" si="50"/>
        <v>-2.1081953613720055</v>
      </c>
      <c r="D800">
        <f t="shared" si="51"/>
        <v>-344.36284189778502</v>
      </c>
      <c r="R800">
        <f t="shared" si="48"/>
        <v>0.79800000000000004</v>
      </c>
      <c r="S800">
        <f t="shared" si="49"/>
        <v>-2.1081953613720055</v>
      </c>
    </row>
    <row r="801" spans="1:19" x14ac:dyDescent="0.3">
      <c r="A801">
        <v>0.79900000000000004</v>
      </c>
      <c r="B801">
        <f>Uo*COS(2*PI()*Wn*Sheet2!A801) + (Vo/Wn - (Po*(w/Wn))/(K*(1-(w/Wn)^2)))*SIN(2*PI()*Wn*Sheet2!A801) +(Po*SIN(2*PI()*w*Sheet2!A801))/(K*(1-(w/Wn)^2))</f>
        <v>-5.9945268954669704</v>
      </c>
      <c r="C801">
        <f t="shared" si="50"/>
        <v>-2.2773636212119959</v>
      </c>
      <c r="D801">
        <f t="shared" si="51"/>
        <v>-371.99560486880762</v>
      </c>
      <c r="R801">
        <f t="shared" si="48"/>
        <v>0.79900000000000004</v>
      </c>
      <c r="S801">
        <f t="shared" si="49"/>
        <v>-2.2773636212119959</v>
      </c>
    </row>
    <row r="802" spans="1:19" x14ac:dyDescent="0.3">
      <c r="A802">
        <v>0.8</v>
      </c>
      <c r="B802">
        <f>Uo*COS(2*PI()*Wn*Sheet2!A802) + (Vo/Wn - (Po*(w/Wn))/(K*(1-(w/Wn)^2)))*SIN(2*PI()*Wn*Sheet2!A802) +(Po*SIN(2*PI()*w*Sheet2!A802))/(K*(1-(w/Wn)^2))</f>
        <v>-6.3384006741724264</v>
      </c>
      <c r="C802">
        <f t="shared" si="50"/>
        <v>-2.4454830940287815</v>
      </c>
      <c r="D802">
        <f t="shared" si="51"/>
        <v>-399.45705388739788</v>
      </c>
      <c r="R802">
        <f t="shared" si="48"/>
        <v>0.8</v>
      </c>
      <c r="S802">
        <f t="shared" si="49"/>
        <v>-2.4454830940287815</v>
      </c>
    </row>
    <row r="803" spans="1:19" x14ac:dyDescent="0.3">
      <c r="A803">
        <v>0.80100000000000005</v>
      </c>
      <c r="B803">
        <f>Uo*COS(2*PI()*Wn*Sheet2!A803) + (Vo/Wn - (Po*(w/Wn))/(K*(1-(w/Wn)^2)))*SIN(2*PI()*Wn*Sheet2!A803) +(Po*SIN(2*PI()*w*Sheet2!A803))/(K*(1-(w/Wn)^2))</f>
        <v>-6.6802038191145661</v>
      </c>
      <c r="C803">
        <f t="shared" si="50"/>
        <v>-2.6125008019478861</v>
      </c>
      <c r="D803">
        <f t="shared" si="51"/>
        <v>-426.73853529092713</v>
      </c>
      <c r="R803">
        <f t="shared" si="48"/>
        <v>0.80100000000000005</v>
      </c>
      <c r="S803">
        <f t="shared" si="49"/>
        <v>-2.6125008019478861</v>
      </c>
    </row>
    <row r="804" spans="1:19" x14ac:dyDescent="0.3">
      <c r="A804">
        <v>0.80200000000000005</v>
      </c>
      <c r="B804">
        <f>Uo*COS(2*PI()*Wn*Sheet2!A804) + (Vo/Wn - (Po*(w/Wn))/(K*(1-(w/Wn)^2)))*SIN(2*PI()*Wn*Sheet2!A804) +(Po*SIN(2*PI()*w*Sheet2!A804))/(K*(1-(w/Wn)^2))</f>
        <v>-7.0198246697706601</v>
      </c>
      <c r="C804">
        <f t="shared" si="50"/>
        <v>-2.778364222363825</v>
      </c>
      <c r="D804">
        <f t="shared" si="51"/>
        <v>-453.83146978260925</v>
      </c>
      <c r="R804">
        <f t="shared" si="48"/>
        <v>0.80200000000000005</v>
      </c>
      <c r="S804">
        <f t="shared" si="49"/>
        <v>-2.778364222363825</v>
      </c>
    </row>
    <row r="805" spans="1:19" x14ac:dyDescent="0.3">
      <c r="A805">
        <v>0.80300000000000005</v>
      </c>
      <c r="B805">
        <f>Uo*COS(2*PI()*Wn*Sheet2!A805) + (Vo/Wn - (Po*(w/Wn))/(K*(1-(w/Wn)^2)))*SIN(2*PI()*Wn*Sheet2!A805) +(Po*SIN(2*PI()*w*Sheet2!A805))/(K*(1-(w/Wn)^2))</f>
        <v>-7.3571522785316095</v>
      </c>
      <c r="C805">
        <f t="shared" si="50"/>
        <v>-2.9430213042606446</v>
      </c>
      <c r="D805">
        <f t="shared" si="51"/>
        <v>-480.72735509737618</v>
      </c>
      <c r="R805">
        <f t="shared" si="48"/>
        <v>0.80300000000000005</v>
      </c>
      <c r="S805">
        <f t="shared" si="49"/>
        <v>-2.9430213042606446</v>
      </c>
    </row>
    <row r="806" spans="1:19" x14ac:dyDescent="0.3">
      <c r="A806">
        <v>0.80400000000000005</v>
      </c>
      <c r="B806">
        <f>Uo*COS(2*PI()*Wn*Sheet2!A806) + (Vo/Wn - (Po*(w/Wn))/(K*(1-(w/Wn)^2)))*SIN(2*PI()*Wn*Sheet2!A806) +(Po*SIN(2*PI()*w*Sheet2!A806))/(K*(1-(w/Wn)^2))</f>
        <v>-7.6920764469464933</v>
      </c>
      <c r="C806">
        <f t="shared" si="50"/>
        <v>-3.1064204843490804</v>
      </c>
      <c r="D806">
        <f t="shared" si="51"/>
        <v>-507.41776863779984</v>
      </c>
      <c r="R806">
        <f t="shared" si="48"/>
        <v>0.80400000000000005</v>
      </c>
      <c r="S806">
        <f t="shared" si="49"/>
        <v>-3.1064204843490804</v>
      </c>
    </row>
    <row r="807" spans="1:19" x14ac:dyDescent="0.3">
      <c r="A807">
        <v>0.80500000000000005</v>
      </c>
      <c r="B807">
        <f>Uo*COS(2*PI()*Wn*Sheet2!A807) + (Vo/Wn - (Po*(w/Wn))/(K*(1-(w/Wn)^2)))*SIN(2*PI()*Wn*Sheet2!A807) +(Po*SIN(2*PI()*w*Sheet2!A807))/(K*(1-(w/Wn)^2))</f>
        <v>-8.0244877617220638</v>
      </c>
      <c r="C807">
        <f t="shared" si="50"/>
        <v>-3.2685107030152118</v>
      </c>
      <c r="D807">
        <f t="shared" si="51"/>
        <v>-533.89437007922243</v>
      </c>
      <c r="R807">
        <f t="shared" si="48"/>
        <v>0.80500000000000005</v>
      </c>
      <c r="S807">
        <f t="shared" si="49"/>
        <v>-3.2685107030152118</v>
      </c>
    </row>
    <row r="808" spans="1:19" x14ac:dyDescent="0.3">
      <c r="A808">
        <v>0.80600000000000005</v>
      </c>
      <c r="B808">
        <f>Uo*COS(2*PI()*Wn*Sheet2!A808) + (Vo/Wn - (Po*(w/Wn))/(K*(1-(w/Wn)^2)))*SIN(2*PI()*Wn*Sheet2!A808) +(Po*SIN(2*PI()*w*Sheet2!A808))/(K*(1-(w/Wn)^2))</f>
        <v>-8.3542776304662247</v>
      </c>
      <c r="C808">
        <f t="shared" si="50"/>
        <v>-3.4292414200761758</v>
      </c>
      <c r="D808">
        <f t="shared" si="51"/>
        <v>-560.14890394337101</v>
      </c>
      <c r="R808">
        <f t="shared" si="48"/>
        <v>0.80600000000000005</v>
      </c>
      <c r="S808">
        <f t="shared" si="49"/>
        <v>-3.4292414200761758</v>
      </c>
    </row>
    <row r="809" spans="1:19" x14ac:dyDescent="0.3">
      <c r="A809">
        <v>0.80700000000000005</v>
      </c>
      <c r="B809">
        <f>Uo*COS(2*PI()*Wn*Sheet2!A809) + (Vo/Wn - (Po*(w/Wn))/(K*(1-(w/Wn)^2)))*SIN(2*PI()*Wn*Sheet2!A809) +(Po*SIN(2*PI()*w*Sheet2!A809))/(K*(1-(w/Wn)^2))</f>
        <v>-8.6813383171628171</v>
      </c>
      <c r="C809">
        <f t="shared" si="50"/>
        <v>-3.5885626303376275</v>
      </c>
      <c r="D809">
        <f t="shared" si="51"/>
        <v>-586.17320213958874</v>
      </c>
      <c r="R809">
        <f t="shared" si="48"/>
        <v>0.80700000000000005</v>
      </c>
      <c r="S809">
        <f t="shared" si="49"/>
        <v>-3.5885626303376275</v>
      </c>
    </row>
    <row r="810" spans="1:19" x14ac:dyDescent="0.3">
      <c r="A810">
        <v>0.80800000000000005</v>
      </c>
      <c r="B810">
        <f>Uo*COS(2*PI()*Wn*Sheet2!A810) + (Vo/Wn - (Po*(w/Wn))/(K*(1-(w/Wn)^2)))*SIN(2*PI()*Wn*Sheet2!A810) +(Po*SIN(2*PI()*w*Sheet2!A810))/(K*(1-(w/Wn)^2))</f>
        <v>-9.0055629773671715</v>
      </c>
      <c r="C810">
        <f t="shared" si="50"/>
        <v>-3.746424878948766</v>
      </c>
      <c r="D810">
        <f t="shared" si="51"/>
        <v>-611.95918647299879</v>
      </c>
      <c r="R810">
        <f t="shared" si="48"/>
        <v>0.80800000000000005</v>
      </c>
      <c r="S810">
        <f t="shared" si="49"/>
        <v>-3.746424878948766</v>
      </c>
    </row>
    <row r="811" spans="1:19" x14ac:dyDescent="0.3">
      <c r="A811">
        <v>0.80900000000000005</v>
      </c>
      <c r="B811">
        <f>Uo*COS(2*PI()*Wn*Sheet2!A811) + (Vo/Wn - (Po*(w/Wn))/(K*(1-(w/Wn)^2)))*SIN(2*PI()*Wn*Sheet2!A811) +(Po*SIN(2*PI()*w*Sheet2!A811))/(K*(1-(w/Wn)^2))</f>
        <v>-9.326845693109874</v>
      </c>
      <c r="C811">
        <f t="shared" si="50"/>
        <v>-3.9027792765497287</v>
      </c>
      <c r="D811">
        <f t="shared" si="51"/>
        <v>-637.49887111875341</v>
      </c>
      <c r="R811">
        <f t="shared" si="48"/>
        <v>0.80900000000000005</v>
      </c>
      <c r="S811">
        <f t="shared" si="49"/>
        <v>-3.9027792765497287</v>
      </c>
    </row>
    <row r="812" spans="1:19" x14ac:dyDescent="0.3">
      <c r="A812">
        <v>0.81</v>
      </c>
      <c r="B812">
        <f>Uo*COS(2*PI()*Wn*Sheet2!A812) + (Vo/Wn - (Po*(w/Wn))/(K*(1-(w/Wn)^2)))*SIN(2*PI()*Wn*Sheet2!A812) +(Po*SIN(2*PI()*w*Sheet2!A812))/(K*(1-(w/Wn)^2))</f>
        <v>-9.6450815074983893</v>
      </c>
      <c r="C812">
        <f t="shared" si="50"/>
        <v>-4.0575775142073436</v>
      </c>
      <c r="D812">
        <f t="shared" si="51"/>
        <v>-662.78436506171192</v>
      </c>
      <c r="R812">
        <f t="shared" si="48"/>
        <v>0.81</v>
      </c>
      <c r="S812">
        <f t="shared" si="49"/>
        <v>-4.0575775142073436</v>
      </c>
    </row>
    <row r="813" spans="1:19" x14ac:dyDescent="0.3">
      <c r="A813">
        <v>0.81100000000000005</v>
      </c>
      <c r="B813">
        <f>Uo*COS(2*PI()*Wn*Sheet2!A813) + (Vo/Wn - (Po*(w/Wn))/(K*(1-(w/Wn)^2)))*SIN(2*PI()*Wn*Sheet2!A813) +(Po*SIN(2*PI()*w*Sheet2!A813))/(K*(1-(w/Wn)^2))</f>
        <v>-9.9601664590042152</v>
      </c>
      <c r="C813">
        <f t="shared" si="50"/>
        <v>-4.2107718781341896</v>
      </c>
      <c r="D813">
        <f t="shared" si="51"/>
        <v>-687.80787450072319</v>
      </c>
      <c r="R813">
        <f t="shared" si="48"/>
        <v>0.81100000000000005</v>
      </c>
      <c r="S813">
        <f t="shared" si="49"/>
        <v>-4.2107718781341896</v>
      </c>
    </row>
    <row r="814" spans="1:19" x14ac:dyDescent="0.3">
      <c r="A814">
        <v>0.81200000000000006</v>
      </c>
      <c r="B814">
        <f>Uo*COS(2*PI()*Wn*Sheet2!A814) + (Vo/Wn - (Po*(w/Wn))/(K*(1-(w/Wn)^2)))*SIN(2*PI()*Wn*Sheet2!A814) +(Po*SIN(2*PI()*w*Sheet2!A814))/(K*(1-(w/Wn)^2))</f>
        <v>-10.271997615425352</v>
      </c>
      <c r="C814">
        <f t="shared" si="50"/>
        <v>-4.3623152641871075</v>
      </c>
      <c r="D814">
        <f t="shared" si="51"/>
        <v>-712.56170521688307</v>
      </c>
      <c r="R814">
        <f t="shared" si="48"/>
        <v>0.81200000000000006</v>
      </c>
      <c r="S814">
        <f t="shared" si="49"/>
        <v>-4.3623152641871075</v>
      </c>
    </row>
    <row r="815" spans="1:19" x14ac:dyDescent="0.3">
      <c r="A815">
        <v>0.81299999999999994</v>
      </c>
      <c r="B815">
        <f>Uo*COS(2*PI()*Wn*Sheet2!A815) + (Vo/Wn - (Po*(w/Wn))/(K*(1-(w/Wn)^2)))*SIN(2*PI()*Wn*Sheet2!A815) +(Po*SIN(2*PI()*w*Sheet2!A815))/(K*(1-(w/Wn)^2))</f>
        <v>-10.580473107512013</v>
      </c>
      <c r="C815">
        <f t="shared" si="50"/>
        <v>-4.5121611921402582</v>
      </c>
      <c r="D815">
        <f t="shared" si="51"/>
        <v>-737.03826490496419</v>
      </c>
      <c r="R815">
        <f t="shared" si="48"/>
        <v>0.81299999999999994</v>
      </c>
      <c r="S815">
        <f t="shared" si="49"/>
        <v>-4.5121611921402582</v>
      </c>
    </row>
    <row r="816" spans="1:19" x14ac:dyDescent="0.3">
      <c r="A816">
        <v>0.81399999999999995</v>
      </c>
      <c r="B816">
        <f>Uo*COS(2*PI()*Wn*Sheet2!A816) + (Vo/Wn - (Po*(w/Wn))/(K*(1-(w/Wn)^2)))*SIN(2*PI()*Wn*Sheet2!A816) +(Po*SIN(2*PI()*w*Sheet2!A816))/(K*(1-(w/Wn)^2))</f>
        <v>-10.885492162245715</v>
      </c>
      <c r="C816">
        <f t="shared" si="50"/>
        <v>-4.6602638197291153</v>
      </c>
      <c r="D816">
        <f t="shared" si="51"/>
        <v>-761.23006546743045</v>
      </c>
      <c r="R816">
        <f t="shared" si="48"/>
        <v>0.81399999999999995</v>
      </c>
      <c r="S816">
        <f t="shared" si="49"/>
        <v>-4.6602638197291153</v>
      </c>
    </row>
    <row r="817" spans="1:19" x14ac:dyDescent="0.3">
      <c r="A817">
        <v>0.81499999999999995</v>
      </c>
      <c r="B817">
        <f>Uo*COS(2*PI()*Wn*Sheet2!A817) + (Vo/Wn - (Po*(w/Wn))/(K*(1-(w/Wn)^2)))*SIN(2*PI()*Wn*Sheet2!A817) +(Po*SIN(2*PI()*w*Sheet2!A817))/(K*(1-(w/Wn)^2))</f>
        <v>-11.186955135759458</v>
      </c>
      <c r="C817">
        <f t="shared" si="50"/>
        <v>-4.8065779564604583</v>
      </c>
      <c r="D817">
        <f t="shared" si="51"/>
        <v>-785.12972527022782</v>
      </c>
      <c r="R817">
        <f t="shared" si="48"/>
        <v>0.81499999999999995</v>
      </c>
      <c r="S817">
        <f t="shared" si="49"/>
        <v>-4.8065779564604583</v>
      </c>
    </row>
    <row r="818" spans="1:19" x14ac:dyDescent="0.3">
      <c r="A818">
        <v>0.81599999999999995</v>
      </c>
      <c r="B818">
        <f>Uo*COS(2*PI()*Wn*Sheet2!A818) + (Vo/Wn - (Po*(w/Wn))/(K*(1-(w/Wn)^2)))*SIN(2*PI()*Wn*Sheet2!A818) +(Po*SIN(2*PI()*w*Sheet2!A818))/(K*(1-(w/Wn)^2))</f>
        <v>-11.484763545889823</v>
      </c>
      <c r="C818">
        <f t="shared" si="50"/>
        <v>-4.9510590771851124</v>
      </c>
      <c r="D818">
        <f t="shared" si="51"/>
        <v>-808.72997135982132</v>
      </c>
      <c r="R818">
        <f t="shared" si="48"/>
        <v>0.81599999999999995</v>
      </c>
      <c r="S818">
        <f t="shared" si="49"/>
        <v>-4.9510590771851124</v>
      </c>
    </row>
    <row r="819" spans="1:19" x14ac:dyDescent="0.3">
      <c r="A819">
        <v>0.81699999999999995</v>
      </c>
      <c r="B819">
        <f>Uo*COS(2*PI()*Wn*Sheet2!A819) + (Vo/Wn - (Po*(w/Wn))/(K*(1-(w/Wn)^2)))*SIN(2*PI()*Wn*Sheet2!A819) +(Po*SIN(2*PI()*w*Sheet2!A819))/(K*(1-(w/Wn)^2))</f>
        <v>-11.778820104348945</v>
      </c>
      <c r="C819">
        <f t="shared" si="50"/>
        <v>-5.0936633354286887</v>
      </c>
      <c r="D819">
        <f t="shared" si="51"/>
        <v>-832.02364164070298</v>
      </c>
      <c r="R819">
        <f t="shared" si="48"/>
        <v>0.81699999999999995</v>
      </c>
      <c r="S819">
        <f t="shared" si="49"/>
        <v>-5.0936633354286887</v>
      </c>
    </row>
    <row r="820" spans="1:19" x14ac:dyDescent="0.3">
      <c r="A820">
        <v>0.81799999999999995</v>
      </c>
      <c r="B820">
        <f>Uo*COS(2*PI()*Wn*Sheet2!A820) + (Vo/Wn - (Po*(w/Wn))/(K*(1-(w/Wn)^2)))*SIN(2*PI()*Wn*Sheet2!A820) +(Po*SIN(2*PI()*w*Sheet2!A820))/(K*(1-(w/Wn)^2))</f>
        <v>-12.069028748506961</v>
      </c>
      <c r="C820">
        <f t="shared" si="50"/>
        <v>-5.2343475764769973</v>
      </c>
      <c r="D820">
        <f t="shared" si="51"/>
        <v>-855.00368701282628</v>
      </c>
      <c r="R820">
        <f t="shared" si="48"/>
        <v>0.81799999999999995</v>
      </c>
      <c r="S820">
        <f t="shared" si="49"/>
        <v>-5.2343475764769973</v>
      </c>
    </row>
    <row r="821" spans="1:19" x14ac:dyDescent="0.3">
      <c r="A821">
        <v>0.81899999999999995</v>
      </c>
      <c r="B821">
        <f>Uo*COS(2*PI()*Wn*Sheet2!A821) + (Vo/Wn - (Po*(w/Wn))/(K*(1-(w/Wn)^2)))*SIN(2*PI()*Wn*Sheet2!A821) +(Po*SIN(2*PI()*w*Sheet2!A821))/(K*(1-(w/Wn)^2))</f>
        <v>-12.355294672773582</v>
      </c>
      <c r="C821">
        <f t="shared" si="50"/>
        <v>-5.3730693502118223</v>
      </c>
      <c r="D821">
        <f t="shared" si="51"/>
        <v>-877.66317346826406</v>
      </c>
      <c r="R821">
        <f t="shared" si="48"/>
        <v>0.81899999999999995</v>
      </c>
      <c r="S821">
        <f t="shared" si="49"/>
        <v>-5.3730693502118223</v>
      </c>
    </row>
    <row r="822" spans="1:19" x14ac:dyDescent="0.3">
      <c r="A822">
        <v>0.82</v>
      </c>
      <c r="B822">
        <f>Uo*COS(2*PI()*Wn*Sheet2!A822) + (Vo/Wn - (Po*(w/Wn))/(K*(1-(w/Wn)^2)))*SIN(2*PI()*Wn*Sheet2!A822) +(Po*SIN(2*PI()*w*Sheet2!A822))/(K*(1-(w/Wn)^2))</f>
        <v>-12.637524359569507</v>
      </c>
      <c r="C822">
        <f t="shared" si="50"/>
        <v>-5.509786923693774</v>
      </c>
      <c r="D822">
        <f t="shared" si="51"/>
        <v>-899.99528414655265</v>
      </c>
      <c r="R822">
        <f t="shared" si="48"/>
        <v>0.82</v>
      </c>
      <c r="S822">
        <f t="shared" si="49"/>
        <v>-5.509786923693774</v>
      </c>
    </row>
    <row r="823" spans="1:19" x14ac:dyDescent="0.3">
      <c r="A823">
        <v>0.82099999999999995</v>
      </c>
      <c r="B823">
        <f>Uo*COS(2*PI()*Wn*Sheet2!A823) + (Vo/Wn - (Po*(w/Wn))/(K*(1-(w/Wn)^2)))*SIN(2*PI()*Wn*Sheet2!A823) +(Po*SIN(2*PI()*w*Sheet2!A823))/(K*(1-(w/Wn)^2))</f>
        <v>-12.915625609876573</v>
      </c>
      <c r="C823">
        <f t="shared" si="50"/>
        <v>-5.644459293488107</v>
      </c>
      <c r="D823">
        <f t="shared" si="51"/>
        <v>-921.99332134805024</v>
      </c>
      <c r="R823">
        <f t="shared" si="48"/>
        <v>0.82099999999999995</v>
      </c>
      <c r="S823">
        <f t="shared" si="49"/>
        <v>-5.644459293488107</v>
      </c>
    </row>
    <row r="824" spans="1:19" x14ac:dyDescent="0.3">
      <c r="A824">
        <v>0.82199999999999995</v>
      </c>
      <c r="B824">
        <f>Uo*COS(2*PI()*Wn*Sheet2!A824) + (Vo/Wn - (Po*(w/Wn))/(K*(1-(w/Wn)^2)))*SIN(2*PI()*Wn*Sheet2!A824) +(Po*SIN(2*PI()*w*Sheet2!A824))/(K*(1-(w/Wn)^2))</f>
        <v>-13.189507573357641</v>
      </c>
      <c r="C824">
        <f t="shared" si="50"/>
        <v>-5.7770461977304191</v>
      </c>
      <c r="D824">
        <f t="shared" si="51"/>
        <v>-943.65070850480686</v>
      </c>
      <c r="R824">
        <f t="shared" si="48"/>
        <v>0.82199999999999995</v>
      </c>
      <c r="S824">
        <f t="shared" si="49"/>
        <v>-5.7770461977304191</v>
      </c>
    </row>
    <row r="825" spans="1:19" x14ac:dyDescent="0.3">
      <c r="A825">
        <v>0.82299999999999995</v>
      </c>
      <c r="B825">
        <f>Uo*COS(2*PI()*Wn*Sheet2!A825) + (Vo/Wn - (Po*(w/Wn))/(K*(1-(w/Wn)^2)))*SIN(2*PI()*Wn*Sheet2!A825) +(Po*SIN(2*PI()*w*Sheet2!A825))/(K*(1-(w/Wn)^2))</f>
        <v>-13.459080778035437</v>
      </c>
      <c r="C825">
        <f t="shared" si="50"/>
        <v>-5.9075081279282902</v>
      </c>
      <c r="D825">
        <f t="shared" si="51"/>
        <v>-964.96099210830153</v>
      </c>
      <c r="R825">
        <f t="shared" si="48"/>
        <v>0.82299999999999995</v>
      </c>
      <c r="S825">
        <f t="shared" si="49"/>
        <v>-5.9075081279282902</v>
      </c>
    </row>
    <row r="826" spans="1:19" x14ac:dyDescent="0.3">
      <c r="A826">
        <v>0.82399999999999995</v>
      </c>
      <c r="B826">
        <f>Uo*COS(2*PI()*Wn*Sheet2!A826) + (Vo/Wn - (Po*(w/Wn))/(K*(1-(w/Wn)^2)))*SIN(2*PI()*Wn*Sheet2!A826) +(Po*SIN(2*PI()*w*Sheet2!A826))/(K*(1-(w/Wn)^2))</f>
        <v>-13.724257159521533</v>
      </c>
      <c r="C826">
        <f t="shared" si="50"/>
        <v>-6.0358063404959479</v>
      </c>
      <c r="D826">
        <f t="shared" si="51"/>
        <v>-985.91784359356984</v>
      </c>
      <c r="R826">
        <f t="shared" si="48"/>
        <v>0.82399999999999995</v>
      </c>
      <c r="S826">
        <f t="shared" si="49"/>
        <v>-6.0358063404959479</v>
      </c>
    </row>
    <row r="827" spans="1:19" x14ac:dyDescent="0.3">
      <c r="A827">
        <v>0.82499999999999996</v>
      </c>
      <c r="B827">
        <f>Uo*COS(2*PI()*Wn*Sheet2!A827) + (Vo/Wn - (Po*(w/Wn))/(K*(1-(w/Wn)^2)))*SIN(2*PI()*Wn*Sheet2!A827) +(Po*SIN(2*PI()*w*Sheet2!A827))/(K*(1-(w/Wn)^2))</f>
        <v>-13.984950089785116</v>
      </c>
      <c r="C827">
        <f t="shared" si="50"/>
        <v>-6.1619028680182319</v>
      </c>
      <c r="D827">
        <f t="shared" si="51"/>
        <v>-1006.5150611791149</v>
      </c>
      <c r="R827">
        <f t="shared" si="48"/>
        <v>0.82499999999999996</v>
      </c>
      <c r="S827">
        <f t="shared" si="49"/>
        <v>-6.1619028680182319</v>
      </c>
    </row>
    <row r="828" spans="1:19" x14ac:dyDescent="0.3">
      <c r="A828">
        <v>0.82599999999999996</v>
      </c>
      <c r="B828">
        <f>Uo*COS(2*PI()*Wn*Sheet2!A828) + (Vo/Wn - (Po*(w/Wn))/(K*(1-(w/Wn)^2)))*SIN(2*PI()*Wn*Sheet2!A828) +(Po*SIN(2*PI()*w*Sheet2!A828))/(K*(1-(w/Wn)^2))</f>
        <v>-14.241074405452776</v>
      </c>
      <c r="C828">
        <f t="shared" si="50"/>
        <v>-6.2857605302410393</v>
      </c>
      <c r="D828">
        <f t="shared" si="51"/>
        <v>-1026.7465716621398</v>
      </c>
      <c r="R828">
        <f t="shared" si="48"/>
        <v>0.82599999999999996</v>
      </c>
      <c r="S828">
        <f t="shared" si="49"/>
        <v>-6.2857605302410393</v>
      </c>
    </row>
    <row r="829" spans="1:19" x14ac:dyDescent="0.3">
      <c r="A829">
        <v>0.82699999999999996</v>
      </c>
      <c r="B829">
        <f>Uo*COS(2*PI()*Wn*Sheet2!A829) + (Vo/Wn - (Po*(w/Wn))/(K*(1-(w/Wn)^2)))*SIN(2*PI()*Wn*Sheet2!A829) +(Po*SIN(2*PI()*w*Sheet2!A829))/(K*(1-(w/Wn)^2))</f>
        <v>-14.492546435629823</v>
      </c>
      <c r="C829">
        <f t="shared" si="50"/>
        <v>-6.4073429447849897</v>
      </c>
      <c r="D829">
        <f t="shared" si="51"/>
        <v>-1046.606432168569</v>
      </c>
      <c r="R829">
        <f t="shared" si="48"/>
        <v>0.82699999999999996</v>
      </c>
      <c r="S829">
        <f t="shared" si="49"/>
        <v>-6.4073429447849897</v>
      </c>
    </row>
    <row r="830" spans="1:19" x14ac:dyDescent="0.3">
      <c r="A830">
        <v>0.82799999999999996</v>
      </c>
      <c r="B830">
        <f>Uo*COS(2*PI()*Wn*Sheet2!A830) + (Vo/Wn - (Po*(w/Wn))/(K*(1-(w/Wn)^2)))*SIN(2*PI()*Wn*Sheet2!A830) +(Po*SIN(2*PI()*w*Sheet2!A830))/(K*(1-(w/Wn)^2))</f>
        <v>-14.739284029233781</v>
      </c>
      <c r="C830">
        <f t="shared" si="50"/>
        <v>-6.5266145375792037</v>
      </c>
      <c r="D830">
        <f t="shared" si="51"/>
        <v>-1066.0888318573534</v>
      </c>
      <c r="R830">
        <f t="shared" si="48"/>
        <v>0.82799999999999996</v>
      </c>
      <c r="S830">
        <f t="shared" si="49"/>
        <v>-6.5266145375792037</v>
      </c>
    </row>
    <row r="831" spans="1:19" x14ac:dyDescent="0.3">
      <c r="A831">
        <v>0.82899999999999996</v>
      </c>
      <c r="B831">
        <f>Uo*COS(2*PI()*Wn*Sheet2!A831) + (Vo/Wn - (Po*(w/Wn))/(K*(1-(w/Wn)^2)))*SIN(2*PI()*Wn*Sheet2!A831) +(Po*SIN(2*PI()*w*Sheet2!A831))/(K*(1-(w/Wn)^2))</f>
        <v>-14.981206581831776</v>
      </c>
      <c r="C831">
        <f t="shared" si="50"/>
        <v>-6.643540553012615</v>
      </c>
      <c r="D831">
        <f t="shared" si="51"/>
        <v>-1085.1880935786342</v>
      </c>
      <c r="R831">
        <f t="shared" si="48"/>
        <v>0.82899999999999996</v>
      </c>
      <c r="S831">
        <f t="shared" si="49"/>
        <v>-6.643540553012615</v>
      </c>
    </row>
    <row r="832" spans="1:19" x14ac:dyDescent="0.3">
      <c r="A832">
        <v>0.83</v>
      </c>
      <c r="B832">
        <f>Uo*COS(2*PI()*Wn*Sheet2!A832) + (Vo/Wn - (Po*(w/Wn))/(K*(1-(w/Wn)^2)))*SIN(2*PI()*Wn*Sheet2!A832) +(Po*SIN(2*PI()*w*Sheet2!A832))/(K*(1-(w/Wn)^2))</f>
        <v>-15.218235061972248</v>
      </c>
      <c r="C832">
        <f t="shared" si="50"/>
        <v>-6.7580870637996062</v>
      </c>
      <c r="D832">
        <f t="shared" si="51"/>
        <v>-1103.8986754852428</v>
      </c>
      <c r="R832">
        <f t="shared" si="48"/>
        <v>0.83</v>
      </c>
      <c r="S832">
        <f t="shared" si="49"/>
        <v>-6.7580870637996062</v>
      </c>
    </row>
    <row r="833" spans="1:19" x14ac:dyDescent="0.3">
      <c r="A833">
        <v>0.83099999999999996</v>
      </c>
      <c r="B833">
        <f>Uo*COS(2*PI()*Wn*Sheet2!A833) + (Vo/Wn - (Po*(w/Wn))/(K*(1-(w/Wn)^2)))*SIN(2*PI()*Wn*Sheet2!A833) +(Po*SIN(2*PI()*w*Sheet2!A833))/(K*(1-(w/Wn)^2))</f>
        <v>-15.45029203700321</v>
      </c>
      <c r="C833">
        <f t="shared" si="50"/>
        <v>-6.8702209805576873</v>
      </c>
      <c r="D833">
        <f t="shared" si="51"/>
        <v>-1122.2151725971671</v>
      </c>
      <c r="R833">
        <f t="shared" ref="R833:R896" si="52">A833</f>
        <v>0.83099999999999996</v>
      </c>
      <c r="S833">
        <f t="shared" ref="S833:S896" si="53">C833</f>
        <v>-6.8702209805576873</v>
      </c>
    </row>
    <row r="834" spans="1:19" x14ac:dyDescent="0.3">
      <c r="A834">
        <v>0.83199999999999996</v>
      </c>
      <c r="B834">
        <f>Uo*COS(2*PI()*Wn*Sheet2!A834) + (Vo/Wn - (Po*(w/Wn))/(K*(1-(w/Wn)^2)))*SIN(2*PI()*Wn*Sheet2!A834) +(Po*SIN(2*PI()*w*Sheet2!A834))/(K*(1-(w/Wn)^2))</f>
        <v>-15.67730169836782</v>
      </c>
      <c r="C834">
        <f t="shared" ref="C834:C897" si="54">EXP(-zeta*Wn*A834*2*PI())*($H$1*COS(wnD*2*PI()*A834) + $H$2*SIN(wnD*2*PI()*A834)) + $H$3*SIN(w*2*PI()*A834) + $H$4*COS(w*2*PI()*A834)</f>
        <v>-6.9799100610941913</v>
      </c>
      <c r="D834">
        <f t="shared" ref="D834:D897" si="55">K*C834</f>
        <v>-1140.1323183184836</v>
      </c>
      <c r="R834">
        <f t="shared" si="52"/>
        <v>0.83199999999999996</v>
      </c>
      <c r="S834">
        <f t="shared" si="53"/>
        <v>-6.9799100610941913</v>
      </c>
    </row>
    <row r="835" spans="1:19" x14ac:dyDescent="0.3">
      <c r="A835">
        <v>0.83299999999999996</v>
      </c>
      <c r="B835">
        <f>Uo*COS(2*PI()*Wn*Sheet2!A835) + (Vo/Wn - (Po*(w/Wn))/(K*(1-(w/Wn)^2)))*SIN(2*PI()*Wn*Sheet2!A835) +(Po*SIN(2*PI()*w*Sheet2!A835))/(K*(1-(w/Wn)^2))</f>
        <v>-15.899189886369758</v>
      </c>
      <c r="C835">
        <f t="shared" si="54"/>
        <v>-7.0871229193998886</v>
      </c>
      <c r="D835">
        <f t="shared" si="55"/>
        <v>-1157.6449859064187</v>
      </c>
      <c r="R835">
        <f t="shared" si="52"/>
        <v>0.83299999999999996</v>
      </c>
      <c r="S835">
        <f t="shared" si="53"/>
        <v>-7.0871229193998886</v>
      </c>
    </row>
    <row r="836" spans="1:19" x14ac:dyDescent="0.3">
      <c r="A836">
        <v>0.83399999999999996</v>
      </c>
      <c r="B836">
        <f>Uo*COS(2*PI()*Wn*Sheet2!A836) + (Vo/Wn - (Po*(w/Wn))/(K*(1-(w/Wn)^2)))*SIN(2*PI()*Wn*Sheet2!A836) +(Po*SIN(2*PI()*w*Sheet2!A836))/(K*(1-(w/Wn)^2))</f>
        <v>-16.115884114399599</v>
      </c>
      <c r="C836">
        <f t="shared" si="54"/>
        <v>-7.1918290343467213</v>
      </c>
      <c r="D836">
        <f t="shared" si="55"/>
        <v>-1174.7481898920785</v>
      </c>
      <c r="R836">
        <f t="shared" si="52"/>
        <v>0.83399999999999996</v>
      </c>
      <c r="S836">
        <f t="shared" si="53"/>
        <v>-7.1918290343467213</v>
      </c>
    </row>
    <row r="837" spans="1:19" x14ac:dyDescent="0.3">
      <c r="A837">
        <v>0.83499999999999996</v>
      </c>
      <c r="B837">
        <f>Uo*COS(2*PI()*Wn*Sheet2!A837) + (Vo/Wn - (Po*(w/Wn))/(K*(1-(w/Wn)^2)))*SIN(2*PI()*Wn*Sheet2!A837) +(Po*SIN(2*PI()*w*Sheet2!A837))/(K*(1-(w/Wn)^2))</f>
        <v>-16.327313592614971</v>
      </c>
      <c r="C837">
        <f t="shared" si="54"/>
        <v>-7.2939987580877359</v>
      </c>
      <c r="D837">
        <f t="shared" si="55"/>
        <v>-1191.4370874525353</v>
      </c>
      <c r="R837">
        <f t="shared" si="52"/>
        <v>0.83499999999999996</v>
      </c>
      <c r="S837">
        <f t="shared" si="53"/>
        <v>-7.2939987580877359</v>
      </c>
    </row>
    <row r="838" spans="1:19" x14ac:dyDescent="0.3">
      <c r="A838">
        <v>0.83599999999999997</v>
      </c>
      <c r="B838">
        <f>Uo*COS(2*PI()*Wn*Sheet2!A838) + (Vo/Wn - (Po*(w/Wn))/(K*(1-(w/Wn)^2)))*SIN(2*PI()*Wn*Sheet2!A838) +(Po*SIN(2*PI()*w*Sheet2!A838))/(K*(1-(w/Wn)^2))</f>
        <v>-16.533409251066068</v>
      </c>
      <c r="C838">
        <f t="shared" si="54"/>
        <v>-7.3936033241566301</v>
      </c>
      <c r="D838">
        <f t="shared" si="55"/>
        <v>-1207.7069797338454</v>
      </c>
      <c r="R838">
        <f t="shared" si="52"/>
        <v>0.83599999999999997</v>
      </c>
      <c r="S838">
        <f t="shared" si="53"/>
        <v>-7.3936033241566301</v>
      </c>
    </row>
    <row r="839" spans="1:19" x14ac:dyDescent="0.3">
      <c r="A839">
        <v>0.83699999999999997</v>
      </c>
      <c r="B839">
        <f>Uo*COS(2*PI()*Wn*Sheet2!A839) + (Vo/Wn - (Po*(w/Wn))/(K*(1-(w/Wn)^2)))*SIN(2*PI()*Wn*Sheet2!A839) +(Po*SIN(2*PI()*w*Sheet2!A839))/(K*(1-(w/Wn)^2))</f>
        <v>-16.73410376225964</v>
      </c>
      <c r="C839">
        <f t="shared" si="54"/>
        <v>-7.4906148552651981</v>
      </c>
      <c r="D839">
        <f t="shared" si="55"/>
        <v>-1223.5533131247225</v>
      </c>
      <c r="R839">
        <f t="shared" si="52"/>
        <v>0.83699999999999997</v>
      </c>
      <c r="S839">
        <f t="shared" si="53"/>
        <v>-7.4906148552651981</v>
      </c>
    </row>
    <row r="840" spans="1:19" x14ac:dyDescent="0.3">
      <c r="A840">
        <v>0.83799999999999997</v>
      </c>
      <c r="B840">
        <f>Uo*COS(2*PI()*Wn*Sheet2!A840) + (Vo/Wn - (Po*(w/Wn))/(K*(1-(w/Wn)^2)))*SIN(2*PI()*Wn*Sheet2!A840) +(Po*SIN(2*PI()*w*Sheet2!A840))/(K*(1-(w/Wn)^2))</f>
        <v>-16.929331563153429</v>
      </c>
      <c r="C840">
        <f t="shared" si="54"/>
        <v>-7.5850063707962869</v>
      </c>
      <c r="D840">
        <f t="shared" si="55"/>
        <v>-1238.9716804804741</v>
      </c>
      <c r="R840">
        <f t="shared" si="52"/>
        <v>0.83799999999999997</v>
      </c>
      <c r="S840">
        <f t="shared" si="53"/>
        <v>-7.5850063707962869</v>
      </c>
    </row>
    <row r="841" spans="1:19" x14ac:dyDescent="0.3">
      <c r="A841">
        <v>0.83899999999999997</v>
      </c>
      <c r="B841">
        <f>Uo*COS(2*PI()*Wn*Sheet2!A841) + (Vo/Wn - (Po*(w/Wn))/(K*(1-(w/Wn)^2)))*SIN(2*PI()*Wn*Sheet2!A841) +(Po*SIN(2*PI()*w*Sheet2!A841))/(K*(1-(w/Wn)^2))</f>
        <v>-17.119028876574514</v>
      </c>
      <c r="C841">
        <f t="shared" si="54"/>
        <v>-7.6767517939907401</v>
      </c>
      <c r="D841">
        <f t="shared" si="55"/>
        <v>-1253.9578222969496</v>
      </c>
      <c r="R841">
        <f t="shared" si="52"/>
        <v>0.83899999999999997</v>
      </c>
      <c r="S841">
        <f t="shared" si="53"/>
        <v>-7.6767517939907401</v>
      </c>
    </row>
    <row r="842" spans="1:19" x14ac:dyDescent="0.3">
      <c r="A842">
        <v>0.84</v>
      </c>
      <c r="B842">
        <f>Uo*COS(2*PI()*Wn*Sheet2!A842) + (Vo/Wn - (Po*(w/Wn))/(K*(1-(w/Wn)^2)))*SIN(2*PI()*Wn*Sheet2!A842) +(Po*SIN(2*PI()*w*Sheet2!A842))/(K*(1-(w/Wn)^2))</f>
        <v>-17.303133732053936</v>
      </c>
      <c r="C842">
        <f t="shared" si="54"/>
        <v>-7.7658259588261922</v>
      </c>
      <c r="D842">
        <f t="shared" si="55"/>
        <v>-1268.5076278341583</v>
      </c>
      <c r="R842">
        <f t="shared" si="52"/>
        <v>0.84</v>
      </c>
      <c r="S842">
        <f t="shared" si="53"/>
        <v>-7.7658259588261922</v>
      </c>
    </row>
    <row r="843" spans="1:19" x14ac:dyDescent="0.3">
      <c r="A843">
        <v>0.84099999999999997</v>
      </c>
      <c r="B843">
        <f>Uo*COS(2*PI()*Wn*Sheet2!A843) + (Vo/Wn - (Po*(w/Wn))/(K*(1-(w/Wn)^2)))*SIN(2*PI()*Wn*Sheet2!A843) +(Po*SIN(2*PI()*w*Sheet2!A843))/(K*(1-(w/Wn)^2))</f>
        <v>-17.481585986071412</v>
      </c>
      <c r="C843">
        <f t="shared" si="54"/>
        <v>-7.8522046165863513</v>
      </c>
      <c r="D843">
        <f t="shared" si="55"/>
        <v>-1282.6171361893262</v>
      </c>
      <c r="R843">
        <f t="shared" si="52"/>
        <v>0.84099999999999997</v>
      </c>
      <c r="S843">
        <f t="shared" si="53"/>
        <v>-7.8522046165863513</v>
      </c>
    </row>
    <row r="844" spans="1:19" x14ac:dyDescent="0.3">
      <c r="A844">
        <v>0.84199999999999997</v>
      </c>
      <c r="B844">
        <f>Uo*COS(2*PI()*Wn*Sheet2!A844) + (Vo/Wn - (Po*(w/Wn))/(K*(1-(w/Wn)^2)))*SIN(2*PI()*Wn*Sheet2!A844) +(Po*SIN(2*PI()*w*Sheet2!A844))/(K*(1-(w/Wn)^2))</f>
        <v>-17.654327341702935</v>
      </c>
      <c r="C844">
        <f t="shared" si="54"/>
        <v>-7.9358644421188682</v>
      </c>
      <c r="D844">
        <f t="shared" si="55"/>
        <v>-1296.2825373190874</v>
      </c>
      <c r="R844">
        <f t="shared" si="52"/>
        <v>0.84199999999999997</v>
      </c>
      <c r="S844">
        <f t="shared" si="53"/>
        <v>-7.9358644421188682</v>
      </c>
    </row>
    <row r="845" spans="1:19" x14ac:dyDescent="0.3">
      <c r="A845">
        <v>0.84299999999999997</v>
      </c>
      <c r="B845">
        <f>Uo*COS(2*PI()*Wn*Sheet2!A845) + (Vo/Wn - (Po*(w/Wn))/(K*(1-(w/Wn)^2)))*SIN(2*PI()*Wn*Sheet2!A845) +(Po*SIN(2*PI()*w*Sheet2!A845))/(K*(1-(w/Wn)^2))</f>
        <v>-17.821301367665317</v>
      </c>
      <c r="C845">
        <f t="shared" si="54"/>
        <v>-8.0167830397805773</v>
      </c>
      <c r="D845">
        <f t="shared" si="55"/>
        <v>-1309.5001730106085</v>
      </c>
      <c r="R845">
        <f t="shared" si="52"/>
        <v>0.84299999999999997</v>
      </c>
      <c r="S845">
        <f t="shared" si="53"/>
        <v>-8.0167830397805773</v>
      </c>
    </row>
    <row r="846" spans="1:19" x14ac:dyDescent="0.3">
      <c r="A846">
        <v>0.84399999999999997</v>
      </c>
      <c r="B846">
        <f>Uo*COS(2*PI()*Wn*Sheet2!A846) + (Vo/Wn - (Po*(w/Wn))/(K*(1-(w/Wn)^2)))*SIN(2*PI()*Wn*Sheet2!A846) +(Po*SIN(2*PI()*w*Sheet2!A846))/(K*(1-(w/Wn)^2))</f>
        <v>-17.982453516751249</v>
      </c>
      <c r="C846">
        <f t="shared" si="54"/>
        <v>-8.0949389490686041</v>
      </c>
      <c r="D846">
        <f t="shared" si="55"/>
        <v>-1322.2665378014003</v>
      </c>
      <c r="R846">
        <f t="shared" si="52"/>
        <v>0.84399999999999997</v>
      </c>
      <c r="S846">
        <f t="shared" si="53"/>
        <v>-8.0949389490686041</v>
      </c>
    </row>
    <row r="847" spans="1:19" x14ac:dyDescent="0.3">
      <c r="A847">
        <v>0.84499999999999997</v>
      </c>
      <c r="B847">
        <f>Uo*COS(2*PI()*Wn*Sheet2!A847) + (Vo/Wn - (Po*(w/Wn))/(K*(1-(w/Wn)^2)))*SIN(2*PI()*Wn*Sheet2!A847) +(Po*SIN(2*PI()*w*Sheet2!A847))/(K*(1-(w/Wn)^2))</f>
        <v>-18.137731143648729</v>
      </c>
      <c r="C847">
        <f t="shared" si="54"/>
        <v>-8.1703116499360053</v>
      </c>
      <c r="D847">
        <f t="shared" si="55"/>
        <v>-1334.5782798476014</v>
      </c>
      <c r="R847">
        <f t="shared" si="52"/>
        <v>0.84499999999999997</v>
      </c>
      <c r="S847">
        <f t="shared" si="53"/>
        <v>-8.1703116499360053</v>
      </c>
    </row>
    <row r="848" spans="1:19" x14ac:dyDescent="0.3">
      <c r="A848">
        <v>0.84599999999999997</v>
      </c>
      <c r="B848">
        <f>Uo*COS(2*PI()*Wn*Sheet2!A848) + (Vo/Wn - (Po*(w/Wn))/(K*(1-(w/Wn)^2)))*SIN(2*PI()*Wn*Sheet2!A848) +(Po*SIN(2*PI()*w*Sheet2!A848))/(K*(1-(w/Wn)^2))</f>
        <v>-18.287083522139376</v>
      </c>
      <c r="C848">
        <f t="shared" si="54"/>
        <v>-8.2428815677910041</v>
      </c>
      <c r="D848">
        <f t="shared" si="55"/>
        <v>-1346.4322017405766</v>
      </c>
      <c r="R848">
        <f t="shared" si="52"/>
        <v>0.84599999999999997</v>
      </c>
      <c r="S848">
        <f t="shared" si="53"/>
        <v>-8.2428815677910041</v>
      </c>
    </row>
    <row r="849" spans="1:19" x14ac:dyDescent="0.3">
      <c r="A849">
        <v>0.84699999999999998</v>
      </c>
      <c r="B849">
        <f>Uo*COS(2*PI()*Wn*Sheet2!A849) + (Vo/Wn - (Po*(w/Wn))/(K*(1-(w/Wn)^2)))*SIN(2*PI()*Wn*Sheet2!A849) +(Po*SIN(2*PI()*w*Sheet2!A849))/(K*(1-(w/Wn)^2))</f>
        <v>-18.43046186166961</v>
      </c>
      <c r="C849">
        <f t="shared" si="54"/>
        <v>-8.3126300781784543</v>
      </c>
      <c r="D849">
        <f t="shared" si="55"/>
        <v>-1357.8252612716099</v>
      </c>
      <c r="R849">
        <f t="shared" si="52"/>
        <v>0.84699999999999998</v>
      </c>
      <c r="S849">
        <f t="shared" si="53"/>
        <v>-8.3126300781784543</v>
      </c>
    </row>
    <row r="850" spans="1:19" x14ac:dyDescent="0.3">
      <c r="A850">
        <v>0.84799999999999998</v>
      </c>
      <c r="B850">
        <f>Uo*COS(2*PI()*Wn*Sheet2!A850) + (Vo/Wn - (Po*(w/Wn))/(K*(1-(w/Wn)^2)))*SIN(2*PI()*Wn*Sheet2!A850) +(Po*SIN(2*PI()*w*Sheet2!A850))/(K*(1-(w/Wn)^2))</f>
        <v>-18.56781932328969</v>
      </c>
      <c r="C850">
        <f t="shared" si="54"/>
        <v>-8.3795395111428874</v>
      </c>
      <c r="D850">
        <f t="shared" si="55"/>
        <v>-1368.7545721445863</v>
      </c>
      <c r="R850">
        <f t="shared" si="52"/>
        <v>0.84799999999999998</v>
      </c>
      <c r="S850">
        <f t="shared" si="53"/>
        <v>-8.3795395111428874</v>
      </c>
    </row>
    <row r="851" spans="1:19" x14ac:dyDescent="0.3">
      <c r="A851">
        <v>0.84899999999999998</v>
      </c>
      <c r="B851">
        <f>Uo*COS(2*PI()*Wn*Sheet2!A851) + (Vo/Wn - (Po*(w/Wn))/(K*(1-(w/Wn)^2)))*SIN(2*PI()*Wn*Sheet2!A851) +(Po*SIN(2*PI()*w*Sheet2!A851))/(K*(1-(w/Wn)^2))</f>
        <v>-18.699111034955003</v>
      </c>
      <c r="C851">
        <f t="shared" si="54"/>
        <v>-8.443593155272012</v>
      </c>
      <c r="D851">
        <f t="shared" si="55"/>
        <v>-1379.2174046364762</v>
      </c>
      <c r="R851">
        <f t="shared" si="52"/>
        <v>0.84899999999999998</v>
      </c>
      <c r="S851">
        <f t="shared" si="53"/>
        <v>-8.443593155272012</v>
      </c>
    </row>
    <row r="852" spans="1:19" x14ac:dyDescent="0.3">
      <c r="A852">
        <v>0.85</v>
      </c>
      <c r="B852">
        <f>Uo*COS(2*PI()*Wn*Sheet2!A852) + (Vo/Wn - (Po*(w/Wn))/(K*(1-(w/Wn)^2)))*SIN(2*PI()*Wn*Sheet2!A852) +(Po*SIN(2*PI()*w*Sheet2!A852))/(K*(1-(w/Wn)^2))</f>
        <v>-18.824294106184993</v>
      </c>
      <c r="C852">
        <f t="shared" si="54"/>
        <v>-8.5047752614201837</v>
      </c>
      <c r="D852">
        <f t="shared" si="55"/>
        <v>-1389.2111862055453</v>
      </c>
      <c r="R852">
        <f t="shared" si="52"/>
        <v>0.85</v>
      </c>
      <c r="S852">
        <f t="shared" si="53"/>
        <v>-8.5047752614201837</v>
      </c>
    </row>
    <row r="853" spans="1:19" x14ac:dyDescent="0.3">
      <c r="A853">
        <v>0.85099999999999998</v>
      </c>
      <c r="B853">
        <f>Uo*COS(2*PI()*Wn*Sheet2!A853) + (Vo/Wn - (Po*(w/Wn))/(K*(1-(w/Wn)^2)))*SIN(2*PI()*Wn*Sheet2!A853) +(Po*SIN(2*PI()*w*Sheet2!A853))/(K*(1-(w/Wn)^2))</f>
        <v>-18.943327642074564</v>
      </c>
      <c r="C853">
        <f t="shared" si="54"/>
        <v>-8.5630710461109487</v>
      </c>
      <c r="D853">
        <f t="shared" si="55"/>
        <v>-1398.7335020471419</v>
      </c>
      <c r="R853">
        <f t="shared" si="52"/>
        <v>0.85099999999999998</v>
      </c>
      <c r="S853">
        <f t="shared" si="53"/>
        <v>-8.5630710461109487</v>
      </c>
    </row>
    <row r="854" spans="1:19" x14ac:dyDescent="0.3">
      <c r="A854">
        <v>0.85199999999999998</v>
      </c>
      <c r="B854">
        <f>Uo*COS(2*PI()*Wn*Sheet2!A854) + (Vo/Wn - (Po*(w/Wn))/(K*(1-(w/Wn)^2)))*SIN(2*PI()*Wn*Sheet2!A854) +(Po*SIN(2*PI()*w*Sheet2!A854))/(K*(1-(w/Wn)^2))</f>
        <v>-19.056172756653751</v>
      </c>
      <c r="C854">
        <f t="shared" si="54"/>
        <v>-8.6184666946184088</v>
      </c>
      <c r="D854">
        <f t="shared" si="55"/>
        <v>-1407.7820955970228</v>
      </c>
      <c r="R854">
        <f t="shared" si="52"/>
        <v>0.85199999999999998</v>
      </c>
      <c r="S854">
        <f t="shared" si="53"/>
        <v>-8.6184666946184088</v>
      </c>
    </row>
    <row r="855" spans="1:19" x14ac:dyDescent="0.3">
      <c r="A855">
        <v>0.85299999999999998</v>
      </c>
      <c r="B855">
        <f>Uo*COS(2*PI()*Wn*Sheet2!A855) + (Vo/Wn - (Po*(w/Wn))/(K*(1-(w/Wn)^2)))*SIN(2*PI()*Wn*Sheet2!A855) +(Po*SIN(2*PI()*w*Sheet2!A855))/(K*(1-(w/Wn)^2))</f>
        <v>-19.162792585590932</v>
      </c>
      <c r="C855">
        <f t="shared" si="54"/>
        <v>-8.6709493637266863</v>
      </c>
      <c r="D855">
        <f t="shared" si="55"/>
        <v>-1416.3548689820975</v>
      </c>
      <c r="R855">
        <f t="shared" si="52"/>
        <v>0.85299999999999998</v>
      </c>
      <c r="S855">
        <f t="shared" si="53"/>
        <v>-8.6709493637266863</v>
      </c>
    </row>
    <row r="856" spans="1:19" x14ac:dyDescent="0.3">
      <c r="A856">
        <v>0.85399999999999998</v>
      </c>
      <c r="B856">
        <f>Uo*COS(2*PI()*Wn*Sheet2!A856) + (Vo/Wn - (Po*(w/Wn))/(K*(1-(w/Wn)^2)))*SIN(2*PI()*Wn*Sheet2!A856) +(Po*SIN(2*PI()*w*Sheet2!A856))/(K*(1-(w/Wn)^2))</f>
        <v>-19.263152298235774</v>
      </c>
      <c r="C856">
        <f t="shared" si="54"/>
        <v>-8.7205071841674489</v>
      </c>
      <c r="D856">
        <f t="shared" si="55"/>
        <v>-1424.4498834185845</v>
      </c>
      <c r="R856">
        <f t="shared" si="52"/>
        <v>0.85399999999999998</v>
      </c>
      <c r="S856">
        <f t="shared" si="53"/>
        <v>-8.7205071841674489</v>
      </c>
    </row>
    <row r="857" spans="1:19" x14ac:dyDescent="0.3">
      <c r="A857">
        <v>0.85499999999999998</v>
      </c>
      <c r="B857">
        <f>Uo*COS(2*PI()*Wn*Sheet2!A857) + (Vo/Wn - (Po*(w/Wn))/(K*(1-(w/Wn)^2)))*SIN(2*PI()*Wn*Sheet2!A857) +(Po*SIN(2*PI()*w*Sheet2!A857))/(K*(1-(w/Wn)^2))</f>
        <v>-19.357219108997683</v>
      </c>
      <c r="C857">
        <f t="shared" si="54"/>
        <v>-8.7671292627350415</v>
      </c>
      <c r="D857">
        <f t="shared" si="55"/>
        <v>-1432.0653595575079</v>
      </c>
      <c r="R857">
        <f t="shared" si="52"/>
        <v>0.85499999999999998</v>
      </c>
      <c r="S857">
        <f t="shared" si="53"/>
        <v>-8.7671292627350415</v>
      </c>
    </row>
    <row r="858" spans="1:19" x14ac:dyDescent="0.3">
      <c r="A858">
        <v>0.85599999999999998</v>
      </c>
      <c r="B858">
        <f>Uo*COS(2*PI()*Wn*Sheet2!A858) + (Vo/Wn - (Po*(w/Wn))/(K*(1-(w/Wn)^2)))*SIN(2*PI()*Wn*Sheet2!A858) +(Po*SIN(2*PI()*w*Sheet2!A858))/(K*(1-(w/Wn)^2))</f>
        <v>-19.444962288056256</v>
      </c>
      <c r="C858">
        <f t="shared" si="54"/>
        <v>-8.8108056840793321</v>
      </c>
      <c r="D858">
        <f t="shared" si="55"/>
        <v>-1439.1996777775503</v>
      </c>
      <c r="R858">
        <f t="shared" si="52"/>
        <v>0.85599999999999998</v>
      </c>
      <c r="S858">
        <f t="shared" si="53"/>
        <v>-8.8108056840793321</v>
      </c>
    </row>
    <row r="859" spans="1:19" x14ac:dyDescent="0.3">
      <c r="A859">
        <v>0.85699999999999998</v>
      </c>
      <c r="B859">
        <f>Uo*COS(2*PI()*Wn*Sheet2!A859) + (Vo/Wn - (Po*(w/Wn))/(K*(1-(w/Wn)^2)))*SIN(2*PI()*Wn*Sheet2!A859) +(Po*SIN(2*PI()*w*Sheet2!A859))/(K*(1-(w/Wn)^2))</f>
        <v>-19.526353171400107</v>
      </c>
      <c r="C859">
        <f t="shared" si="54"/>
        <v>-8.8515275121760411</v>
      </c>
      <c r="D859">
        <f t="shared" si="55"/>
        <v>-1445.8513784252216</v>
      </c>
      <c r="R859">
        <f t="shared" si="52"/>
        <v>0.85699999999999998</v>
      </c>
      <c r="S859">
        <f t="shared" si="53"/>
        <v>-8.8515275121760411</v>
      </c>
    </row>
    <row r="860" spans="1:19" x14ac:dyDescent="0.3">
      <c r="A860">
        <v>0.85799999999999998</v>
      </c>
      <c r="B860">
        <f>Uo*COS(2*PI()*Wn*Sheet2!A860) + (Vo/Wn - (Po*(w/Wn))/(K*(1-(w/Wn)^2)))*SIN(2*PI()*Wn*Sheet2!A860) +(Po*SIN(2*PI()*w*Sheet2!A860))/(K*(1-(w/Wn)^2))</f>
        <v>-19.601365170190874</v>
      </c>
      <c r="C860">
        <f t="shared" si="54"/>
        <v>-8.8892867914749125</v>
      </c>
      <c r="D860">
        <f t="shared" si="55"/>
        <v>-1452.0191620024084</v>
      </c>
      <c r="R860">
        <f t="shared" si="52"/>
        <v>0.85799999999999998</v>
      </c>
      <c r="S860">
        <f t="shared" si="53"/>
        <v>-8.8892867914749125</v>
      </c>
    </row>
    <row r="861" spans="1:19" x14ac:dyDescent="0.3">
      <c r="A861">
        <v>0.85899999999999999</v>
      </c>
      <c r="B861">
        <f>Uo*COS(2*PI()*Wn*Sheet2!A861) + (Vo/Wn - (Po*(w/Wn))/(K*(1-(w/Wn)^2)))*SIN(2*PI()*Wn*Sheet2!A861) +(Po*SIN(2*PI()*w*Sheet2!A861))/(K*(1-(w/Wn)^2))</f>
        <v>-19.66997377944924</v>
      </c>
      <c r="C861">
        <f t="shared" si="54"/>
        <v>-8.9240765477256687</v>
      </c>
      <c r="D861">
        <f t="shared" si="55"/>
        <v>-1457.7018893012887</v>
      </c>
      <c r="R861">
        <f t="shared" si="52"/>
        <v>0.85899999999999999</v>
      </c>
      <c r="S861">
        <f t="shared" si="53"/>
        <v>-8.9240765477256687</v>
      </c>
    </row>
    <row r="862" spans="1:19" x14ac:dyDescent="0.3">
      <c r="A862">
        <v>0.86</v>
      </c>
      <c r="B862">
        <f>Uo*COS(2*PI()*Wn*Sheet2!A862) + (Vo/Wn - (Po*(w/Wn))/(K*(1-(w/Wn)^2)))*SIN(2*PI()*Wn*Sheet2!A862) +(Po*SIN(2*PI()*w*Sheet2!A862))/(K*(1-(w/Wn)^2))</f>
        <v>-19.73215658606027</v>
      </c>
      <c r="C862">
        <f t="shared" si="54"/>
        <v>-8.9558907884822823</v>
      </c>
      <c r="D862">
        <f t="shared" si="55"/>
        <v>-1462.8985814867026</v>
      </c>
      <c r="R862">
        <f t="shared" si="52"/>
        <v>0.86</v>
      </c>
      <c r="S862">
        <f t="shared" si="53"/>
        <v>-8.9558907884822823</v>
      </c>
    </row>
    <row r="863" spans="1:19" x14ac:dyDescent="0.3">
      <c r="A863">
        <v>0.86099999999999999</v>
      </c>
      <c r="B863">
        <f>Uo*COS(2*PI()*Wn*Sheet2!A863) + (Vo/Wn - (Po*(w/Wn))/(K*(1-(w/Wn)^2)))*SIN(2*PI()*Wn*Sheet2!A863) +(Po*SIN(2*PI()*w*Sheet2!A863))/(K*(1-(w/Wn)^2))</f>
        <v>-19.78789327609536</v>
      </c>
      <c r="C863">
        <f t="shared" si="54"/>
        <v>-8.984724503285868</v>
      </c>
      <c r="D863">
        <f t="shared" si="55"/>
        <v>-1467.6084201260264</v>
      </c>
      <c r="R863">
        <f t="shared" si="52"/>
        <v>0.86099999999999999</v>
      </c>
      <c r="S863">
        <f t="shared" si="53"/>
        <v>-8.984724503285868</v>
      </c>
    </row>
    <row r="864" spans="1:19" x14ac:dyDescent="0.3">
      <c r="A864">
        <v>0.86199999999999999</v>
      </c>
      <c r="B864">
        <f>Uo*COS(2*PI()*Wn*Sheet2!A864) + (Vo/Wn - (Po*(w/Wn))/(K*(1-(w/Wn)^2)))*SIN(2*PI()*Wn*Sheet2!A864) +(Po*SIN(2*PI()*w*Sheet2!A864))/(K*(1-(w/Wn)^2))</f>
        <v>-19.837165641448347</v>
      </c>
      <c r="C864">
        <f t="shared" si="54"/>
        <v>-9.0105736635266975</v>
      </c>
      <c r="D864">
        <f t="shared" si="55"/>
        <v>-1471.8307471666335</v>
      </c>
      <c r="R864">
        <f t="shared" si="52"/>
        <v>0.86199999999999999</v>
      </c>
      <c r="S864">
        <f t="shared" si="53"/>
        <v>-9.0105736635266975</v>
      </c>
    </row>
    <row r="865" spans="1:19" x14ac:dyDescent="0.3">
      <c r="A865">
        <v>0.86299999999999999</v>
      </c>
      <c r="B865">
        <f>Uo*COS(2*PI()*Wn*Sheet2!A865) + (Vo/Wn - (Po*(w/Wn))/(K*(1-(w/Wn)^2)))*SIN(2*PI()*Wn*Sheet2!A865) +(Po*SIN(2*PI()*w*Sheet2!A865))/(K*(1-(w/Wn)^2))</f>
        <v>-19.879957585783828</v>
      </c>
      <c r="C865">
        <f t="shared" si="54"/>
        <v>-9.0334352219860676</v>
      </c>
      <c r="D865">
        <f t="shared" si="55"/>
        <v>-1475.5650648610608</v>
      </c>
      <c r="R865">
        <f t="shared" si="52"/>
        <v>0.86299999999999999</v>
      </c>
      <c r="S865">
        <f t="shared" si="53"/>
        <v>-9.0334352219860676</v>
      </c>
    </row>
    <row r="866" spans="1:19" x14ac:dyDescent="0.3">
      <c r="A866">
        <v>0.86399999999999999</v>
      </c>
      <c r="B866">
        <f>Uo*COS(2*PI()*Wn*Sheet2!A866) + (Vo/Wn - (Po*(w/Wn))/(K*(1-(w/Wn)^2)))*SIN(2*PI()*Wn*Sheet2!A866) +(Po*SIN(2*PI()*w*Sheet2!A866))/(K*(1-(w/Wn)^2))</f>
        <v>-19.916255129795445</v>
      </c>
      <c r="C866">
        <f t="shared" si="54"/>
        <v>-9.0533071120586275</v>
      </c>
      <c r="D866">
        <f t="shared" si="55"/>
        <v>-1478.8110356399802</v>
      </c>
      <c r="R866">
        <f t="shared" si="52"/>
        <v>0.86399999999999999</v>
      </c>
      <c r="S866">
        <f t="shared" si="53"/>
        <v>-9.0533071120586275</v>
      </c>
    </row>
    <row r="867" spans="1:19" x14ac:dyDescent="0.3">
      <c r="A867">
        <v>0.86499999999999999</v>
      </c>
      <c r="B867">
        <f>Uo*COS(2*PI()*Wn*Sheet2!A867) + (Vo/Wn - (Po*(w/Wn))/(K*(1-(w/Wn)^2)))*SIN(2*PI()*Wn*Sheet2!A867) +(Po*SIN(2*PI()*w*Sheet2!A867))/(K*(1-(w/Wn)^2))</f>
        <v>-19.94604641577272</v>
      </c>
      <c r="C867">
        <f t="shared" si="54"/>
        <v>-9.0701882466560857</v>
      </c>
      <c r="D867">
        <f t="shared" si="55"/>
        <v>-1481.5684819331248</v>
      </c>
      <c r="R867">
        <f t="shared" si="52"/>
        <v>0.86499999999999999</v>
      </c>
      <c r="S867">
        <f t="shared" si="53"/>
        <v>-9.0701882466560857</v>
      </c>
    </row>
    <row r="868" spans="1:19" x14ac:dyDescent="0.3">
      <c r="A868">
        <v>0.86599999999999999</v>
      </c>
      <c r="B868">
        <f>Uo*COS(2*PI()*Wn*Sheet2!A868) + (Vo/Wn - (Po*(w/Wn))/(K*(1-(w/Wn)^2)))*SIN(2*PI()*Wn*Sheet2!A868) +(Po*SIN(2*PI()*w*Sheet2!A868))/(K*(1-(w/Wn)^2))</f>
        <v>-19.969321711474695</v>
      </c>
      <c r="C868">
        <f t="shared" si="54"/>
        <v>-9.0840785167931788</v>
      </c>
      <c r="D868">
        <f t="shared" si="55"/>
        <v>-1483.8373859383134</v>
      </c>
      <c r="R868">
        <f t="shared" si="52"/>
        <v>0.86599999999999999</v>
      </c>
      <c r="S868">
        <f t="shared" si="53"/>
        <v>-9.0840785167931788</v>
      </c>
    </row>
    <row r="869" spans="1:19" x14ac:dyDescent="0.3">
      <c r="A869">
        <v>0.86699999999999999</v>
      </c>
      <c r="B869">
        <f>Uo*COS(2*PI()*Wn*Sheet2!A869) + (Vo/Wn - (Po*(w/Wn))/(K*(1-(w/Wn)^2)))*SIN(2*PI()*Wn*Sheet2!A869) +(Po*SIN(2*PI()*w*Sheet2!A869))/(K*(1-(w/Wn)^2))</f>
        <v>-19.986073413309303</v>
      </c>
      <c r="C869">
        <f t="shared" si="54"/>
        <v>-9.0949787898569685</v>
      </c>
      <c r="D869">
        <f t="shared" si="55"/>
        <v>-1485.6178893387505</v>
      </c>
      <c r="R869">
        <f t="shared" si="52"/>
        <v>0.86699999999999999</v>
      </c>
      <c r="S869">
        <f t="shared" si="53"/>
        <v>-9.0949787898569685</v>
      </c>
    </row>
    <row r="870" spans="1:19" x14ac:dyDescent="0.3">
      <c r="A870">
        <v>0.86799999999999999</v>
      </c>
      <c r="B870">
        <f>Uo*COS(2*PI()*Wn*Sheet2!A870) + (Vo/Wn - (Po*(w/Wn))/(K*(1-(w/Wn)^2)))*SIN(2*PI()*Wn*Sheet2!A870) +(Po*SIN(2*PI()*w*Sheet2!A870))/(K*(1-(w/Wn)^2))</f>
        <v>-19.996296048817285</v>
      </c>
      <c r="C870">
        <f t="shared" si="54"/>
        <v>-9.1028909075605782</v>
      </c>
      <c r="D870">
        <f t="shared" si="55"/>
        <v>-1486.9102929687783</v>
      </c>
      <c r="R870">
        <f t="shared" si="52"/>
        <v>0.86799999999999999</v>
      </c>
      <c r="S870">
        <f t="shared" si="53"/>
        <v>-9.1028909075605782</v>
      </c>
    </row>
    <row r="871" spans="1:19" x14ac:dyDescent="0.3">
      <c r="A871">
        <v>0.86899999999999999</v>
      </c>
      <c r="B871">
        <f>Uo*COS(2*PI()*Wn*Sheet2!A871) + (Vo/Wn - (Po*(w/Wn))/(K*(1-(w/Wn)^2)))*SIN(2*PI()*Wn*Sheet2!A871) +(Po*SIN(2*PI()*w*Sheet2!A871))/(K*(1-(w/Wn)^2))</f>
        <v>-19.999986278459964</v>
      </c>
      <c r="C871">
        <f t="shared" si="54"/>
        <v>-9.1078176835826206</v>
      </c>
      <c r="D871">
        <f t="shared" si="55"/>
        <v>-1487.7150564282902</v>
      </c>
      <c r="R871">
        <f t="shared" si="52"/>
        <v>0.86899999999999999</v>
      </c>
      <c r="S871">
        <f t="shared" si="53"/>
        <v>-9.1078176835826206</v>
      </c>
    </row>
    <row r="872" spans="1:19" x14ac:dyDescent="0.3">
      <c r="A872">
        <v>0.87</v>
      </c>
      <c r="B872">
        <f>Uo*COS(2*PI()*Wn*Sheet2!A872) + (Vo/Wn - (Po*(w/Wn))/(K*(1-(w/Wn)^2)))*SIN(2*PI()*Wn*Sheet2!A872) +(Po*SIN(2*PI()*w*Sheet2!A872))/(K*(1-(w/Wn)^2))</f>
        <v>-19.997142896710191</v>
      </c>
      <c r="C872">
        <f t="shared" si="54"/>
        <v>-9.1097629008936636</v>
      </c>
      <c r="D872">
        <f t="shared" si="55"/>
        <v>-1488.0327976460221</v>
      </c>
      <c r="R872">
        <f t="shared" si="52"/>
        <v>0.87</v>
      </c>
      <c r="S872">
        <f t="shared" si="53"/>
        <v>-9.1097629008936636</v>
      </c>
    </row>
    <row r="873" spans="1:19" x14ac:dyDescent="0.3">
      <c r="A873">
        <v>0.871</v>
      </c>
      <c r="B873">
        <f>Uo*COS(2*PI()*Wn*Sheet2!A873) + (Vo/Wn - (Po*(w/Wn))/(K*(1-(w/Wn)^2)))*SIN(2*PI()*Wn*Sheet2!A873) +(Po*SIN(2*PI()*w*Sheet2!A873))/(K*(1-(w/Wn)^2))</f>
        <v>-19.987766832446169</v>
      </c>
      <c r="C873">
        <f t="shared" si="54"/>
        <v>-9.1087313087711408</v>
      </c>
      <c r="D873">
        <f t="shared" si="55"/>
        <v>-1487.8642923919549</v>
      </c>
      <c r="R873">
        <f t="shared" si="52"/>
        <v>0.871</v>
      </c>
      <c r="S873">
        <f t="shared" si="53"/>
        <v>-9.1087313087711408</v>
      </c>
    </row>
    <row r="874" spans="1:19" x14ac:dyDescent="0.3">
      <c r="A874">
        <v>0.872</v>
      </c>
      <c r="B874">
        <f>Uo*COS(2*PI()*Wn*Sheet2!A874) + (Vo/Wn - (Po*(w/Wn))/(K*(1-(w/Wn)^2)))*SIN(2*PI()*Wn*Sheet2!A874) +(Po*SIN(2*PI()*w*Sheet2!A874))/(K*(1-(w/Wn)^2))</f>
        <v>-19.971861148648017</v>
      </c>
      <c r="C874">
        <f t="shared" si="54"/>
        <v>-9.1047286195042876</v>
      </c>
      <c r="D874">
        <f t="shared" si="55"/>
        <v>-1487.210473739081</v>
      </c>
      <c r="R874">
        <f t="shared" si="52"/>
        <v>0.872</v>
      </c>
      <c r="S874">
        <f t="shared" si="53"/>
        <v>-9.1047286195042876</v>
      </c>
    </row>
    <row r="875" spans="1:19" x14ac:dyDescent="0.3">
      <c r="A875">
        <v>0.873</v>
      </c>
      <c r="B875">
        <f>Uo*COS(2*PI()*Wn*Sheet2!A875) + (Vo/Wn - (Po*(w/Wn))/(K*(1-(w/Wn)^2)))*SIN(2*PI()*Wn*Sheet2!A875) +(Po*SIN(2*PI()*w*Sheet2!A875))/(K*(1-(w/Wn)^2))</f>
        <v>-19.949431041397144</v>
      </c>
      <c r="C875">
        <f t="shared" si="54"/>
        <v>-9.097761504790693</v>
      </c>
      <c r="D875">
        <f t="shared" si="55"/>
        <v>-1486.0724314748006</v>
      </c>
      <c r="R875">
        <f t="shared" si="52"/>
        <v>0.873</v>
      </c>
      <c r="S875">
        <f t="shared" si="53"/>
        <v>-9.097761504790693</v>
      </c>
    </row>
    <row r="876" spans="1:19" x14ac:dyDescent="0.3">
      <c r="A876">
        <v>0.874</v>
      </c>
      <c r="B876">
        <f>Uo*COS(2*PI()*Wn*Sheet2!A876) + (Vo/Wn - (Po*(w/Wn))/(K*(1-(w/Wn)^2)))*SIN(2*PI()*Wn*Sheet2!A876) +(Po*SIN(2*PI()*w*Sheet2!A876))/(K*(1-(w/Wn)^2))</f>
        <v>-19.920483838178789</v>
      </c>
      <c r="C876">
        <f t="shared" si="54"/>
        <v>-9.0878375918262382</v>
      </c>
      <c r="D876">
        <f t="shared" si="55"/>
        <v>-1484.4514114622332</v>
      </c>
      <c r="R876">
        <f t="shared" si="52"/>
        <v>0.874</v>
      </c>
      <c r="S876">
        <f t="shared" si="53"/>
        <v>-9.0878375918262382</v>
      </c>
    </row>
    <row r="877" spans="1:19" x14ac:dyDescent="0.3">
      <c r="A877">
        <v>0.875</v>
      </c>
      <c r="B877">
        <f>Uo*COS(2*PI()*Wn*Sheet2!A877) + (Vo/Wn - (Po*(w/Wn))/(K*(1-(w/Wn)^2)))*SIN(2*PI()*Wn*Sheet2!A877) +(Po*SIN(2*PI()*w*Sheet2!A877))/(K*(1-(w/Wn)^2))</f>
        <v>-19.885028995488273</v>
      </c>
      <c r="C877">
        <f t="shared" si="54"/>
        <v>-9.0749654590902189</v>
      </c>
      <c r="D877">
        <f t="shared" si="55"/>
        <v>-1482.3488149517389</v>
      </c>
      <c r="R877">
        <f t="shared" si="52"/>
        <v>0.875</v>
      </c>
      <c r="S877">
        <f t="shared" si="53"/>
        <v>-9.0749654590902189</v>
      </c>
    </row>
    <row r="878" spans="1:19" x14ac:dyDescent="0.3">
      <c r="A878">
        <v>0.876</v>
      </c>
      <c r="B878">
        <f>Uo*COS(2*PI()*Wn*Sheet2!A878) + (Vo/Wn - (Po*(w/Wn))/(K*(1-(w/Wn)^2)))*SIN(2*PI()*Wn*Sheet2!A878) +(Po*SIN(2*PI()*w*Sheet2!A878))/(K*(1-(w/Wn)^2))</f>
        <v>-19.843078095741756</v>
      </c>
      <c r="C878">
        <f t="shared" si="54"/>
        <v>-9.0591546318276084</v>
      </c>
      <c r="D878">
        <f t="shared" si="55"/>
        <v>-1479.7661978429694</v>
      </c>
      <c r="R878">
        <f t="shared" si="52"/>
        <v>0.876</v>
      </c>
      <c r="S878">
        <f t="shared" si="53"/>
        <v>-9.0591546318276084</v>
      </c>
    </row>
    <row r="879" spans="1:19" x14ac:dyDescent="0.3">
      <c r="A879">
        <v>0.877</v>
      </c>
      <c r="B879">
        <f>Uo*COS(2*PI()*Wn*Sheet2!A879) + (Vo/Wn - (Po*(w/Wn))/(K*(1-(w/Wn)^2)))*SIN(2*PI()*Wn*Sheet2!A879) +(Po*SIN(2*PI()*w*Sheet2!A879))/(K*(1-(w/Wn)^2))</f>
        <v>-19.794644843492463</v>
      </c>
      <c r="C879">
        <f t="shared" si="54"/>
        <v>-9.040415577230462</v>
      </c>
      <c r="D879">
        <f t="shared" si="55"/>
        <v>-1476.7052698977759</v>
      </c>
      <c r="R879">
        <f t="shared" si="52"/>
        <v>0.877</v>
      </c>
      <c r="S879">
        <f t="shared" si="53"/>
        <v>-9.040415577230462</v>
      </c>
    </row>
    <row r="880" spans="1:19" x14ac:dyDescent="0.3">
      <c r="A880">
        <v>0.878</v>
      </c>
      <c r="B880">
        <f>Uo*COS(2*PI()*Wn*Sheet2!A880) + (Vo/Wn - (Po*(w/Wn))/(K*(1-(w/Wn)^2)))*SIN(2*PI()*Wn*Sheet2!A880) +(Po*SIN(2*PI()*w*Sheet2!A880))/(K*(1-(w/Wn)^2))</f>
        <v>-19.739745060953673</v>
      </c>
      <c r="C880">
        <f t="shared" si="54"/>
        <v>-9.0187596993205741</v>
      </c>
      <c r="D880">
        <f t="shared" si="55"/>
        <v>-1473.1678939043161</v>
      </c>
      <c r="R880">
        <f t="shared" si="52"/>
        <v>0.878</v>
      </c>
      <c r="S880">
        <f t="shared" si="53"/>
        <v>-9.0187596993205741</v>
      </c>
    </row>
    <row r="881" spans="1:19" x14ac:dyDescent="0.3">
      <c r="A881">
        <v>0.879</v>
      </c>
      <c r="B881">
        <f>Uo*COS(2*PI()*Wn*Sheet2!A881) + (Vo/Wn - (Po*(w/Wn))/(K*(1-(w/Wn)^2)))*SIN(2*PI()*Wn*Sheet2!A881) +(Po*SIN(2*PI()*w*Sheet2!A881))/(K*(1-(w/Wn)^2))</f>
        <v>-19.678396682829945</v>
      </c>
      <c r="C881">
        <f t="shared" si="54"/>
        <v>-8.9941993335356401</v>
      </c>
      <c r="D881">
        <f t="shared" si="55"/>
        <v>-1469.1560847927333</v>
      </c>
      <c r="R881">
        <f t="shared" si="52"/>
        <v>0.879</v>
      </c>
      <c r="S881">
        <f t="shared" si="53"/>
        <v>-8.9941993335356401</v>
      </c>
    </row>
    <row r="882" spans="1:19" x14ac:dyDescent="0.3">
      <c r="A882">
        <v>0.88</v>
      </c>
      <c r="B882">
        <f>Uo*COS(2*PI()*Wn*Sheet2!A882) + (Vo/Wn - (Po*(w/Wn))/(K*(1-(w/Wn)^2)))*SIN(2*PI()*Wn*Sheet2!A882) +(Po*SIN(2*PI()*w*Sheet2!A882))/(K*(1-(w/Wn)^2))</f>
        <v>-19.610619750458113</v>
      </c>
      <c r="C882">
        <f t="shared" si="54"/>
        <v>-8.9667477410211482</v>
      </c>
      <c r="D882">
        <f t="shared" si="55"/>
        <v>-1464.672008702765</v>
      </c>
      <c r="R882">
        <f t="shared" si="52"/>
        <v>0.88</v>
      </c>
      <c r="S882">
        <f t="shared" si="53"/>
        <v>-8.9667477410211482</v>
      </c>
    </row>
    <row r="883" spans="1:19" x14ac:dyDescent="0.3">
      <c r="A883">
        <v>0.88100000000000001</v>
      </c>
      <c r="B883">
        <f>Uo*COS(2*PI()*Wn*Sheet2!A883) + (Vo/Wn - (Po*(w/Wn))/(K*(1-(w/Wn)^2)))*SIN(2*PI()*Wn*Sheet2!A883) +(Po*SIN(2*PI()*w*Sheet2!A883))/(K*(1-(w/Wn)^2))</f>
        <v>-19.536436405260265</v>
      </c>
      <c r="C883">
        <f t="shared" si="54"/>
        <v>-8.936419102630488</v>
      </c>
      <c r="D883">
        <f t="shared" si="55"/>
        <v>-1459.7179820036922</v>
      </c>
      <c r="R883">
        <f t="shared" si="52"/>
        <v>0.88100000000000001</v>
      </c>
      <c r="S883">
        <f t="shared" si="53"/>
        <v>-8.936419102630488</v>
      </c>
    </row>
    <row r="884" spans="1:19" x14ac:dyDescent="0.3">
      <c r="A884">
        <v>0.88200000000000001</v>
      </c>
      <c r="B884">
        <f>Uo*COS(2*PI()*Wn*Sheet2!A884) + (Vo/Wn - (Po*(w/Wn))/(K*(1-(w/Wn)^2)))*SIN(2*PI()*Wn*Sheet2!A884) +(Po*SIN(2*PI()*w*Sheet2!A884))/(K*(1-(w/Wn)^2))</f>
        <v>-19.455870881510474</v>
      </c>
      <c r="C884">
        <f t="shared" si="54"/>
        <v>-8.9032285126356694</v>
      </c>
      <c r="D884">
        <f t="shared" si="55"/>
        <v>-1454.2964702670183</v>
      </c>
      <c r="R884">
        <f t="shared" si="52"/>
        <v>0.88200000000000001</v>
      </c>
      <c r="S884">
        <f t="shared" si="53"/>
        <v>-8.9032285126356694</v>
      </c>
    </row>
    <row r="885" spans="1:19" x14ac:dyDescent="0.3">
      <c r="A885">
        <v>0.88300000000000001</v>
      </c>
      <c r="B885">
        <f>Uo*COS(2*PI()*Wn*Sheet2!A885) + (Vo/Wn - (Po*(w/Wn))/(K*(1-(w/Wn)^2)))*SIN(2*PI()*Wn*Sheet2!A885) +(Po*SIN(2*PI()*w*Sheet2!A885))/(K*(1-(w/Wn)^2))</f>
        <v>-19.368949498418008</v>
      </c>
      <c r="C885">
        <f t="shared" si="54"/>
        <v>-8.8671919721513213</v>
      </c>
      <c r="D885">
        <f t="shared" si="55"/>
        <v>-1448.4100871923119</v>
      </c>
      <c r="R885">
        <f t="shared" si="52"/>
        <v>0.88300000000000001</v>
      </c>
      <c r="S885">
        <f t="shared" si="53"/>
        <v>-8.8671919721513213</v>
      </c>
    </row>
    <row r="886" spans="1:19" x14ac:dyDescent="0.3">
      <c r="A886">
        <v>0.88400000000000001</v>
      </c>
      <c r="B886">
        <f>Uo*COS(2*PI()*Wn*Sheet2!A886) + (Vo/Wn - (Po*(w/Wn))/(K*(1-(w/Wn)^2)))*SIN(2*PI()*Wn*Sheet2!A886) +(Po*SIN(2*PI()*w*Sheet2!A886))/(K*(1-(w/Wn)^2))</f>
        <v>-19.275700651529267</v>
      </c>
      <c r="C886">
        <f t="shared" si="54"/>
        <v>-8.8283263822745326</v>
      </c>
      <c r="D886">
        <f t="shared" si="55"/>
        <v>-1442.0615934866362</v>
      </c>
      <c r="R886">
        <f t="shared" si="52"/>
        <v>0.88400000000000001</v>
      </c>
      <c r="S886">
        <f t="shared" si="53"/>
        <v>-8.8283263822745326</v>
      </c>
    </row>
    <row r="887" spans="1:19" x14ac:dyDescent="0.3">
      <c r="A887">
        <v>0.88500000000000001</v>
      </c>
      <c r="B887">
        <f>Uo*COS(2*PI()*Wn*Sheet2!A887) + (Vo/Wn - (Po*(w/Wn))/(K*(1-(w/Wn)^2)))*SIN(2*PI()*Wn*Sheet2!A887) +(Po*SIN(2*PI()*w*Sheet2!A887))/(K*(1-(w/Wn)^2))</f>
        <v>-19.176154803451592</v>
      </c>
      <c r="C887">
        <f t="shared" si="54"/>
        <v>-8.786649536943381</v>
      </c>
      <c r="D887">
        <f t="shared" si="55"/>
        <v>-1435.2538956980263</v>
      </c>
      <c r="R887">
        <f t="shared" si="52"/>
        <v>0.88500000000000001</v>
      </c>
      <c r="S887">
        <f t="shared" si="53"/>
        <v>-8.786649536943381</v>
      </c>
    </row>
    <row r="888" spans="1:19" x14ac:dyDescent="0.3">
      <c r="A888">
        <v>0.88600000000000001</v>
      </c>
      <c r="B888">
        <f>Uo*COS(2*PI()*Wn*Sheet2!A888) + (Vo/Wn - (Po*(w/Wn))/(K*(1-(w/Wn)^2)))*SIN(2*PI()*Wn*Sheet2!A888) +(Po*SIN(2*PI()*w*Sheet2!A888))/(K*(1-(w/Wn)^2))</f>
        <v>-19.070344473901635</v>
      </c>
      <c r="C888">
        <f t="shared" si="54"/>
        <v>-8.7421801155169288</v>
      </c>
      <c r="D888">
        <f t="shared" si="55"/>
        <v>-1427.9900450034697</v>
      </c>
      <c r="R888">
        <f t="shared" si="52"/>
        <v>0.88600000000000001</v>
      </c>
      <c r="S888">
        <f t="shared" si="53"/>
        <v>-8.7421801155169288</v>
      </c>
    </row>
    <row r="889" spans="1:19" x14ac:dyDescent="0.3">
      <c r="A889">
        <v>0.88700000000000001</v>
      </c>
      <c r="B889">
        <f>Uo*COS(2*PI()*Wn*Sheet2!A889) + (Vo/Wn - (Po*(w/Wn))/(K*(1-(w/Wn)^2)))*SIN(2*PI()*Wn*Sheet2!A889) +(Po*SIN(2*PI()*w*Sheet2!A889))/(K*(1-(w/Wn)^2))</f>
        <v>-18.958304229081818</v>
      </c>
      <c r="C889">
        <f t="shared" si="54"/>
        <v>-8.6949376750796272</v>
      </c>
      <c r="D889">
        <f t="shared" si="55"/>
        <v>-1420.27323595187</v>
      </c>
      <c r="R889">
        <f t="shared" si="52"/>
        <v>0.88700000000000001</v>
      </c>
      <c r="S889">
        <f t="shared" si="53"/>
        <v>-8.6949376750796272</v>
      </c>
    </row>
    <row r="890" spans="1:19" x14ac:dyDescent="0.3">
      <c r="A890">
        <v>0.88800000000000001</v>
      </c>
      <c r="B890">
        <f>Uo*COS(2*PI()*Wn*Sheet2!A890) + (Vo/Wn - (Po*(w/Wn))/(K*(1-(w/Wn)^2)))*SIN(2*PI()*Wn*Sheet2!A890) +(Po*SIN(2*PI()*w*Sheet2!A890))/(K*(1-(w/Wn)^2))</f>
        <v>-18.8400706703883</v>
      </c>
      <c r="C890">
        <f t="shared" si="54"/>
        <v>-8.644942642473163</v>
      </c>
      <c r="D890">
        <f t="shared" si="55"/>
        <v>-1412.1068051624909</v>
      </c>
      <c r="R890">
        <f t="shared" si="52"/>
        <v>0.88800000000000001</v>
      </c>
      <c r="S890">
        <f t="shared" si="53"/>
        <v>-8.644942642473163</v>
      </c>
    </row>
    <row r="891" spans="1:19" x14ac:dyDescent="0.3">
      <c r="A891">
        <v>0.88900000000000001</v>
      </c>
      <c r="B891">
        <f>Uo*COS(2*PI()*Wn*Sheet2!A891) + (Vo/Wn - (Po*(w/Wn))/(K*(1-(w/Wn)^2)))*SIN(2*PI()*Wn*Sheet2!A891) +(Po*SIN(2*PI()*w*Sheet2!A891))/(K*(1-(w/Wn)^2))</f>
        <v>-18.715682422453856</v>
      </c>
      <c r="C891">
        <f t="shared" si="54"/>
        <v>-8.5922163060587753</v>
      </c>
      <c r="D891">
        <f t="shared" si="55"/>
        <v>-1403.4942299793727</v>
      </c>
      <c r="R891">
        <f t="shared" si="52"/>
        <v>0.88900000000000001</v>
      </c>
      <c r="S891">
        <f t="shared" si="53"/>
        <v>-8.5922163060587753</v>
      </c>
    </row>
    <row r="892" spans="1:19" x14ac:dyDescent="0.3">
      <c r="A892">
        <v>0.89</v>
      </c>
      <c r="B892">
        <f>Uo*COS(2*PI()*Wn*Sheet2!A892) + (Vo/Wn - (Po*(w/Wn))/(K*(1-(w/Wn)^2)))*SIN(2*PI()*Wn*Sheet2!A892) +(Po*SIN(2*PI()*w*Sheet2!A892))/(K*(1-(w/Wn)^2))</f>
        <v>-18.585180120530058</v>
      </c>
      <c r="C892">
        <f t="shared" si="54"/>
        <v>-8.5367808072133009</v>
      </c>
      <c r="D892">
        <f t="shared" si="55"/>
        <v>-1394.4391270822555</v>
      </c>
      <c r="R892">
        <f t="shared" si="52"/>
        <v>0.89</v>
      </c>
      <c r="S892">
        <f t="shared" si="53"/>
        <v>-8.5367808072133009</v>
      </c>
    </row>
    <row r="893" spans="1:19" x14ac:dyDescent="0.3">
      <c r="A893">
        <v>0.89100000000000001</v>
      </c>
      <c r="B893">
        <f>Uo*COS(2*PI()*Wn*Sheet2!A893) + (Vo/Wn - (Po*(w/Wn))/(K*(1-(w/Wn)^2)))*SIN(2*PI()*Wn*Sheet2!A893) +(Po*SIN(2*PI()*w*Sheet2!A893))/(K*(1-(w/Wn)^2))</f>
        <v>-18.448606397212455</v>
      </c>
      <c r="C893">
        <f t="shared" si="54"/>
        <v>-8.4786591315621394</v>
      </c>
      <c r="D893">
        <f t="shared" si="55"/>
        <v>-1384.9452510545284</v>
      </c>
      <c r="R893">
        <f t="shared" si="52"/>
        <v>0.89100000000000001</v>
      </c>
      <c r="S893">
        <f t="shared" si="53"/>
        <v>-8.4786591315621394</v>
      </c>
    </row>
    <row r="894" spans="1:19" x14ac:dyDescent="0.3">
      <c r="A894">
        <v>0.89200000000000002</v>
      </c>
      <c r="B894">
        <f>Uo*COS(2*PI()*Wn*Sheet2!A894) + (Vo/Wn - (Po*(w/Wn))/(K*(1-(w/Wn)^2)))*SIN(2*PI()*Wn*Sheet2!A894) +(Po*SIN(2*PI()*w*Sheet2!A894))/(K*(1-(w/Wn)^2))</f>
        <v>-18.306005868513438</v>
      </c>
      <c r="C894">
        <f t="shared" si="54"/>
        <v>-8.4178750999525427</v>
      </c>
      <c r="D894">
        <f t="shared" si="55"/>
        <v>-1375.0164929087637</v>
      </c>
      <c r="R894">
        <f t="shared" si="52"/>
        <v>0.89200000000000002</v>
      </c>
      <c r="S894">
        <f t="shared" si="53"/>
        <v>-8.4178750999525427</v>
      </c>
    </row>
    <row r="895" spans="1:19" x14ac:dyDescent="0.3">
      <c r="A895">
        <v>0.89300000000000002</v>
      </c>
      <c r="B895">
        <f>Uo*COS(2*PI()*Wn*Sheet2!A895) + (Vo/Wn - (Po*(w/Wn))/(K*(1-(w/Wn)^2)))*SIN(2*PI()*Wn*Sheet2!A895) +(Po*SIN(2*PI()*w*Sheet2!A895))/(K*(1-(w/Wn)^2))</f>
        <v>-18.157425119286891</v>
      </c>
      <c r="C895">
        <f t="shared" si="54"/>
        <v>-8.3544533591705186</v>
      </c>
      <c r="D895">
        <f t="shared" si="55"/>
        <v>-1364.656878570371</v>
      </c>
      <c r="R895">
        <f t="shared" si="52"/>
        <v>0.89300000000000002</v>
      </c>
      <c r="S895">
        <f t="shared" si="53"/>
        <v>-8.3544533591705186</v>
      </c>
    </row>
    <row r="896" spans="1:19" x14ac:dyDescent="0.3">
      <c r="A896">
        <v>0.89400000000000002</v>
      </c>
      <c r="B896">
        <f>Uo*COS(2*PI()*Wn*Sheet2!A896) + (Vo/Wn - (Po*(w/Wn))/(K*(1-(w/Wn)^2)))*SIN(2*PI()*Wn*Sheet2!A896) +(Po*SIN(2*PI()*w*Sheet2!A896))/(K*(1-(w/Wn)^2))</f>
        <v>-18.002912688009872</v>
      </c>
      <c r="C896">
        <f t="shared" si="54"/>
        <v>-8.2884193724049791</v>
      </c>
      <c r="D896">
        <f t="shared" si="55"/>
        <v>-1353.8705673199643</v>
      </c>
      <c r="R896">
        <f t="shared" si="52"/>
        <v>0.89400000000000002</v>
      </c>
      <c r="S896">
        <f t="shared" si="53"/>
        <v>-8.2884193724049791</v>
      </c>
    </row>
    <row r="897" spans="1:19" x14ac:dyDescent="0.3">
      <c r="A897">
        <v>0.89500000000000002</v>
      </c>
      <c r="B897">
        <f>Uo*COS(2*PI()*Wn*Sheet2!A897) + (Vo/Wn - (Po*(w/Wn))/(K*(1-(w/Wn)^2)))*SIN(2*PI()*Wn*Sheet2!A897) +(Po*SIN(2*PI()*w*Sheet2!A897))/(K*(1-(w/Wn)^2))</f>
        <v>-17.842519050926139</v>
      </c>
      <c r="C897">
        <f t="shared" si="54"/>
        <v>-8.2197994094626985</v>
      </c>
      <c r="D897">
        <f t="shared" si="55"/>
        <v>-1342.6618501950268</v>
      </c>
      <c r="R897">
        <f t="shared" ref="R897:R960" si="56">A897</f>
        <v>0.89500000000000002</v>
      </c>
      <c r="S897">
        <f t="shared" ref="S897:S960" si="57">C897</f>
        <v>-8.2197994094626985</v>
      </c>
    </row>
    <row r="898" spans="1:19" x14ac:dyDescent="0.3">
      <c r="A898">
        <v>0.89600000000000002</v>
      </c>
      <c r="B898">
        <f>Uo*COS(2*PI()*Wn*Sheet2!A898) + (Vo/Wn - (Po*(w/Wn))/(K*(1-(w/Wn)^2)))*SIN(2*PI()*Wn*Sheet2!A898) +(Po*SIN(2*PI()*w*Sheet2!A898))/(K*(1-(w/Wn)^2))</f>
        <v>-17.676296605556335</v>
      </c>
      <c r="C898">
        <f t="shared" ref="C898:C961" si="58">EXP(-zeta*Wn*A898*2*PI())*($H$1*COS(wnD*2*PI()*A898) + $H$2*SIN(wnD*2*PI()*A898)) + $H$3*SIN(w*2*PI()*A898) + $H$4*COS(w*2*PI()*A898)</f>
        <v>-8.1486205367375319</v>
      </c>
      <c r="D898">
        <f t="shared" ref="D898:D961" si="59">K*C898</f>
        <v>-1331.0351483514332</v>
      </c>
      <c r="R898">
        <f t="shared" si="56"/>
        <v>0.89600000000000002</v>
      </c>
      <c r="S898">
        <f t="shared" si="57"/>
        <v>-8.1486205367375319</v>
      </c>
    </row>
    <row r="899" spans="1:19" x14ac:dyDescent="0.3">
      <c r="A899">
        <v>0.89700000000000002</v>
      </c>
      <c r="B899">
        <f>Uo*COS(2*PI()*Wn*Sheet2!A899) + (Vo/Wn - (Po*(w/Wn))/(K*(1-(w/Wn)^2)))*SIN(2*PI()*Wn*Sheet2!A899) +(Po*SIN(2*PI()*w*Sheet2!A899))/(K*(1-(w/Wn)^2))</f>
        <v>-17.504299653580851</v>
      </c>
      <c r="C899">
        <f t="shared" si="58"/>
        <v>-8.0749106069378787</v>
      </c>
      <c r="D899">
        <f t="shared" si="59"/>
        <v>-1318.9950113854854</v>
      </c>
      <c r="R899">
        <f t="shared" si="56"/>
        <v>0.89700000000000002</v>
      </c>
      <c r="S899">
        <f t="shared" si="57"/>
        <v>-8.0749106069378787</v>
      </c>
    </row>
    <row r="900" spans="1:19" x14ac:dyDescent="0.3">
      <c r="A900">
        <v>0.89800000000000002</v>
      </c>
      <c r="B900">
        <f>Uo*COS(2*PI()*Wn*Sheet2!A900) + (Vo/Wn - (Po*(w/Wn))/(K*(1-(w/Wn)^2)))*SIN(2*PI()*Wn*Sheet2!A900) +(Po*SIN(2*PI()*w*Sheet2!A900))/(K*(1-(w/Wn)^2))</f>
        <v>-17.326584383100446</v>
      </c>
      <c r="C900">
        <f t="shared" si="58"/>
        <v>-7.9986982485759981</v>
      </c>
      <c r="D900">
        <f t="shared" si="59"/>
        <v>-1306.546115617045</v>
      </c>
      <c r="R900">
        <f t="shared" si="56"/>
        <v>0.89800000000000002</v>
      </c>
      <c r="S900">
        <f t="shared" si="57"/>
        <v>-7.9986982485759981</v>
      </c>
    </row>
    <row r="901" spans="1:19" x14ac:dyDescent="0.3">
      <c r="A901">
        <v>0.89900000000000002</v>
      </c>
      <c r="B901">
        <f>Uo*COS(2*PI()*Wn*Sheet2!A901) + (Vo/Wn - (Po*(w/Wn))/(K*(1-(w/Wn)^2)))*SIN(2*PI()*Wn*Sheet2!A901) +(Po*SIN(2*PI()*w*Sheet2!A901))/(K*(1-(w/Wn)^2))</f>
        <v>-17.143208850280814</v>
      </c>
      <c r="C901">
        <f t="shared" si="58"/>
        <v>-7.920012855223141</v>
      </c>
      <c r="D901">
        <f t="shared" si="59"/>
        <v>-1293.6932623344153</v>
      </c>
      <c r="R901">
        <f t="shared" si="56"/>
        <v>0.89900000000000002</v>
      </c>
      <c r="S901">
        <f t="shared" si="57"/>
        <v>-7.920012855223141</v>
      </c>
    </row>
    <row r="902" spans="1:19" x14ac:dyDescent="0.3">
      <c r="A902">
        <v>0.9</v>
      </c>
      <c r="B902">
        <f>Uo*COS(2*PI()*Wn*Sheet2!A902) + (Vo/Wn - (Po*(w/Wn))/(K*(1-(w/Wn)^2)))*SIN(2*PI()*Wn*Sheet2!A902) +(Po*SIN(2*PI()*w*Sheet2!A902))/(K*(1-(w/Wn)^2))</f>
        <v>-16.954232960386541</v>
      </c>
      <c r="C902">
        <f t="shared" si="58"/>
        <v>-7.8388845745342826</v>
      </c>
      <c r="D902">
        <f t="shared" si="59"/>
        <v>-1280.4413760015875</v>
      </c>
      <c r="R902">
        <f t="shared" si="56"/>
        <v>0.9</v>
      </c>
      <c r="S902">
        <f t="shared" si="57"/>
        <v>-7.8388845745342826</v>
      </c>
    </row>
    <row r="903" spans="1:19" x14ac:dyDescent="0.3">
      <c r="A903">
        <v>0.90100000000000002</v>
      </c>
      <c r="B903">
        <f>Uo*COS(2*PI()*Wn*Sheet2!A903) + (Vo/Wn - (Po*(w/Wn))/(K*(1-(w/Wn)^2)))*SIN(2*PI()*Wn*Sheet2!A903) +(Po*SIN(2*PI()*w*Sheet2!A903))/(K*(1-(w/Wn)^2))</f>
        <v>-16.759718448211327</v>
      </c>
      <c r="C903">
        <f t="shared" si="58"/>
        <v>-7.7553442970466584</v>
      </c>
      <c r="D903">
        <f t="shared" si="59"/>
        <v>-1266.79550242854</v>
      </c>
      <c r="R903">
        <f t="shared" si="56"/>
        <v>0.90100000000000002</v>
      </c>
      <c r="S903">
        <f t="shared" si="57"/>
        <v>-7.7553442970466584</v>
      </c>
    </row>
    <row r="904" spans="1:19" x14ac:dyDescent="0.3">
      <c r="A904">
        <v>0.90200000000000002</v>
      </c>
      <c r="B904">
        <f>Uo*COS(2*PI()*Wn*Sheet2!A904) + (Vo/Wn - (Po*(w/Wn))/(K*(1-(w/Wn)^2)))*SIN(2*PI()*Wn*Sheet2!A904) +(Po*SIN(2*PI()*w*Sheet2!A904))/(K*(1-(w/Wn)^2))</f>
        <v>-16.559728857910375</v>
      </c>
      <c r="C904">
        <f t="shared" si="58"/>
        <v>-7.6694236447560016</v>
      </c>
      <c r="D904">
        <f t="shared" si="59"/>
        <v>-1252.7608069052246</v>
      </c>
      <c r="R904">
        <f t="shared" si="56"/>
        <v>0.90200000000000002</v>
      </c>
      <c r="S904">
        <f t="shared" si="57"/>
        <v>-7.6694236447560016</v>
      </c>
    </row>
    <row r="905" spans="1:19" x14ac:dyDescent="0.3">
      <c r="A905">
        <v>0.90300000000000002</v>
      </c>
      <c r="B905">
        <f>Uo*COS(2*PI()*Wn*Sheet2!A905) + (Vo/Wn - (Po*(w/Wn))/(K*(1-(w/Wn)^2)))*SIN(2*PI()*Wn*Sheet2!A905) +(Po*SIN(2*PI()*w*Sheet2!A905))/(K*(1-(w/Wn)^2))</f>
        <v>-16.354329522241859</v>
      </c>
      <c r="C905">
        <f t="shared" si="58"/>
        <v>-7.5811549594747376</v>
      </c>
      <c r="D905">
        <f t="shared" si="59"/>
        <v>-1238.3425722999386</v>
      </c>
      <c r="R905">
        <f t="shared" si="56"/>
        <v>0.90300000000000002</v>
      </c>
      <c r="S905">
        <f t="shared" si="57"/>
        <v>-7.5811549594747376</v>
      </c>
    </row>
    <row r="906" spans="1:19" x14ac:dyDescent="0.3">
      <c r="A906">
        <v>0.90400000000000003</v>
      </c>
      <c r="B906">
        <f>Uo*COS(2*PI()*Wn*Sheet2!A906) + (Vo/Wn - (Po*(w/Wn))/(K*(1-(w/Wn)^2)))*SIN(2*PI()*Wn*Sheet2!A906) +(Po*SIN(2*PI()*w*Sheet2!A906))/(K*(1-(w/Wn)^2))</f>
        <v>-16.143587541223752</v>
      </c>
      <c r="C906">
        <f t="shared" si="58"/>
        <v>-7.4905712909761322</v>
      </c>
      <c r="D906">
        <f t="shared" si="59"/>
        <v>-1223.5461971227321</v>
      </c>
      <c r="R906">
        <f t="shared" si="56"/>
        <v>0.90400000000000003</v>
      </c>
      <c r="S906">
        <f t="shared" si="57"/>
        <v>-7.4905712909761322</v>
      </c>
    </row>
    <row r="907" spans="1:19" x14ac:dyDescent="0.3">
      <c r="A907">
        <v>0.90500000000000003</v>
      </c>
      <c r="B907">
        <f>Uo*COS(2*PI()*Wn*Sheet2!A907) + (Vo/Wn - (Po*(w/Wn))/(K*(1-(w/Wn)^2)))*SIN(2*PI()*Wn*Sheet2!A907) +(Po*SIN(2*PI()*w*Sheet2!A907))/(K*(1-(w/Wn)^2))</f>
        <v>-15.927571760213697</v>
      </c>
      <c r="C907">
        <f t="shared" si="58"/>
        <v>-7.3977063849289184</v>
      </c>
      <c r="D907">
        <f t="shared" si="59"/>
        <v>-1208.3771935545915</v>
      </c>
      <c r="R907">
        <f t="shared" si="56"/>
        <v>0.90500000000000003</v>
      </c>
      <c r="S907">
        <f t="shared" si="57"/>
        <v>-7.3977063849289184</v>
      </c>
    </row>
    <row r="908" spans="1:19" x14ac:dyDescent="0.3">
      <c r="A908">
        <v>0.90600000000000003</v>
      </c>
      <c r="B908">
        <f>Uo*COS(2*PI()*Wn*Sheet2!A908) + (Vo/Wn - (Po*(w/Wn))/(K*(1-(w/Wn)^2)))*SIN(2*PI()*Wn*Sheet2!A908) +(Po*SIN(2*PI()*w*Sheet2!A908))/(K*(1-(w/Wn)^2))</f>
        <v>-15.706352747418446</v>
      </c>
      <c r="C908">
        <f t="shared" si="58"/>
        <v>-7.3025946706265126</v>
      </c>
      <c r="D908">
        <f t="shared" si="59"/>
        <v>-1192.8411854430703</v>
      </c>
      <c r="R908">
        <f t="shared" si="56"/>
        <v>0.90600000000000003</v>
      </c>
      <c r="S908">
        <f t="shared" si="57"/>
        <v>-7.3025946706265126</v>
      </c>
    </row>
    <row r="909" spans="1:19" x14ac:dyDescent="0.3">
      <c r="A909">
        <v>0.90700000000000003</v>
      </c>
      <c r="B909">
        <f>Uo*COS(2*PI()*Wn*Sheet2!A909) + (Vo/Wn - (Po*(w/Wn))/(K*(1-(w/Wn)^2)))*SIN(2*PI()*Wn*Sheet2!A909) +(Po*SIN(2*PI()*w*Sheet2!A909))/(K*(1-(w/Wn)^2))</f>
        <v>-15.48000277084078</v>
      </c>
      <c r="C909">
        <f t="shared" si="58"/>
        <v>-7.205271248515321</v>
      </c>
      <c r="D909">
        <f t="shared" si="59"/>
        <v>-1176.9439062651024</v>
      </c>
      <c r="R909">
        <f t="shared" si="56"/>
        <v>0.90700000000000003</v>
      </c>
      <c r="S909">
        <f t="shared" si="57"/>
        <v>-7.205271248515321</v>
      </c>
    </row>
    <row r="910" spans="1:19" x14ac:dyDescent="0.3">
      <c r="A910">
        <v>0.90800000000000003</v>
      </c>
      <c r="B910">
        <f>Uo*COS(2*PI()*Wn*Sheet2!A910) + (Vo/Wn - (Po*(w/Wn))/(K*(1-(w/Wn)^2)))*SIN(2*PI()*Wn*Sheet2!A910) +(Po*SIN(2*PI()*w*Sheet2!A910))/(K*(1-(w/Wn)^2))</f>
        <v>-15.248595774670672</v>
      </c>
      <c r="C910">
        <f t="shared" si="58"/>
        <v>-7.1057718775263901</v>
      </c>
      <c r="D910">
        <f t="shared" si="59"/>
        <v>-1160.6911970576923</v>
      </c>
      <c r="R910">
        <f t="shared" si="56"/>
        <v>0.90800000000000003</v>
      </c>
      <c r="S910">
        <f t="shared" si="57"/>
        <v>-7.1057718775263901</v>
      </c>
    </row>
    <row r="911" spans="1:19" x14ac:dyDescent="0.3">
      <c r="A911">
        <v>0.90900000000000003</v>
      </c>
      <c r="B911">
        <f>Uo*COS(2*PI()*Wn*Sheet2!A911) + (Vo/Wn - (Po*(w/Wn))/(K*(1-(w/Wn)^2)))*SIN(2*PI()*Wn*Sheet2!A911) +(Po*SIN(2*PI()*w*Sheet2!A911))/(K*(1-(w/Wn)^2))</f>
        <v>-15.012207355129309</v>
      </c>
      <c r="C911">
        <f t="shared" si="58"/>
        <v>-7.0041329622151487</v>
      </c>
      <c r="D911">
        <f t="shared" si="59"/>
        <v>-1144.0890043172581</v>
      </c>
      <c r="R911">
        <f t="shared" si="56"/>
        <v>0.90900000000000003</v>
      </c>
      <c r="S911">
        <f t="shared" si="57"/>
        <v>-7.0041329622151487</v>
      </c>
    </row>
    <row r="912" spans="1:19" x14ac:dyDescent="0.3">
      <c r="A912">
        <v>0.91</v>
      </c>
      <c r="B912">
        <f>Uo*COS(2*PI()*Wn*Sheet2!A912) + (Vo/Wn - (Po*(w/Wn))/(K*(1-(w/Wn)^2)))*SIN(2*PI()*Wn*Sheet2!A912) +(Po*SIN(2*PI()*w*Sheet2!A912))/(K*(1-(w/Wn)^2))</f>
        <v>-14.770914735773173</v>
      </c>
      <c r="C912">
        <f t="shared" si="58"/>
        <v>-6.9003915397135671</v>
      </c>
      <c r="D912">
        <f t="shared" si="59"/>
        <v>-1127.1433778683345</v>
      </c>
      <c r="R912">
        <f t="shared" si="56"/>
        <v>0.91</v>
      </c>
      <c r="S912">
        <f t="shared" si="57"/>
        <v>-6.9003915397135671</v>
      </c>
    </row>
    <row r="913" spans="1:19" x14ac:dyDescent="0.3">
      <c r="A913">
        <v>0.91100000000000003</v>
      </c>
      <c r="B913">
        <f>Uo*COS(2*PI()*Wn*Sheet2!A913) + (Vo/Wn - (Po*(w/Wn))/(K*(1-(w/Wn)^2)))*SIN(2*PI()*Wn*Sheet2!A913) +(Po*SIN(2*PI()*w*Sheet2!A913))/(K*(1-(w/Wn)^2))</f>
        <v>-14.524796742266775</v>
      </c>
      <c r="C913">
        <f t="shared" si="58"/>
        <v>-6.7945852664995261</v>
      </c>
      <c r="D913">
        <f t="shared" si="59"/>
        <v>-1109.8604687024172</v>
      </c>
      <c r="R913">
        <f t="shared" si="56"/>
        <v>0.91100000000000003</v>
      </c>
      <c r="S913">
        <f t="shared" si="57"/>
        <v>-6.7945852664995261</v>
      </c>
    </row>
    <row r="914" spans="1:19" x14ac:dyDescent="0.3">
      <c r="A914">
        <v>0.91200000000000003</v>
      </c>
      <c r="B914">
        <f>Uo*COS(2*PI()*Wn*Sheet2!A914) + (Vo/Wn - (Po*(w/Wn))/(K*(1-(w/Wn)^2)))*SIN(2*PI()*Wn*Sheet2!A914) +(Po*SIN(2*PI()*w*Sheet2!A914))/(K*(1-(w/Wn)^2))</f>
        <v>-14.273933776631544</v>
      </c>
      <c r="C914">
        <f t="shared" si="58"/>
        <v>-6.6867524049877147</v>
      </c>
      <c r="D914">
        <f t="shared" si="59"/>
        <v>-1092.2465267876551</v>
      </c>
      <c r="R914">
        <f t="shared" si="56"/>
        <v>0.91200000000000003</v>
      </c>
      <c r="S914">
        <f t="shared" si="57"/>
        <v>-6.6867524049877147</v>
      </c>
    </row>
    <row r="915" spans="1:19" x14ac:dyDescent="0.3">
      <c r="A915">
        <v>0.91300000000000003</v>
      </c>
      <c r="B915">
        <f>Uo*COS(2*PI()*Wn*Sheet2!A915) + (Vo/Wn - (Po*(w/Wn))/(K*(1-(w/Wn)^2)))*SIN(2*PI()*Wn*Sheet2!A915) +(Po*SIN(2*PI()*w*Sheet2!A915))/(K*(1-(w/Wn)^2))</f>
        <v>-14.018407790980165</v>
      </c>
      <c r="C915">
        <f t="shared" si="58"/>
        <v>-6.5769318099471867</v>
      </c>
      <c r="D915">
        <f t="shared" si="59"/>
        <v>-1074.307898850228</v>
      </c>
      <c r="R915">
        <f t="shared" si="56"/>
        <v>0.91300000000000003</v>
      </c>
      <c r="S915">
        <f t="shared" si="57"/>
        <v>-6.5769318099471867</v>
      </c>
    </row>
    <row r="916" spans="1:19" x14ac:dyDescent="0.3">
      <c r="A916">
        <v>0.91400000000000003</v>
      </c>
      <c r="B916">
        <f>Uo*COS(2*PI()*Wn*Sheet2!A916) + (Vo/Wn - (Po*(w/Wn))/(K*(1-(w/Wn)^2)))*SIN(2*PI()*Wn*Sheet2!A916) +(Po*SIN(2*PI()*w*Sheet2!A916))/(K*(1-(w/Wn)^2))</f>
        <v>-13.758302260744557</v>
      </c>
      <c r="C916">
        <f t="shared" si="58"/>
        <v>-6.4651629147500858</v>
      </c>
      <c r="D916">
        <f t="shared" si="59"/>
        <v>-1056.0510261281472</v>
      </c>
      <c r="R916">
        <f t="shared" si="56"/>
        <v>0.91400000000000003</v>
      </c>
      <c r="S916">
        <f t="shared" si="57"/>
        <v>-6.4651629147500858</v>
      </c>
    </row>
    <row r="917" spans="1:19" x14ac:dyDescent="0.3">
      <c r="A917">
        <v>0.91500000000000004</v>
      </c>
      <c r="B917">
        <f>Uo*COS(2*PI()*Wn*Sheet2!A917) + (Vo/Wn - (Po*(w/Wn))/(K*(1-(w/Wn)^2)))*SIN(2*PI()*Wn*Sheet2!A917) +(Po*SIN(2*PI()*w*Sheet2!A917))/(K*(1-(w/Wn)^2))</f>
        <v>-13.493702157405744</v>
      </c>
      <c r="C917">
        <f t="shared" si="58"/>
        <v>-6.3514857174561747</v>
      </c>
      <c r="D917">
        <f t="shared" si="59"/>
        <v>-1037.4824420982354</v>
      </c>
      <c r="R917">
        <f t="shared" si="56"/>
        <v>0.91500000000000004</v>
      </c>
      <c r="S917">
        <f t="shared" si="57"/>
        <v>-6.3514857174561747</v>
      </c>
    </row>
    <row r="918" spans="1:19" x14ac:dyDescent="0.3">
      <c r="A918">
        <v>0.91600000000000004</v>
      </c>
      <c r="B918">
        <f>Uo*COS(2*PI()*Wn*Sheet2!A918) + (Vo/Wn - (Po*(w/Wn))/(K*(1-(w/Wn)^2)))*SIN(2*PI()*Wn*Sheet2!A918) +(Po*SIN(2*PI()*w*Sheet2!A918))/(K*(1-(w/Wn)^2))</f>
        <v>-13.224693920735513</v>
      </c>
      <c r="C918">
        <f t="shared" si="58"/>
        <v>-6.2359407667383939</v>
      </c>
      <c r="D918">
        <f t="shared" si="59"/>
        <v>-1018.6087701771381</v>
      </c>
      <c r="R918">
        <f t="shared" si="56"/>
        <v>0.91600000000000004</v>
      </c>
      <c r="S918">
        <f t="shared" si="57"/>
        <v>-6.2359407667383939</v>
      </c>
    </row>
    <row r="919" spans="1:19" x14ac:dyDescent="0.3">
      <c r="A919">
        <v>0.91700000000000004</v>
      </c>
      <c r="B919">
        <f>Uo*COS(2*PI()*Wn*Sheet2!A919) + (Vo/Wn - (Po*(w/Wn))/(K*(1-(w/Wn)^2)))*SIN(2*PI()*Wn*Sheet2!A919) +(Po*SIN(2*PI()*w*Sheet2!A919))/(K*(1-(w/Wn)^2))</f>
        <v>-12.951365430558091</v>
      </c>
      <c r="C919">
        <f t="shared" si="58"/>
        <v>-6.1185691476540045</v>
      </c>
      <c r="D919">
        <f t="shared" si="59"/>
        <v>-999.43672139711407</v>
      </c>
      <c r="R919">
        <f t="shared" si="56"/>
        <v>0.91700000000000004</v>
      </c>
      <c r="S919">
        <f t="shared" si="57"/>
        <v>-6.1185691476540045</v>
      </c>
    </row>
    <row r="920" spans="1:19" x14ac:dyDescent="0.3">
      <c r="A920">
        <v>0.91800000000000004</v>
      </c>
      <c r="B920">
        <f>Uo*COS(2*PI()*Wn*Sheet2!A920) + (Vo/Wn - (Po*(w/Wn))/(K*(1-(w/Wn)^2)))*SIN(2*PI()*Wn*Sheet2!A920) +(Po*SIN(2*PI()*w*Sheet2!A920))/(K*(1-(w/Wn)^2))</f>
        <v>-12.67380597804171</v>
      </c>
      <c r="C920">
        <f t="shared" si="58"/>
        <v>-5.9994124672664819</v>
      </c>
      <c r="D920">
        <f t="shared" si="59"/>
        <v>-979.97309205744546</v>
      </c>
      <c r="R920">
        <f t="shared" si="56"/>
        <v>0.91800000000000004</v>
      </c>
      <c r="S920">
        <f t="shared" si="57"/>
        <v>-5.9994124672664819</v>
      </c>
    </row>
    <row r="921" spans="1:19" x14ac:dyDescent="0.3">
      <c r="A921">
        <v>0.91900000000000004</v>
      </c>
      <c r="B921">
        <f>Uo*COS(2*PI()*Wn*Sheet2!A921) + (Vo/Wn - (Po*(w/Wn))/(K*(1-(w/Wn)^2)))*SIN(2*PI()*Wn*Sheet2!A921) +(Po*SIN(2*PI()*w*Sheet2!A921))/(K*(1-(w/Wn)^2))</f>
        <v>-12.39210623652858</v>
      </c>
      <c r="C921">
        <f t="shared" si="58"/>
        <v>-5.8785128401227844</v>
      </c>
      <c r="D921">
        <f t="shared" si="59"/>
        <v>-960.22476135222496</v>
      </c>
      <c r="R921">
        <f t="shared" si="56"/>
        <v>0.91900000000000004</v>
      </c>
      <c r="S921">
        <f t="shared" si="57"/>
        <v>-5.8785128401227844</v>
      </c>
    </row>
    <row r="922" spans="1:19" x14ac:dyDescent="0.3">
      <c r="A922">
        <v>0.92</v>
      </c>
      <c r="B922">
        <f>Uo*COS(2*PI()*Wn*Sheet2!A922) + (Vo/Wn - (Po*(w/Wn))/(K*(1-(w/Wn)^2)))*SIN(2*PI()*Wn*Sheet2!A922) +(Po*SIN(2*PI()*w*Sheet2!A922))/(K*(1-(w/Wn)^2))</f>
        <v>-12.106358231913854</v>
      </c>
      <c r="C922">
        <f t="shared" si="58"/>
        <v>-5.7559128735914182</v>
      </c>
      <c r="D922">
        <f t="shared" si="59"/>
        <v>-940.19868897540368</v>
      </c>
      <c r="R922">
        <f t="shared" si="56"/>
        <v>0.92</v>
      </c>
      <c r="S922">
        <f t="shared" si="57"/>
        <v>-5.7559128735914182</v>
      </c>
    </row>
    <row r="923" spans="1:19" x14ac:dyDescent="0.3">
      <c r="A923">
        <v>0.92100000000000004</v>
      </c>
      <c r="B923">
        <f>Uo*COS(2*PI()*Wn*Sheet2!A923) + (Vo/Wn - (Po*(w/Wn))/(K*(1-(w/Wn)^2)))*SIN(2*PI()*Wn*Sheet2!A923) +(Po*SIN(2*PI()*w*Sheet2!A923))/(K*(1-(w/Wn)^2))</f>
        <v>-11.816655312582437</v>
      </c>
      <c r="C923">
        <f t="shared" si="58"/>
        <v>-5.6316556530660176</v>
      </c>
      <c r="D923">
        <f t="shared" si="59"/>
        <v>-919.90191270387277</v>
      </c>
      <c r="R923">
        <f t="shared" si="56"/>
        <v>0.92100000000000004</v>
      </c>
      <c r="S923">
        <f t="shared" si="57"/>
        <v>-5.6316556530660176</v>
      </c>
    </row>
    <row r="924" spans="1:19" x14ac:dyDescent="0.3">
      <c r="A924">
        <v>0.92200000000000004</v>
      </c>
      <c r="B924">
        <f>Uo*COS(2*PI()*Wn*Sheet2!A924) + (Vo/Wn - (Po*(w/Wn))/(K*(1-(w/Wn)^2)))*SIN(2*PI()*Wn*Sheet2!A924) +(Po*SIN(2*PI()*w*Sheet2!A924))/(K*(1-(w/Wn)^2))</f>
        <v>-11.523092118914084</v>
      </c>
      <c r="C924">
        <f t="shared" si="58"/>
        <v>-5.5057847270397398</v>
      </c>
      <c r="D924">
        <f t="shared" si="59"/>
        <v>-899.34154595944267</v>
      </c>
      <c r="R924">
        <f t="shared" si="56"/>
        <v>0.92200000000000004</v>
      </c>
      <c r="S924">
        <f t="shared" si="57"/>
        <v>-5.5057847270397398</v>
      </c>
    </row>
    <row r="925" spans="1:19" x14ac:dyDescent="0.3">
      <c r="A925">
        <v>0.92300000000000004</v>
      </c>
      <c r="B925">
        <f>Uo*COS(2*PI()*Wn*Sheet2!A925) + (Vo/Wn - (Po*(w/Wn))/(K*(1-(w/Wn)^2)))*SIN(2*PI()*Wn*Sheet2!A925) +(Po*SIN(2*PI()*w*Sheet2!A925))/(K*(1-(w/Wn)^2))</f>
        <v>-11.22576455236586</v>
      </c>
      <c r="C925">
        <f t="shared" si="58"/>
        <v>-5.3783440920552552</v>
      </c>
      <c r="D925">
        <f t="shared" si="59"/>
        <v>-878.52477535050127</v>
      </c>
      <c r="R925">
        <f t="shared" si="56"/>
        <v>0.92300000000000004</v>
      </c>
      <c r="S925">
        <f t="shared" si="57"/>
        <v>-5.3783440920552552</v>
      </c>
    </row>
    <row r="926" spans="1:19" x14ac:dyDescent="0.3">
      <c r="A926">
        <v>0.92400000000000004</v>
      </c>
      <c r="B926">
        <f>Uo*COS(2*PI()*Wn*Sheet2!A926) + (Vo/Wn - (Po*(w/Wn))/(K*(1-(w/Wn)^2)))*SIN(2*PI()*Wn*Sheet2!A926) +(Po*SIN(2*PI()*w*Sheet2!A926))/(K*(1-(w/Wn)^2))</f>
        <v>-10.924769744143209</v>
      </c>
      <c r="C926">
        <f t="shared" si="58"/>
        <v>-5.2493781775358839</v>
      </c>
      <c r="D926">
        <f t="shared" si="59"/>
        <v>-857.45885819425871</v>
      </c>
      <c r="R926">
        <f t="shared" si="56"/>
        <v>0.92400000000000004</v>
      </c>
      <c r="S926">
        <f t="shared" si="57"/>
        <v>-5.2493781775358839</v>
      </c>
    </row>
    <row r="927" spans="1:19" x14ac:dyDescent="0.3">
      <c r="A927">
        <v>0.92500000000000004</v>
      </c>
      <c r="B927">
        <f>Uo*COS(2*PI()*Wn*Sheet2!A927) + (Vo/Wn - (Po*(w/Wn))/(K*(1-(w/Wn)^2)))*SIN(2*PI()*Wn*Sheet2!A927) +(Po*SIN(2*PI()*w*Sheet2!A927))/(K*(1-(w/Wn)^2))</f>
        <v>-10.620206023468935</v>
      </c>
      <c r="C927">
        <f t="shared" si="58"/>
        <v>-5.1189318305027216</v>
      </c>
      <c r="D927">
        <f t="shared" si="59"/>
        <v>-836.15112002036847</v>
      </c>
      <c r="R927">
        <f t="shared" si="56"/>
        <v>0.92500000000000004</v>
      </c>
      <c r="S927">
        <f t="shared" si="57"/>
        <v>-5.1189318305027216</v>
      </c>
    </row>
    <row r="928" spans="1:19" x14ac:dyDescent="0.3">
      <c r="A928">
        <v>0.92600000000000005</v>
      </c>
      <c r="B928">
        <f>Uo*COS(2*PI()*Wn*Sheet2!A928) + (Vo/Wn - (Po*(w/Wn))/(K*(1-(w/Wn)^2)))*SIN(2*PI()*Wn*Sheet2!A928) +(Po*SIN(2*PI()*w*Sheet2!A928))/(K*(1-(w/Wn)^2))</f>
        <v>-10.312172885461177</v>
      </c>
      <c r="C928">
        <f t="shared" si="58"/>
        <v>-4.9870503001831965</v>
      </c>
      <c r="D928">
        <f t="shared" si="59"/>
        <v>-814.60895205681481</v>
      </c>
      <c r="R928">
        <f t="shared" si="56"/>
        <v>0.92600000000000005</v>
      </c>
      <c r="S928">
        <f t="shared" si="57"/>
        <v>-4.9870503001831965</v>
      </c>
    </row>
    <row r="929" spans="1:19" x14ac:dyDescent="0.3">
      <c r="A929">
        <v>0.92700000000000005</v>
      </c>
      <c r="B929">
        <f>Uo*COS(2*PI()*Wn*Sheet2!A929) + (Vo/Wn - (Po*(w/Wn))/(K*(1-(w/Wn)^2)))*SIN(2*PI()*Wn*Sheet2!A929) +(Po*SIN(2*PI()*w*Sheet2!A929))/(K*(1-(w/Wn)^2))</f>
        <v>-10.0007709586299</v>
      </c>
      <c r="C929">
        <f t="shared" si="58"/>
        <v>-4.85377922251591</v>
      </c>
      <c r="D929">
        <f t="shared" si="59"/>
        <v>-792.83980869885772</v>
      </c>
      <c r="R929">
        <f t="shared" si="56"/>
        <v>0.92700000000000005</v>
      </c>
      <c r="S929">
        <f t="shared" si="57"/>
        <v>-4.85377922251591</v>
      </c>
    </row>
    <row r="930" spans="1:19" x14ac:dyDescent="0.3">
      <c r="A930">
        <v>0.92800000000000005</v>
      </c>
      <c r="B930">
        <f>Uo*COS(2*PI()*Wn*Sheet2!A930) + (Vo/Wn - (Po*(w/Wn))/(K*(1-(w/Wn)^2)))*SIN(2*PI()*Wn*Sheet2!A930) +(Po*SIN(2*PI()*w*Sheet2!A930))/(K*(1-(w/Wn)^2))</f>
        <v>-9.6861019720036783</v>
      </c>
      <c r="C930">
        <f t="shared" si="58"/>
        <v>-4.7191646045574505</v>
      </c>
      <c r="D930">
        <f t="shared" si="59"/>
        <v>-770.85120496196726</v>
      </c>
      <c r="R930">
        <f t="shared" si="56"/>
        <v>0.92800000000000005</v>
      </c>
      <c r="S930">
        <f t="shared" si="57"/>
        <v>-4.7191646045574505</v>
      </c>
    </row>
    <row r="931" spans="1:19" x14ac:dyDescent="0.3">
      <c r="A931">
        <v>0.92900000000000005</v>
      </c>
      <c r="B931">
        <f>Uo*COS(2*PI()*Wn*Sheet2!A931) + (Vo/Wn - (Po*(w/Wn))/(K*(1-(w/Wn)^2)))*SIN(2*PI()*Wn*Sheet2!A931) +(Po*SIN(2*PI()*w*Sheet2!A931))/(K*(1-(w/Wn)^2))</f>
        <v>-9.3682687218969498</v>
      </c>
      <c r="C931">
        <f t="shared" si="58"/>
        <v>-4.5832528087962627</v>
      </c>
      <c r="D931">
        <f t="shared" si="59"/>
        <v>-748.65071391957417</v>
      </c>
      <c r="R931">
        <f t="shared" si="56"/>
        <v>0.92900000000000005</v>
      </c>
      <c r="S931">
        <f t="shared" si="57"/>
        <v>-4.5832528087962627</v>
      </c>
    </row>
    <row r="932" spans="1:19" x14ac:dyDescent="0.3">
      <c r="A932">
        <v>0.93</v>
      </c>
      <c r="B932">
        <f>Uo*COS(2*PI()*Wn*Sheet2!A932) + (Vo/Wn - (Po*(w/Wn))/(K*(1-(w/Wn)^2)))*SIN(2*PI()*Wn*Sheet2!A932) +(Po*SIN(2*PI()*w*Sheet2!A932))/(K*(1-(w/Wn)^2))</f>
        <v>-9.0473750383280827</v>
      </c>
      <c r="C932">
        <f t="shared" si="58"/>
        <v>-4.446090537378578</v>
      </c>
      <c r="D932">
        <f t="shared" si="59"/>
        <v>-726.24596412645735</v>
      </c>
      <c r="R932">
        <f t="shared" si="56"/>
        <v>0.93</v>
      </c>
      <c r="S932">
        <f t="shared" si="57"/>
        <v>-4.446090537378578</v>
      </c>
    </row>
    <row r="933" spans="1:19" x14ac:dyDescent="0.3">
      <c r="A933">
        <v>0.93100000000000005</v>
      </c>
      <c r="B933">
        <f>Uo*COS(2*PI()*Wn*Sheet2!A933) + (Vo/Wn - (Po*(w/Wn))/(K*(1-(w/Wn)^2)))*SIN(2*PI()*Wn*Sheet2!A933) +(Po*SIN(2*PI()*w*Sheet2!A933))/(K*(1-(w/Wn)^2))</f>
        <v>-8.7235257511003326</v>
      </c>
      <c r="C933">
        <f t="shared" si="58"/>
        <v>-4.3077248162522483</v>
      </c>
      <c r="D933">
        <f t="shared" si="59"/>
        <v>-703.64463702872092</v>
      </c>
      <c r="R933">
        <f t="shared" si="56"/>
        <v>0.93100000000000005</v>
      </c>
      <c r="S933">
        <f t="shared" si="57"/>
        <v>-4.3077248162522483</v>
      </c>
    </row>
    <row r="934" spans="1:19" x14ac:dyDescent="0.3">
      <c r="A934">
        <v>0.93200000000000005</v>
      </c>
      <c r="B934">
        <f>Uo*COS(2*PI()*Wn*Sheet2!A934) + (Vo/Wn - (Po*(w/Wn))/(K*(1-(w/Wn)^2)))*SIN(2*PI()*Wn*Sheet2!A934) +(Po*SIN(2*PI()*w*Sheet2!A934))/(K*(1-(w/Wn)^2))</f>
        <v>-8.3968266555558415</v>
      </c>
      <c r="C934">
        <f t="shared" si="58"/>
        <v>-4.1682029792333655</v>
      </c>
      <c r="D934">
        <f t="shared" si="59"/>
        <v>-680.85446436115853</v>
      </c>
      <c r="R934">
        <f t="shared" si="56"/>
        <v>0.93200000000000005</v>
      </c>
      <c r="S934">
        <f t="shared" si="57"/>
        <v>-4.1682029792333655</v>
      </c>
    </row>
    <row r="935" spans="1:19" x14ac:dyDescent="0.3">
      <c r="A935">
        <v>0.93300000000000005</v>
      </c>
      <c r="B935">
        <f>Uo*COS(2*PI()*Wn*Sheet2!A935) + (Vo/Wn - (Po*(w/Wn))/(K*(1-(w/Wn)^2)))*SIN(2*PI()*Wn*Sheet2!A935) +(Po*SIN(2*PI()*w*Sheet2!A935))/(K*(1-(w/Wn)^2))</f>
        <v>-8.0673844780145902</v>
      </c>
      <c r="C935">
        <f t="shared" si="58"/>
        <v>-4.027572652001326</v>
      </c>
      <c r="D935">
        <f t="shared" si="59"/>
        <v>-657.88322553292971</v>
      </c>
      <c r="R935">
        <f t="shared" si="56"/>
        <v>0.93300000000000005</v>
      </c>
      <c r="S935">
        <f t="shared" si="57"/>
        <v>-4.027572652001326</v>
      </c>
    </row>
    <row r="936" spans="1:19" x14ac:dyDescent="0.3">
      <c r="A936">
        <v>0.93400000000000005</v>
      </c>
      <c r="B936">
        <f>Uo*COS(2*PI()*Wn*Sheet2!A936) + (Vo/Wn - (Po*(w/Wn))/(K*(1-(w/Wn)^2)))*SIN(2*PI()*Wn*Sheet2!A936) +(Po*SIN(2*PI()*w*Sheet2!A936))/(K*(1-(w/Wn)^2))</f>
        <v>-7.735306840908569</v>
      </c>
      <c r="C936">
        <f t="shared" si="58"/>
        <v>-3.8858817360272804</v>
      </c>
      <c r="D936">
        <f t="shared" si="59"/>
        <v>-634.73874500235479</v>
      </c>
      <c r="R936">
        <f t="shared" si="56"/>
        <v>0.93400000000000005</v>
      </c>
      <c r="S936">
        <f t="shared" si="57"/>
        <v>-3.8858817360272804</v>
      </c>
    </row>
    <row r="937" spans="1:19" x14ac:dyDescent="0.3">
      <c r="A937">
        <v>0.93500000000000005</v>
      </c>
      <c r="B937">
        <f>Uo*COS(2*PI()*Wn*Sheet2!A937) + (Vo/Wn - (Po*(w/Wn))/(K*(1-(w/Wn)^2)))*SIN(2*PI()*Wn*Sheet2!A937) +(Po*SIN(2*PI()*w*Sheet2!A937))/(K*(1-(w/Wn)^2))</f>
        <v>-7.400702227623853</v>
      </c>
      <c r="C937">
        <f t="shared" si="58"/>
        <v>-3.7431783924418451</v>
      </c>
      <c r="D937">
        <f t="shared" si="59"/>
        <v>-611.4288896417894</v>
      </c>
      <c r="R937">
        <f t="shared" si="56"/>
        <v>0.93500000000000005</v>
      </c>
      <c r="S937">
        <f t="shared" si="57"/>
        <v>-3.7431783924418451</v>
      </c>
    </row>
    <row r="938" spans="1:19" x14ac:dyDescent="0.3">
      <c r="A938">
        <v>0.93600000000000005</v>
      </c>
      <c r="B938">
        <f>Uo*COS(2*PI()*Wn*Sheet2!A938) + (Vo/Wn - (Po*(w/Wn))/(K*(1-(w/Wn)^2)))*SIN(2*PI()*Wn*Sheet2!A938) +(Po*SIN(2*PI()*w*Sheet2!A938))/(K*(1-(w/Wn)^2))</f>
        <v>-7.0636799470610363</v>
      </c>
      <c r="C938">
        <f t="shared" si="58"/>
        <v>-3.5995110258470504</v>
      </c>
      <c r="D938">
        <f t="shared" si="59"/>
        <v>-587.96156609338868</v>
      </c>
      <c r="R938">
        <f t="shared" si="56"/>
        <v>0.93600000000000005</v>
      </c>
      <c r="S938">
        <f t="shared" si="57"/>
        <v>-3.5995110258470504</v>
      </c>
    </row>
    <row r="939" spans="1:19" x14ac:dyDescent="0.3">
      <c r="A939">
        <v>0.93700000000000006</v>
      </c>
      <c r="B939">
        <f>Uo*COS(2*PI()*Wn*Sheet2!A939) + (Vo/Wn - (Po*(w/Wn))/(K*(1-(w/Wn)^2)))*SIN(2*PI()*Wn*Sheet2!A939) +(Po*SIN(2*PI()*w*Sheet2!A939))/(K*(1-(w/Wn)^2))</f>
        <v>-6.7243500979263793</v>
      </c>
      <c r="C939">
        <f t="shared" si="58"/>
        <v>-3.4549282680782052</v>
      </c>
      <c r="D939">
        <f t="shared" si="59"/>
        <v>-564.34471811669255</v>
      </c>
      <c r="R939">
        <f t="shared" si="56"/>
        <v>0.93700000000000006</v>
      </c>
      <c r="S939">
        <f t="shared" si="57"/>
        <v>-3.4549282680782052</v>
      </c>
    </row>
    <row r="940" spans="1:19" x14ac:dyDescent="0.3">
      <c r="A940">
        <v>0.93799999999999994</v>
      </c>
      <c r="B940">
        <f>Uo*COS(2*PI()*Wn*Sheet2!A940) + (Vo/Wn - (Po*(w/Wn))/(K*(1-(w/Wn)^2)))*SIN(2*PI()*Wn*Sheet2!A940) +(Po*SIN(2*PI()*w*Sheet2!A940))/(K*(1-(w/Wn)^2))</f>
        <v>-6.3828235327642719</v>
      </c>
      <c r="C940">
        <f t="shared" si="58"/>
        <v>-3.3094789619206533</v>
      </c>
      <c r="D940">
        <f t="shared" si="59"/>
        <v>-540.58632392884124</v>
      </c>
      <c r="R940">
        <f t="shared" si="56"/>
        <v>0.93799999999999994</v>
      </c>
      <c r="S940">
        <f t="shared" si="57"/>
        <v>-3.3094789619206533</v>
      </c>
    </row>
    <row r="941" spans="1:19" x14ac:dyDescent="0.3">
      <c r="A941">
        <v>0.93899999999999995</v>
      </c>
      <c r="B941">
        <f>Uo*COS(2*PI()*Wn*Sheet2!A941) + (Vo/Wn - (Po*(w/Wn))/(K*(1-(w/Wn)^2)))*SIN(2*PI()*Wn*Sheet2!A941) +(Po*SIN(2*PI()*w*Sheet2!A941))/(K*(1-(w/Wn)^2))</f>
        <v>-6.0392118217441109</v>
      </c>
      <c r="C941">
        <f t="shared" si="58"/>
        <v>-3.1632121447873609</v>
      </c>
      <c r="D941">
        <f t="shared" si="59"/>
        <v>-516.6943935383938</v>
      </c>
      <c r="R941">
        <f t="shared" si="56"/>
        <v>0.93899999999999995</v>
      </c>
      <c r="S941">
        <f t="shared" si="57"/>
        <v>-3.1632121447873609</v>
      </c>
    </row>
    <row r="942" spans="1:19" x14ac:dyDescent="0.3">
      <c r="A942">
        <v>0.94</v>
      </c>
      <c r="B942">
        <f>Uo*COS(2*PI()*Wn*Sheet2!A942) + (Vo/Wn - (Po*(w/Wn))/(K*(1-(w/Wn)^2)))*SIN(2*PI()*Wn*Sheet2!A942) +(Po*SIN(2*PI()*w*Sheet2!A942))/(K*(1-(w/Wn)^2))</f>
        <v>-5.6936272162123913</v>
      </c>
      <c r="C942">
        <f t="shared" si="58"/>
        <v>-3.0161770323623065</v>
      </c>
      <c r="D942">
        <f t="shared" si="59"/>
        <v>-492.67696607355964</v>
      </c>
      <c r="R942">
        <f t="shared" si="56"/>
        <v>0.94</v>
      </c>
      <c r="S942">
        <f t="shared" si="57"/>
        <v>-3.0161770323623065</v>
      </c>
    </row>
    <row r="943" spans="1:19" x14ac:dyDescent="0.3">
      <c r="A943">
        <v>0.94099999999999995</v>
      </c>
      <c r="B943">
        <f>Uo*COS(2*PI()*Wn*Sheet2!A943) + (Vo/Wn - (Po*(w/Wn))/(K*(1-(w/Wn)^2)))*SIN(2*PI()*Wn*Sheet2!A943) +(Po*SIN(2*PI()*w*Sheet2!A943))/(K*(1-(w/Wn)^2))</f>
        <v>-5.3461826120223597</v>
      </c>
      <c r="C943">
        <f t="shared" si="58"/>
        <v>-2.8684230022152577</v>
      </c>
      <c r="D943">
        <f t="shared" si="59"/>
        <v>-468.54210710575717</v>
      </c>
      <c r="R943">
        <f t="shared" si="56"/>
        <v>0.94099999999999995</v>
      </c>
      <c r="S943">
        <f t="shared" si="57"/>
        <v>-2.8684230022152577</v>
      </c>
    </row>
    <row r="944" spans="1:19" x14ac:dyDescent="0.3">
      <c r="A944">
        <v>0.94199999999999995</v>
      </c>
      <c r="B944">
        <f>Uo*COS(2*PI()*Wn*Sheet2!A944) + (Vo/Wn - (Po*(w/Wn))/(K*(1-(w/Wn)^2)))*SIN(2*PI()*Wn*Sheet2!A944) +(Po*SIN(2*PI()*w*Sheet2!A944))/(K*(1-(w/Wn)^2))</f>
        <v>-4.9969915126530271</v>
      </c>
      <c r="C944">
        <f t="shared" si="58"/>
        <v>-2.7199995773932808</v>
      </c>
      <c r="D944">
        <f t="shared" si="59"/>
        <v>-444.29790596937147</v>
      </c>
      <c r="R944">
        <f t="shared" si="56"/>
        <v>0.94199999999999995</v>
      </c>
      <c r="S944">
        <f t="shared" si="57"/>
        <v>-2.7199995773932808</v>
      </c>
    </row>
    <row r="945" spans="1:19" x14ac:dyDescent="0.3">
      <c r="A945">
        <v>0.94299999999999995</v>
      </c>
      <c r="B945">
        <f>Uo*COS(2*PI()*Wn*Sheet2!A945) + (Vo/Wn - (Po*(w/Wn))/(K*(1-(w/Wn)^2)))*SIN(2*PI()*Wn*Sheet2!A945) +(Po*SIN(2*PI()*w*Sheet2!A945))/(K*(1-(w/Wn)^2))</f>
        <v>-4.6461679921300423</v>
      </c>
      <c r="C945">
        <f t="shared" si="58"/>
        <v>-2.5709564099945208</v>
      </c>
      <c r="D945">
        <f t="shared" si="59"/>
        <v>-419.95247307861592</v>
      </c>
      <c r="R945">
        <f t="shared" si="56"/>
        <v>0.94299999999999995</v>
      </c>
      <c r="S945">
        <f t="shared" si="57"/>
        <v>-2.5709564099945208</v>
      </c>
    </row>
    <row r="946" spans="1:19" x14ac:dyDescent="0.3">
      <c r="A946">
        <v>0.94399999999999995</v>
      </c>
      <c r="B946">
        <f>Uo*COS(2*PI()*Wn*Sheet2!A946) + (Vo/Wn - (Po*(w/Wn))/(K*(1-(w/Wn)^2)))*SIN(2*PI()*Wn*Sheet2!A946) +(Po*SIN(2*PI()*w*Sheet2!A946))/(K*(1-(w/Wn)^2))</f>
        <v>-4.2938266577594888</v>
      </c>
      <c r="C946">
        <f t="shared" si="58"/>
        <v>-2.4213432647292539</v>
      </c>
      <c r="D946">
        <f t="shared" si="59"/>
        <v>-395.51393724231485</v>
      </c>
      <c r="R946">
        <f t="shared" si="56"/>
        <v>0.94399999999999995</v>
      </c>
      <c r="S946">
        <f t="shared" si="57"/>
        <v>-2.4213432647292539</v>
      </c>
    </row>
    <row r="947" spans="1:19" x14ac:dyDescent="0.3">
      <c r="A947">
        <v>0.94499999999999995</v>
      </c>
      <c r="B947">
        <f>Uo*COS(2*PI()*Wn*Sheet2!A947) + (Vo/Wn - (Po*(w/Wn))/(K*(1-(w/Wn)^2)))*SIN(2*PI()*Wn*Sheet2!A947) +(Po*SIN(2*PI()*w*Sheet2!A947))/(K*(1-(w/Wn)^2))</f>
        <v>-3.9400826126881512</v>
      </c>
      <c r="C947">
        <f t="shared" si="58"/>
        <v>-2.2712100024741533</v>
      </c>
      <c r="D947">
        <f t="shared" si="59"/>
        <v>-370.99044297757769</v>
      </c>
      <c r="R947">
        <f t="shared" si="56"/>
        <v>0.94499999999999995</v>
      </c>
      <c r="S947">
        <f t="shared" si="57"/>
        <v>-2.2712100024741533</v>
      </c>
    </row>
    <row r="948" spans="1:19" x14ac:dyDescent="0.3">
      <c r="A948">
        <v>0.94599999999999995</v>
      </c>
      <c r="B948">
        <f>Uo*COS(2*PI()*Wn*Sheet2!A948) + (Vo/Wn - (Po*(w/Wn))/(K*(1-(w/Wn)^2)))*SIN(2*PI()*Wn*Sheet2!A948) +(Po*SIN(2*PI()*w*Sheet2!A948))/(K*(1-(w/Wn)^2))</f>
        <v>-3.585051418301386</v>
      </c>
      <c r="C948">
        <f t="shared" si="58"/>
        <v>-2.1206065638246927</v>
      </c>
      <c r="D948">
        <f t="shared" si="59"/>
        <v>-346.39014782316883</v>
      </c>
      <c r="R948">
        <f t="shared" si="56"/>
        <v>0.94599999999999995</v>
      </c>
      <c r="S948">
        <f t="shared" si="57"/>
        <v>-2.1206065638246927</v>
      </c>
    </row>
    <row r="949" spans="1:19" x14ac:dyDescent="0.3">
      <c r="A949">
        <v>0.94699999999999995</v>
      </c>
      <c r="B949">
        <f>Uo*COS(2*PI()*Wn*Sheet2!A949) + (Vo/Wn - (Po*(w/Wn))/(K*(1-(w/Wn)^2)))*SIN(2*PI()*Wn*Sheet2!A949) +(Po*SIN(2*PI()*w*Sheet2!A949))/(K*(1-(w/Wn)^2))</f>
        <v>-3.2288490564717218</v>
      </c>
      <c r="C949">
        <f t="shared" si="58"/>
        <v>-1.969582952651405</v>
      </c>
      <c r="D949">
        <f t="shared" si="59"/>
        <v>-321.72121965350738</v>
      </c>
      <c r="R949">
        <f t="shared" si="56"/>
        <v>0.94699999999999995</v>
      </c>
      <c r="S949">
        <f t="shared" si="57"/>
        <v>-1.969582952651405</v>
      </c>
    </row>
    <row r="950" spans="1:19" x14ac:dyDescent="0.3">
      <c r="A950">
        <v>0.94799999999999995</v>
      </c>
      <c r="B950">
        <f>Uo*COS(2*PI()*Wn*Sheet2!A950) + (Vo/Wn - (Po*(w/Wn))/(K*(1-(w/Wn)^2)))*SIN(2*PI()*Wn*Sheet2!A950) +(Po*SIN(2*PI()*w*Sheet2!A950))/(K*(1-(w/Wn)^2))</f>
        <v>-2.871591891669389</v>
      </c>
      <c r="C950">
        <f t="shared" si="58"/>
        <v>-1.8181892196648946</v>
      </c>
      <c r="D950">
        <f t="shared" si="59"/>
        <v>-296.99183399409662</v>
      </c>
      <c r="R950">
        <f t="shared" si="56"/>
        <v>0.94799999999999995</v>
      </c>
      <c r="S950">
        <f t="shared" si="57"/>
        <v>-1.8181892196648946</v>
      </c>
    </row>
    <row r="951" spans="1:19" x14ac:dyDescent="0.3">
      <c r="A951">
        <v>0.94899999999999995</v>
      </c>
      <c r="B951">
        <f>Uo*COS(2*PI()*Wn*Sheet2!A951) + (Vo/Wn - (Po*(w/Wn))/(K*(1-(w/Wn)^2)))*SIN(2*PI()*Wn*Sheet2!A951) +(Po*SIN(2*PI()*w*Sheet2!A951))/(K*(1-(w/Wn)^2))</f>
        <v>-2.5133966329484858</v>
      </c>
      <c r="C951">
        <f t="shared" si="58"/>
        <v>-1.6664754459954991</v>
      </c>
      <c r="D951">
        <f t="shared" si="59"/>
        <v>-272.21017133934635</v>
      </c>
      <c r="R951">
        <f t="shared" si="56"/>
        <v>0.94899999999999995</v>
      </c>
      <c r="S951">
        <f t="shared" si="57"/>
        <v>-1.6664754459954991</v>
      </c>
    </row>
    <row r="952" spans="1:19" x14ac:dyDescent="0.3">
      <c r="A952">
        <v>0.95</v>
      </c>
      <c r="B952">
        <f>Uo*COS(2*PI()*Wn*Sheet2!A952) + (Vo/Wn - (Po*(w/Wn))/(K*(1-(w/Wn)^2)))*SIN(2*PI()*Wn*Sheet2!A952) +(Po*SIN(2*PI()*w*Sheet2!A952))/(K*(1-(w/Wn)^2))</f>
        <v>-2.1543802958205909</v>
      </c>
      <c r="C952">
        <f t="shared" si="58"/>
        <v>-1.514491726792685</v>
      </c>
      <c r="D952">
        <f t="shared" si="59"/>
        <v>-247.38441447361882</v>
      </c>
      <c r="R952">
        <f t="shared" si="56"/>
        <v>0.95</v>
      </c>
      <c r="S952">
        <f t="shared" si="57"/>
        <v>-1.514491726792685</v>
      </c>
    </row>
    <row r="953" spans="1:19" x14ac:dyDescent="0.3">
      <c r="A953">
        <v>0.95099999999999996</v>
      </c>
      <c r="B953">
        <f>Uo*COS(2*PI()*Wn*Sheet2!A953) + (Vo/Wn - (Po*(w/Wn))/(K*(1-(w/Wn)^2)))*SIN(2*PI()*Wn*Sheet2!A953) +(Po*SIN(2*PI()*w*Sheet2!A953))/(K*(1-(w/Wn)^2))</f>
        <v>-1.7946601640276163</v>
      </c>
      <c r="C953">
        <f t="shared" si="58"/>
        <v>-1.362288154849203</v>
      </c>
      <c r="D953">
        <f t="shared" si="59"/>
        <v>-222.52274579631884</v>
      </c>
      <c r="R953">
        <f t="shared" si="56"/>
        <v>0.95099999999999996</v>
      </c>
      <c r="S953">
        <f t="shared" si="57"/>
        <v>-1.362288154849203</v>
      </c>
    </row>
    <row r="954" spans="1:19" x14ac:dyDescent="0.3">
      <c r="A954">
        <v>0.95199999999999996</v>
      </c>
      <c r="B954">
        <f>Uo*COS(2*PI()*Wn*Sheet2!A954) + (Vo/Wn - (Po*(w/Wn))/(K*(1-(w/Wn)^2)))*SIN(2*PI()*Wn*Sheet2!A954) +(Po*SIN(2*PI()*w*Sheet2!A954))/(K*(1-(w/Wn)^2))</f>
        <v>-1.4343537512277442</v>
      </c>
      <c r="C954">
        <f t="shared" si="58"/>
        <v>-1.2099148042558963</v>
      </c>
      <c r="D954">
        <f t="shared" si="59"/>
        <v>-197.63334465199119</v>
      </c>
      <c r="R954">
        <f t="shared" si="56"/>
        <v>0.95199999999999996</v>
      </c>
      <c r="S954">
        <f t="shared" si="57"/>
        <v>-1.2099148042558963</v>
      </c>
    </row>
    <row r="955" spans="1:19" x14ac:dyDescent="0.3">
      <c r="A955">
        <v>0.95299999999999996</v>
      </c>
      <c r="B955">
        <f>Uo*COS(2*PI()*Wn*Sheet2!A955) + (Vo/Wn - (Po*(w/Wn))/(K*(1-(w/Wn)^2)))*SIN(2*PI()*Wn*Sheet2!A955) +(Po*SIN(2*PI()*w*Sheet2!A955))/(K*(1-(w/Wn)^2))</f>
        <v>-1.0735787626058306</v>
      </c>
      <c r="C955">
        <f t="shared" si="58"/>
        <v>-1.0574217140919402</v>
      </c>
      <c r="D955">
        <f t="shared" si="59"/>
        <v>-172.72438466620514</v>
      </c>
      <c r="R955">
        <f t="shared" si="56"/>
        <v>0.95299999999999996</v>
      </c>
      <c r="S955">
        <f t="shared" si="57"/>
        <v>-1.0574217140919402</v>
      </c>
    </row>
    <row r="956" spans="1:19" x14ac:dyDescent="0.3">
      <c r="A956">
        <v>0.95399999999999996</v>
      </c>
      <c r="B956">
        <f>Uo*COS(2*PI()*Wn*Sheet2!A956) + (Vo/Wn - (Po*(w/Wn))/(K*(1-(w/Wn)^2)))*SIN(2*PI()*Wn*Sheet2!A956) +(Po*SIN(2*PI()*w*Sheet2!A956))/(K*(1-(w/Wn)^2))</f>
        <v>-0.71245305642166579</v>
      </c>
      <c r="C956">
        <f t="shared" si="58"/>
        <v>-0.9048588721561458</v>
      </c>
      <c r="D956">
        <f t="shared" si="59"/>
        <v>-147.80403108814684</v>
      </c>
      <c r="R956">
        <f t="shared" si="56"/>
        <v>0.95399999999999996</v>
      </c>
      <c r="S956">
        <f t="shared" si="57"/>
        <v>-0.9048588721561458</v>
      </c>
    </row>
    <row r="957" spans="1:19" x14ac:dyDescent="0.3">
      <c r="A957">
        <v>0.95499999999999996</v>
      </c>
      <c r="B957">
        <f>Uo*COS(2*PI()*Wn*Sheet2!A957) + (Vo/Wn - (Po*(w/Wn))/(K*(1-(w/Wn)^2)))*SIN(2*PI()*Wn*Sheet2!A957) +(Po*SIN(2*PI()*w*Sheet2!A957))/(K*(1-(w/Wn)^2))</f>
        <v>-0.35109460550751881</v>
      </c>
      <c r="C957">
        <f t="shared" si="58"/>
        <v>-0.75227619874407881</v>
      </c>
      <c r="D957">
        <f t="shared" si="59"/>
        <v>-122.88043814069549</v>
      </c>
      <c r="R957">
        <f t="shared" si="56"/>
        <v>0.95499999999999996</v>
      </c>
      <c r="S957">
        <f t="shared" si="57"/>
        <v>-0.75227619874407881</v>
      </c>
    </row>
    <row r="958" spans="1:19" x14ac:dyDescent="0.3">
      <c r="A958">
        <v>0.95599999999999996</v>
      </c>
      <c r="B958">
        <f>Uo*COS(2*PI()*Wn*Sheet2!A958) + (Vo/Wn - (Po*(w/Wn))/(K*(1-(w/Wn)^2)))*SIN(2*PI()*Wn*Sheet2!A958) +(Po*SIN(2*PI()*w*Sheet2!A958))/(K*(1-(w/Wn)^2))</f>
        <v>1.0378541271036863E-2</v>
      </c>
      <c r="C958">
        <f t="shared" si="58"/>
        <v>-0.59972353047680615</v>
      </c>
      <c r="D958">
        <f t="shared" si="59"/>
        <v>-97.961746378932261</v>
      </c>
      <c r="R958">
        <f t="shared" si="56"/>
        <v>0.95599999999999996</v>
      </c>
      <c r="S958">
        <f t="shared" si="57"/>
        <v>-0.59972353047680615</v>
      </c>
    </row>
    <row r="959" spans="1:19" x14ac:dyDescent="0.3">
      <c r="A959">
        <v>0.95699999999999996</v>
      </c>
      <c r="B959">
        <f>Uo*COS(2*PI()*Wn*Sheet2!A959) + (Vo/Wn - (Po*(w/Wn))/(K*(1-(w/Wn)^2)))*SIN(2*PI()*Wn*Sheet2!A959) +(Po*SIN(2*PI()*w*Sheet2!A959))/(K*(1-(w/Wn)^2))</f>
        <v>0.37184829757956328</v>
      </c>
      <c r="C959">
        <f t="shared" si="58"/>
        <v>-0.44725060418597423</v>
      </c>
      <c r="D959">
        <f t="shared" si="59"/>
        <v>-73.056080057851048</v>
      </c>
      <c r="R959">
        <f t="shared" si="56"/>
        <v>0.95699999999999996</v>
      </c>
      <c r="S959">
        <f t="shared" si="57"/>
        <v>-0.44725060418597423</v>
      </c>
    </row>
    <row r="960" spans="1:19" x14ac:dyDescent="0.3">
      <c r="A960">
        <v>0.95799999999999996</v>
      </c>
      <c r="B960">
        <f>Uo*COS(2*PI()*Wn*Sheet2!A960) + (Vo/Wn - (Po*(w/Wn))/(K*(1-(w/Wn)^2)))*SIN(2*PI()*Wn*Sheet2!A960) +(Po*SIN(2*PI()*w*Sheet2!A960))/(K*(1-(w/Wn)^2))</f>
        <v>0.73319657819101036</v>
      </c>
      <c r="C960">
        <f t="shared" si="58"/>
        <v>-0.29490704086073855</v>
      </c>
      <c r="D960">
        <f t="shared" si="59"/>
        <v>-48.171544510172204</v>
      </c>
      <c r="R960">
        <f t="shared" si="56"/>
        <v>0.95799999999999996</v>
      </c>
      <c r="S960">
        <f t="shared" si="57"/>
        <v>-0.29490704086073855</v>
      </c>
    </row>
    <row r="961" spans="1:19" x14ac:dyDescent="0.3">
      <c r="A961">
        <v>0.95899999999999996</v>
      </c>
      <c r="B961">
        <f>Uo*COS(2*PI()*Wn*Sheet2!A961) + (Vo/Wn - (Po*(w/Wn))/(K*(1-(w/Wn)^2)))*SIN(2*PI()*Wn*Sheet2!A961) +(Po*SIN(2*PI()*w*Sheet2!A961))/(K*(1-(w/Wn)^2))</f>
        <v>1.0943053375623186</v>
      </c>
      <c r="C961">
        <f t="shared" si="58"/>
        <v>-0.14274232966119152</v>
      </c>
      <c r="D961">
        <f t="shared" si="59"/>
        <v>-23.31622353501832</v>
      </c>
      <c r="R961">
        <f t="shared" ref="R961:R1024" si="60">A961</f>
        <v>0.95899999999999996</v>
      </c>
      <c r="S961">
        <f t="shared" ref="S961:S1024" si="61">C961</f>
        <v>-0.14274232966119152</v>
      </c>
    </row>
    <row r="962" spans="1:19" x14ac:dyDescent="0.3">
      <c r="A962">
        <v>0.96</v>
      </c>
      <c r="B962">
        <f>Uo*COS(2*PI()*Wn*Sheet2!A962) + (Vo/Wn - (Po*(w/Wn))/(K*(1-(w/Wn)^2)))*SIN(2*PI()*Wn*Sheet2!A962) +(Po*SIN(2*PI()*w*Sheet2!A962))/(K*(1-(w/Wn)^2))</f>
        <v>1.4550566083973462</v>
      </c>
      <c r="C962">
        <f t="shared" ref="C962:C1025" si="62">EXP(-zeta*Wn*A962*2*PI())*($H$1*COS(wnD*2*PI()*A962) + $H$2*SIN(wnD*2*PI()*A962)) + $H$3*SIN(w*2*PI()*A962) + $H$4*COS(w*2*PI()*A962)</f>
        <v>9.1941879960135506E-3</v>
      </c>
      <c r="D962">
        <f t="shared" ref="D962:D1025" si="63">K*C962</f>
        <v>1.501823201616959</v>
      </c>
      <c r="R962">
        <f t="shared" si="60"/>
        <v>0.96</v>
      </c>
      <c r="S962">
        <f t="shared" si="61"/>
        <v>9.1941879960135506E-3</v>
      </c>
    </row>
    <row r="963" spans="1:19" x14ac:dyDescent="0.3">
      <c r="A963">
        <v>0.96099999999999997</v>
      </c>
      <c r="B963">
        <f>Uo*COS(2*PI()*Wn*Sheet2!A963) + (Vo/Wn - (Po*(w/Wn))/(K*(1-(w/Wn)^2)))*SIN(2*PI()*Wn*Sheet2!A963) +(Po*SIN(2*PI()*w*Sheet2!A963))/(K*(1-(w/Wn)^2))</f>
        <v>1.8153325401846612</v>
      </c>
      <c r="C963">
        <f t="shared" si="62"/>
        <v>0.16085333427525889</v>
      </c>
      <c r="D963">
        <f t="shared" si="63"/>
        <v>26.274562753858682</v>
      </c>
      <c r="R963">
        <f t="shared" si="60"/>
        <v>0.96099999999999997</v>
      </c>
      <c r="S963">
        <f t="shared" si="61"/>
        <v>0.16085333427525889</v>
      </c>
    </row>
    <row r="964" spans="1:19" x14ac:dyDescent="0.3">
      <c r="A964">
        <v>0.96199999999999997</v>
      </c>
      <c r="B964">
        <f>Uo*COS(2*PI()*Wn*Sheet2!A964) + (Vo/Wn - (Po*(w/Wn))/(K*(1-(w/Wn)^2)))*SIN(2*PI()*Wn*Sheet2!A964) +(Po*SIN(2*PI()*w*Sheet2!A964))/(K*(1-(w/Wn)^2))</f>
        <v>2.1750154376967559</v>
      </c>
      <c r="C964">
        <f t="shared" si="62"/>
        <v>0.31218611067738861</v>
      </c>
      <c r="D964">
        <f t="shared" si="63"/>
        <v>50.993991469518249</v>
      </c>
      <c r="R964">
        <f t="shared" si="60"/>
        <v>0.96199999999999997</v>
      </c>
      <c r="S964">
        <f t="shared" si="61"/>
        <v>0.31218611067738861</v>
      </c>
    </row>
    <row r="965" spans="1:19" x14ac:dyDescent="0.3">
      <c r="A965">
        <v>0.96299999999999997</v>
      </c>
      <c r="B965">
        <f>Uo*COS(2*PI()*Wn*Sheet2!A965) + (Vo/Wn - (Po*(w/Wn))/(K*(1-(w/Wn)^2)))*SIN(2*PI()*Wn*Sheet2!A965) +(Po*SIN(2*PI()*w*Sheet2!A965))/(K*(1-(w/Wn)^2))</f>
        <v>2.5339877994392435</v>
      </c>
      <c r="C965">
        <f t="shared" si="62"/>
        <v>0.46314371370844915</v>
      </c>
      <c r="D965">
        <f t="shared" si="63"/>
        <v>75.652137549501361</v>
      </c>
      <c r="R965">
        <f t="shared" si="60"/>
        <v>0.96299999999999997</v>
      </c>
      <c r="S965">
        <f t="shared" si="61"/>
        <v>0.46314371370844915</v>
      </c>
    </row>
    <row r="966" spans="1:19" x14ac:dyDescent="0.3">
      <c r="A966">
        <v>0.96399999999999997</v>
      </c>
      <c r="B966">
        <f>Uo*COS(2*PI()*Wn*Sheet2!A966) + (Vo/Wn - (Po*(w/Wn))/(K*(1-(w/Wn)^2)))*SIN(2*PI()*Wn*Sheet2!A966) +(Po*SIN(2*PI()*w*Sheet2!A966))/(K*(1-(w/Wn)^2))</f>
        <v>2.8921323560360559</v>
      </c>
      <c r="C966">
        <f t="shared" si="62"/>
        <v>0.6136775504561891</v>
      </c>
      <c r="D966">
        <f t="shared" si="63"/>
        <v>100.24106359214895</v>
      </c>
      <c r="R966">
        <f t="shared" si="60"/>
        <v>0.96399999999999997</v>
      </c>
      <c r="S966">
        <f t="shared" si="61"/>
        <v>0.6136775504561891</v>
      </c>
    </row>
    <row r="967" spans="1:19" x14ac:dyDescent="0.3">
      <c r="A967">
        <v>0.96499999999999997</v>
      </c>
      <c r="B967">
        <f>Uo*COS(2*PI()*Wn*Sheet2!A967) + (Vo/Wn - (Po*(w/Wn))/(K*(1-(w/Wn)^2)))*SIN(2*PI()*Wn*Sheet2!A967) +(Po*SIN(2*PI()*w*Sheet2!A967))/(K*(1-(w/Wn)^2))</f>
        <v>3.2493321085392353</v>
      </c>
      <c r="C967">
        <f t="shared" si="62"/>
        <v>0.76373925406988008</v>
      </c>
      <c r="D967">
        <f t="shared" si="63"/>
        <v>124.75286912178611</v>
      </c>
      <c r="R967">
        <f t="shared" si="60"/>
        <v>0.96499999999999997</v>
      </c>
      <c r="S967">
        <f t="shared" si="61"/>
        <v>0.76373925406988008</v>
      </c>
    </row>
    <row r="968" spans="1:19" x14ac:dyDescent="0.3">
      <c r="A968">
        <v>0.96599999999999997</v>
      </c>
      <c r="B968">
        <f>Uo*COS(2*PI()*Wn*Sheet2!A968) + (Vo/Wn - (Po*(w/Wn))/(K*(1-(w/Wn)^2)))*SIN(2*PI()*Wn*Sheet2!A968) +(Po*SIN(2*PI()*w*Sheet2!A968))/(K*(1-(w/Wn)^2))</f>
        <v>3.6054703666499672</v>
      </c>
      <c r="C968">
        <f t="shared" si="62"/>
        <v>0.9132806991382203</v>
      </c>
      <c r="D968">
        <f t="shared" si="63"/>
        <v>149.17969310062335</v>
      </c>
      <c r="R968">
        <f t="shared" si="60"/>
        <v>0.96599999999999997</v>
      </c>
      <c r="S968">
        <f t="shared" si="61"/>
        <v>0.9132806991382203</v>
      </c>
    </row>
    <row r="969" spans="1:19" x14ac:dyDescent="0.3">
      <c r="A969">
        <v>0.96699999999999997</v>
      </c>
      <c r="B969">
        <f>Uo*COS(2*PI()*Wn*Sheet2!A969) + (Vo/Wn - (Po*(w/Wn))/(K*(1-(w/Wn)^2)))*SIN(2*PI()*Wn*Sheet2!A969) +(Po*SIN(2*PI()*w*Sheet2!A969))/(K*(1-(w/Wn)^2))</f>
        <v>3.9604307868394768</v>
      </c>
      <c r="C969">
        <f t="shared" si="62"/>
        <v>1.0622540169609644</v>
      </c>
      <c r="D969">
        <f t="shared" si="63"/>
        <v>173.51371642329858</v>
      </c>
      <c r="R969">
        <f t="shared" si="60"/>
        <v>0.96699999999999997</v>
      </c>
      <c r="S969">
        <f t="shared" si="61"/>
        <v>1.0622540169609644</v>
      </c>
    </row>
    <row r="970" spans="1:19" x14ac:dyDescent="0.3">
      <c r="A970">
        <v>0.96799999999999997</v>
      </c>
      <c r="B970">
        <f>Uo*COS(2*PI()*Wn*Sheet2!A970) + (Vo/Wn - (Po*(w/Wn))/(K*(1-(w/Wn)^2)))*SIN(2*PI()*Wn*Sheet2!A970) +(Po*SIN(2*PI()*w*Sheet2!A970))/(K*(1-(w/Wn)^2))</f>
        <v>4.3140974103560161</v>
      </c>
      <c r="C970">
        <f t="shared" si="62"/>
        <v>1.2106116107089193</v>
      </c>
      <c r="D970">
        <f t="shared" si="63"/>
        <v>197.74716439318425</v>
      </c>
      <c r="R970">
        <f t="shared" si="60"/>
        <v>0.96799999999999997</v>
      </c>
      <c r="S970">
        <f t="shared" si="61"/>
        <v>1.2106116107089193</v>
      </c>
    </row>
    <row r="971" spans="1:19" x14ac:dyDescent="0.3">
      <c r="A971">
        <v>0.96899999999999997</v>
      </c>
      <c r="B971">
        <f>Uo*COS(2*PI()*Wn*Sheet2!A971) + (Vo/Wn - (Po*(w/Wn))/(K*(1-(w/Wn)^2)))*SIN(2*PI()*Wn*Sheet2!A971) +(Po*SIN(2*PI()*w*Sheet2!A971))/(K*(1-(w/Wn)^2))</f>
        <v>4.666354701106151</v>
      </c>
      <c r="C971">
        <f t="shared" si="62"/>
        <v>1.3583061704678325</v>
      </c>
      <c r="D971">
        <f t="shared" si="63"/>
        <v>221.87230917972897</v>
      </c>
      <c r="R971">
        <f t="shared" si="60"/>
        <v>0.96899999999999997</v>
      </c>
      <c r="S971">
        <f t="shared" si="61"/>
        <v>1.3583061704678325</v>
      </c>
    </row>
    <row r="972" spans="1:19" x14ac:dyDescent="0.3">
      <c r="A972">
        <v>0.97</v>
      </c>
      <c r="B972">
        <f>Uo*COS(2*PI()*Wn*Sheet2!A972) + (Vo/Wn - (Po*(w/Wn))/(K*(1-(w/Wn)^2)))*SIN(2*PI()*Wn*Sheet2!A972) +(Po*SIN(2*PI()*w*Sheet2!A972))/(K*(1-(w/Wn)^2))</f>
        <v>5.0170875833986077</v>
      </c>
      <c r="C972">
        <f t="shared" si="62"/>
        <v>1.5052906881617323</v>
      </c>
      <c r="D972">
        <f t="shared" si="63"/>
        <v>245.88147225610814</v>
      </c>
      <c r="R972">
        <f t="shared" si="60"/>
        <v>0.97</v>
      </c>
      <c r="S972">
        <f t="shared" si="61"/>
        <v>1.5052906881617323</v>
      </c>
    </row>
    <row r="973" spans="1:19" x14ac:dyDescent="0.3">
      <c r="A973">
        <v>0.97099999999999997</v>
      </c>
      <c r="B973">
        <f>Uo*COS(2*PI()*Wn*Sheet2!A973) + (Vo/Wn - (Po*(w/Wn))/(K*(1-(w/Wn)^2)))*SIN(2*PI()*Wn*Sheet2!A973) +(Po*SIN(2*PI()*w*Sheet2!A973))/(K*(1-(w/Wn)^2))</f>
        <v>5.3661814795370013</v>
      </c>
      <c r="C973">
        <f t="shared" si="62"/>
        <v>1.6515184723505099</v>
      </c>
      <c r="D973">
        <f t="shared" si="63"/>
        <v>269.7670268163327</v>
      </c>
      <c r="R973">
        <f t="shared" si="60"/>
        <v>0.97099999999999997</v>
      </c>
      <c r="S973">
        <f t="shared" si="61"/>
        <v>1.6515184723505099</v>
      </c>
    </row>
    <row r="974" spans="1:19" x14ac:dyDescent="0.3">
      <c r="A974">
        <v>0.97199999999999998</v>
      </c>
      <c r="B974">
        <f>Uo*COS(2*PI()*Wn*Sheet2!A974) + (Vo/Wn - (Po*(w/Wn))/(K*(1-(w/Wn)^2)))*SIN(2*PI()*Wn*Sheet2!A974) +(Po*SIN(2*PI()*w*Sheet2!A974))/(K*(1-(w/Wn)^2))</f>
        <v>5.7135223472503158</v>
      </c>
      <c r="C974">
        <f t="shared" si="62"/>
        <v>1.7969431628976056</v>
      </c>
      <c r="D974">
        <f t="shared" si="63"/>
        <v>293.52140017114016</v>
      </c>
      <c r="R974">
        <f t="shared" si="60"/>
        <v>0.97199999999999998</v>
      </c>
      <c r="S974">
        <f t="shared" si="61"/>
        <v>1.7969431628976056</v>
      </c>
    </row>
    <row r="975" spans="1:19" x14ac:dyDescent="0.3">
      <c r="A975">
        <v>0.97299999999999998</v>
      </c>
      <c r="B975">
        <f>Uo*COS(2*PI()*Wn*Sheet2!A975) + (Vo/Wn - (Po*(w/Wn))/(K*(1-(w/Wn)^2)))*SIN(2*PI()*Wn*Sheet2!A975) +(Po*SIN(2*PI()*w*Sheet2!A975))/(K*(1-(w/Wn)^2))</f>
        <v>6.0589967169480508</v>
      </c>
      <c r="C975">
        <f t="shared" si="62"/>
        <v>1.9415187455029108</v>
      </c>
      <c r="D975">
        <f t="shared" si="63"/>
        <v>317.13707612186897</v>
      </c>
      <c r="R975">
        <f t="shared" si="60"/>
        <v>0.97299999999999998</v>
      </c>
      <c r="S975">
        <f t="shared" si="61"/>
        <v>1.9415187455029108</v>
      </c>
    </row>
    <row r="976" spans="1:19" x14ac:dyDescent="0.3">
      <c r="A976">
        <v>0.97399999999999998</v>
      </c>
      <c r="B976">
        <f>Uo*COS(2*PI()*Wn*Sheet2!A976) + (Vo/Wn - (Po*(w/Wn))/(K*(1-(w/Wn)^2)))*SIN(2*PI()*Wn*Sheet2!A976) +(Po*SIN(2*PI()*w*Sheet2!A976))/(K*(1-(w/Wn)^2))</f>
        <v>6.4024917287889584</v>
      </c>
      <c r="C976">
        <f t="shared" si="62"/>
        <v>2.0851995660968297</v>
      </c>
      <c r="D976">
        <f t="shared" si="63"/>
        <v>340.60659731165441</v>
      </c>
      <c r="R976">
        <f t="shared" si="60"/>
        <v>0.97399999999999998</v>
      </c>
      <c r="S976">
        <f t="shared" si="61"/>
        <v>2.0851995660968297</v>
      </c>
    </row>
    <row r="977" spans="1:19" x14ac:dyDescent="0.3">
      <c r="A977">
        <v>0.97499999999999998</v>
      </c>
      <c r="B977">
        <f>Uo*COS(2*PI()*Wn*Sheet2!A977) + (Vo/Wn - (Po*(w/Wn))/(K*(1-(w/Wn)^2)))*SIN(2*PI()*Wn*Sheet2!A977) +(Po*SIN(2*PI()*w*Sheet2!A977))/(K*(1-(w/Wn)^2))</f>
        <v>6.7438951695499227</v>
      </c>
      <c r="C977">
        <f t="shared" si="62"/>
        <v>2.227940345090488</v>
      </c>
      <c r="D977">
        <f t="shared" si="63"/>
        <v>363.92256755312684</v>
      </c>
      <c r="R977">
        <f t="shared" si="60"/>
        <v>0.97499999999999998</v>
      </c>
      <c r="S977">
        <f t="shared" si="61"/>
        <v>2.227940345090488</v>
      </c>
    </row>
    <row r="978" spans="1:19" x14ac:dyDescent="0.3">
      <c r="A978">
        <v>0.97599999999999998</v>
      </c>
      <c r="B978">
        <f>Uo*COS(2*PI()*Wn*Sheet2!A978) + (Vo/Wn - (Po*(w/Wn))/(K*(1-(w/Wn)^2)))*SIN(2*PI()*Wn*Sheet2!A978) +(Po*SIN(2*PI()*w*Sheet2!A978))/(K*(1-(w/Wn)^2))</f>
        <v>7.083095509283992</v>
      </c>
      <c r="C978">
        <f t="shared" si="62"/>
        <v>2.369696191478158</v>
      </c>
      <c r="D978">
        <f t="shared" si="63"/>
        <v>387.07765413196978</v>
      </c>
      <c r="R978">
        <f t="shared" si="60"/>
        <v>0.97599999999999998</v>
      </c>
      <c r="S978">
        <f t="shared" si="61"/>
        <v>2.369696191478158</v>
      </c>
    </row>
    <row r="979" spans="1:19" x14ac:dyDescent="0.3">
      <c r="A979">
        <v>0.97699999999999998</v>
      </c>
      <c r="B979">
        <f>Uo*COS(2*PI()*Wn*Sheet2!A979) + (Vo/Wn - (Po*(w/Wn))/(K*(1-(w/Wn)^2)))*SIN(2*PI()*Wn*Sheet2!A979) +(Po*SIN(2*PI()*w*Sheet2!A979))/(K*(1-(w/Wn)^2))</f>
        <v>7.4199819377548089</v>
      </c>
      <c r="C979">
        <f t="shared" si="62"/>
        <v>2.5104226167872166</v>
      </c>
      <c r="D979">
        <f t="shared" si="63"/>
        <v>410.06459008557403</v>
      </c>
      <c r="R979">
        <f t="shared" si="60"/>
        <v>0.97699999999999998</v>
      </c>
      <c r="S979">
        <f t="shared" si="61"/>
        <v>2.5104226167872166</v>
      </c>
    </row>
    <row r="980" spans="1:19" x14ac:dyDescent="0.3">
      <c r="A980">
        <v>0.97799999999999998</v>
      </c>
      <c r="B980">
        <f>Uo*COS(2*PI()*Wn*Sheet2!A980) + (Vo/Wn - (Po*(w/Wn))/(K*(1-(w/Wn)^2)))*SIN(2*PI()*Wn*Sheet2!A980) +(Po*SIN(2*PI()*w*Sheet2!A980))/(K*(1-(w/Wn)^2))</f>
        <v>7.7544444006365847</v>
      </c>
      <c r="C980">
        <f t="shared" si="62"/>
        <v>2.650075548871814</v>
      </c>
      <c r="D980">
        <f t="shared" si="63"/>
        <v>432.87617645616194</v>
      </c>
      <c r="R980">
        <f t="shared" si="60"/>
        <v>0.97799999999999998</v>
      </c>
      <c r="S980">
        <f t="shared" si="61"/>
        <v>2.650075548871814</v>
      </c>
    </row>
    <row r="981" spans="1:19" x14ac:dyDescent="0.3">
      <c r="A981">
        <v>0.97899999999999998</v>
      </c>
      <c r="B981">
        <f>Uo*COS(2*PI()*Wn*Sheet2!A981) + (Vo/Wn - (Po*(w/Wn))/(K*(1-(w/Wn)^2)))*SIN(2*PI()*Wn*Sheet2!A981) +(Po*SIN(2*PI()*w*Sheet2!A981))/(K*(1-(w/Wn)^2))</f>
        <v>8.0863736354664617</v>
      </c>
      <c r="C981">
        <f t="shared" si="62"/>
        <v>2.7886113455454664</v>
      </c>
      <c r="D981">
        <f t="shared" si="63"/>
        <v>455.50528451760147</v>
      </c>
      <c r="R981">
        <f t="shared" si="60"/>
        <v>0.97899999999999998</v>
      </c>
      <c r="S981">
        <f t="shared" si="61"/>
        <v>2.7886113455454664</v>
      </c>
    </row>
    <row r="982" spans="1:19" x14ac:dyDescent="0.3">
      <c r="A982">
        <v>0.98</v>
      </c>
      <c r="B982">
        <f>Uo*COS(2*PI()*Wn*Sheet2!A982) + (Vo/Wn - (Po*(w/Wn))/(K*(1-(w/Wn)^2)))*SIN(2*PI()*Wn*Sheet2!A982) +(Po*SIN(2*PI()*w*Sheet2!A982))/(K*(1-(w/Wn)^2))</f>
        <v>8.415661207338605</v>
      </c>
      <c r="C982">
        <f t="shared" si="62"/>
        <v>2.9259868080488727</v>
      </c>
      <c r="D982">
        <f t="shared" si="63"/>
        <v>477.94485797530433</v>
      </c>
      <c r="R982">
        <f t="shared" si="60"/>
        <v>0.98</v>
      </c>
      <c r="S982">
        <f t="shared" si="61"/>
        <v>2.9259868080488727</v>
      </c>
    </row>
    <row r="983" spans="1:19" x14ac:dyDescent="0.3">
      <c r="A983">
        <v>0.98099999999999998</v>
      </c>
      <c r="B983">
        <f>Uo*COS(2*PI()*Wn*Sheet2!A983) + (Vo/Wn - (Po*(w/Wn))/(K*(1-(w/Wn)^2)))*SIN(2*PI()*Wn*Sheet2!A983) +(Po*SIN(2*PI()*w*Sheet2!A983))/(K*(1-(w/Wn)^2))</f>
        <v>8.74219954432753</v>
      </c>
      <c r="C983">
        <f t="shared" si="62"/>
        <v>3.0621591943485087</v>
      </c>
      <c r="D983">
        <f t="shared" si="63"/>
        <v>500.18791513848305</v>
      </c>
      <c r="R983">
        <f t="shared" si="60"/>
        <v>0.98099999999999998</v>
      </c>
      <c r="S983">
        <f t="shared" si="61"/>
        <v>3.0621591943485087</v>
      </c>
    </row>
    <row r="984" spans="1:19" x14ac:dyDescent="0.3">
      <c r="A984">
        <v>0.98199999999999998</v>
      </c>
      <c r="B984">
        <f>Uo*COS(2*PI()*Wn*Sheet2!A984) + (Vo/Wn - (Po*(w/Wn))/(K*(1-(w/Wn)^2)))*SIN(2*PI()*Wn*Sheet2!A984) +(Po*SIN(2*PI()*w*Sheet2!A984))/(K*(1-(w/Wn)^2))</f>
        <v>9.0658819726301871</v>
      </c>
      <c r="C984">
        <f t="shared" si="62"/>
        <v>3.1970862322624152</v>
      </c>
      <c r="D984">
        <f t="shared" si="63"/>
        <v>522.22755106418037</v>
      </c>
      <c r="R984">
        <f t="shared" si="60"/>
        <v>0.98199999999999998</v>
      </c>
      <c r="S984">
        <f t="shared" si="61"/>
        <v>3.1970862322624152</v>
      </c>
    </row>
    <row r="985" spans="1:19" x14ac:dyDescent="0.3">
      <c r="A985">
        <v>0.98299999999999998</v>
      </c>
      <c r="B985">
        <f>Uo*COS(2*PI()*Wn*Sheet2!A985) + (Vo/Wn - (Po*(w/Wn))/(K*(1-(w/Wn)^2)))*SIN(2*PI()*Wn*Sheet2!A985) +(Po*SIN(2*PI()*w*Sheet2!A985))/(K*(1-(w/Wn)^2))</f>
        <v>9.3866027514140367</v>
      </c>
      <c r="C985">
        <f t="shared" si="62"/>
        <v>3.3307261324086879</v>
      </c>
      <c r="D985">
        <f t="shared" si="63"/>
        <v>544.0569396723389</v>
      </c>
      <c r="R985">
        <f t="shared" si="60"/>
        <v>0.98299999999999998</v>
      </c>
      <c r="S985">
        <f t="shared" si="61"/>
        <v>3.3307261324086879</v>
      </c>
    </row>
    <row r="986" spans="1:19" x14ac:dyDescent="0.3">
      <c r="A986">
        <v>0.98399999999999999</v>
      </c>
      <c r="B986">
        <f>Uo*COS(2*PI()*Wn*Sheet2!A986) + (Vo/Wn - (Po*(w/Wn))/(K*(1-(w/Wn)^2)))*SIN(2*PI()*Wn*Sheet2!A986) +(Po*SIN(2*PI()*w*Sheet2!A986))/(K*(1-(w/Wn)^2))</f>
        <v>9.7042571073603678</v>
      </c>
      <c r="C986">
        <f t="shared" si="62"/>
        <v>3.4630376009729997</v>
      </c>
      <c r="D986">
        <f t="shared" si="63"/>
        <v>565.66933583130947</v>
      </c>
      <c r="R986">
        <f t="shared" si="60"/>
        <v>0.98399999999999999</v>
      </c>
      <c r="S986">
        <f t="shared" si="61"/>
        <v>3.4630376009729997</v>
      </c>
    </row>
    <row r="987" spans="1:19" x14ac:dyDescent="0.3">
      <c r="A987">
        <v>0.98499999999999999</v>
      </c>
      <c r="B987">
        <f>Uo*COS(2*PI()*Wn*Sheet2!A987) + (Vo/Wn - (Po*(w/Wn))/(K*(1-(w/Wn)^2)))*SIN(2*PI()*Wn*Sheet2!A987) +(Po*SIN(2*PI()*w*Sheet2!A987))/(K*(1-(w/Wn)^2))</f>
        <v>10.018741268892104</v>
      </c>
      <c r="C987">
        <f t="shared" si="62"/>
        <v>3.5939798522915725</v>
      </c>
      <c r="D987">
        <f t="shared" si="63"/>
        <v>587.05807741321496</v>
      </c>
      <c r="R987">
        <f t="shared" si="60"/>
        <v>0.98499999999999999</v>
      </c>
      <c r="S987">
        <f t="shared" si="61"/>
        <v>3.5939798522915725</v>
      </c>
    </row>
    <row r="988" spans="1:19" x14ac:dyDescent="0.3">
      <c r="A988">
        <v>0.98599999999999999</v>
      </c>
      <c r="B988">
        <f>Uo*COS(2*PI()*Wn*Sheet2!A988) + (Vo/Wn - (Po*(w/Wn))/(K*(1-(w/Wn)^2)))*SIN(2*PI()*Wn*Sheet2!A988) +(Po*SIN(2*PI()*w*Sheet2!A988))/(K*(1-(w/Wn)^2))</f>
        <v>10.329952500073736</v>
      </c>
      <c r="C988">
        <f t="shared" si="62"/>
        <v>3.7235126212452889</v>
      </c>
      <c r="D988">
        <f t="shared" si="63"/>
        <v>608.21658731846458</v>
      </c>
      <c r="R988">
        <f t="shared" si="60"/>
        <v>0.98599999999999999</v>
      </c>
      <c r="S988">
        <f t="shared" si="61"/>
        <v>3.7235126212452889</v>
      </c>
    </row>
    <row r="989" spans="1:19" x14ac:dyDescent="0.3">
      <c r="A989">
        <v>0.98699999999999999</v>
      </c>
      <c r="B989">
        <f>Uo*COS(2*PI()*Wn*Sheet2!A989) + (Vo/Wn - (Po*(w/Wn))/(K*(1-(w/Wn)^2)))*SIN(2*PI()*Wn*Sheet2!A989) +(Po*SIN(2*PI()*w*Sheet2!A989))/(K*(1-(w/Wn)^2))</f>
        <v>10.637789134173293</v>
      </c>
      <c r="C989">
        <f t="shared" si="62"/>
        <v>3.8515961754617041</v>
      </c>
      <c r="D989">
        <f t="shared" si="63"/>
        <v>629.13837546888965</v>
      </c>
      <c r="R989">
        <f t="shared" si="60"/>
        <v>0.98699999999999999</v>
      </c>
      <c r="S989">
        <f t="shared" si="61"/>
        <v>3.8515961754617041</v>
      </c>
    </row>
    <row r="990" spans="1:19" x14ac:dyDescent="0.3">
      <c r="A990">
        <v>0.98799999999999999</v>
      </c>
      <c r="B990">
        <f>Uo*COS(2*PI()*Wn*Sheet2!A990) + (Vo/Wn - (Po*(w/Wn))/(K*(1-(w/Wn)^2)))*SIN(2*PI()*Wn*Sheet2!A990) +(Po*SIN(2*PI()*w*Sheet2!A990))/(K*(1-(w/Wn)^2))</f>
        <v>10.942150606874685</v>
      </c>
      <c r="C990">
        <f t="shared" si="62"/>
        <v>3.9781913273209666</v>
      </c>
      <c r="D990">
        <f t="shared" si="63"/>
        <v>649.81704076884841</v>
      </c>
      <c r="R990">
        <f t="shared" si="60"/>
        <v>0.98799999999999999</v>
      </c>
      <c r="S990">
        <f t="shared" si="61"/>
        <v>3.9781913273209666</v>
      </c>
    </row>
    <row r="991" spans="1:19" x14ac:dyDescent="0.3">
      <c r="A991">
        <v>0.98899999999999999</v>
      </c>
      <c r="B991">
        <f>Uo*COS(2*PI()*Wn*Sheet2!A991) + (Vo/Wn - (Po*(w/Wn))/(K*(1-(w/Wn)^2)))*SIN(2*PI()*Wn*Sheet2!A991) +(Po*SIN(2*PI()*w*Sheet2!A991))/(K*(1-(w/Wn)^2))</f>
        <v>11.242937489130483</v>
      </c>
      <c r="C991">
        <f t="shared" si="62"/>
        <v>4.1032594457625393</v>
      </c>
      <c r="D991">
        <f t="shared" si="63"/>
        <v>670.24627303379361</v>
      </c>
      <c r="R991">
        <f t="shared" si="60"/>
        <v>0.98899999999999999</v>
      </c>
      <c r="S991">
        <f t="shared" si="61"/>
        <v>4.1032594457625393</v>
      </c>
    </row>
    <row r="992" spans="1:19" x14ac:dyDescent="0.3">
      <c r="A992">
        <v>0.99</v>
      </c>
      <c r="B992">
        <f>Uo*COS(2*PI()*Wn*Sheet2!A992) + (Vo/Wn - (Po*(w/Wn))/(K*(1-(w/Wn)^2)))*SIN(2*PI()*Wn*Sheet2!A992) +(Po*SIN(2*PI()*w*Sheet2!A992))/(K*(1-(w/Wn)^2))</f>
        <v>11.540051519643239</v>
      </c>
      <c r="C992">
        <f t="shared" si="62"/>
        <v>4.2267624678886575</v>
      </c>
      <c r="D992">
        <f t="shared" si="63"/>
        <v>690.41985488563716</v>
      </c>
      <c r="R992">
        <f t="shared" si="60"/>
        <v>0.99</v>
      </c>
      <c r="S992">
        <f t="shared" si="61"/>
        <v>4.2267624678886575</v>
      </c>
    </row>
    <row r="993" spans="1:19" x14ac:dyDescent="0.3">
      <c r="A993">
        <v>0.99099999999999999</v>
      </c>
      <c r="B993">
        <f>Uo*COS(2*PI()*Wn*Sheet2!A993) + (Vo/Wn - (Po*(w/Wn))/(K*(1-(w/Wn)^2)))*SIN(2*PI()*Wn*Sheet2!A993) +(Po*SIN(2*PI()*w*Sheet2!A993))/(K*(1-(w/Wn)^2))</f>
        <v>11.83339563696569</v>
      </c>
      <c r="C993">
        <f t="shared" si="62"/>
        <v>4.3486629103615853</v>
      </c>
      <c r="D993">
        <f t="shared" si="63"/>
        <v>710.33166361443341</v>
      </c>
      <c r="R993">
        <f t="shared" si="60"/>
        <v>0.99099999999999999</v>
      </c>
      <c r="S993">
        <f t="shared" si="61"/>
        <v>4.3486629103615853</v>
      </c>
    </row>
    <row r="994" spans="1:19" x14ac:dyDescent="0.3">
      <c r="A994">
        <v>0.99199999999999999</v>
      </c>
      <c r="B994">
        <f>Uo*COS(2*PI()*Wn*Sheet2!A994) + (Vo/Wn - (Po*(w/Wn))/(K*(1-(w/Wn)^2)))*SIN(2*PI()*Wn*Sheet2!A994) +(Po*SIN(2*PI()*w*Sheet2!A994))/(K*(1-(w/Wn)^2))</f>
        <v>12.122874011208634</v>
      </c>
      <c r="C994">
        <f t="shared" si="62"/>
        <v>4.4689238805909435</v>
      </c>
      <c r="D994">
        <f t="shared" si="63"/>
        <v>729.97567300577134</v>
      </c>
      <c r="R994">
        <f t="shared" si="60"/>
        <v>0.99199999999999999</v>
      </c>
      <c r="S994">
        <f t="shared" si="61"/>
        <v>4.4689238805909435</v>
      </c>
    </row>
    <row r="995" spans="1:19" x14ac:dyDescent="0.3">
      <c r="A995">
        <v>0.99299999999999999</v>
      </c>
      <c r="B995">
        <f>Uo*COS(2*PI()*Wn*Sheet2!A995) + (Vo/Wn - (Po*(w/Wn))/(K*(1-(w/Wn)^2)))*SIN(2*PI()*Wn*Sheet2!A995) +(Po*SIN(2*PI()*w*Sheet2!A995))/(K*(1-(w/Wn)^2))</f>
        <v>12.408392075347052</v>
      </c>
      <c r="C995">
        <f t="shared" si="62"/>
        <v>4.5875090877082982</v>
      </c>
      <c r="D995">
        <f t="shared" si="63"/>
        <v>749.34595513341696</v>
      </c>
      <c r="R995">
        <f t="shared" si="60"/>
        <v>0.99299999999999999</v>
      </c>
      <c r="S995">
        <f t="shared" si="61"/>
        <v>4.5875090877082982</v>
      </c>
    </row>
    <row r="996" spans="1:19" x14ac:dyDescent="0.3">
      <c r="A996">
        <v>0.99399999999999999</v>
      </c>
      <c r="B996">
        <f>Uo*COS(2*PI()*Wn*Sheet2!A996) + (Vo/Wn - (Po*(w/Wn))/(K*(1-(w/Wn)^2)))*SIN(2*PI()*Wn*Sheet2!A996) +(Po*SIN(2*PI()*w*Sheet2!A996))/(K*(1-(w/Wn)^2))</f>
        <v>12.689856556113126</v>
      </c>
      <c r="C996">
        <f t="shared" si="62"/>
        <v>4.7043828533252734</v>
      </c>
      <c r="D996">
        <f t="shared" si="63"/>
        <v>768.43668211659588</v>
      </c>
      <c r="R996">
        <f t="shared" si="60"/>
        <v>0.99399999999999999</v>
      </c>
      <c r="S996">
        <f t="shared" si="61"/>
        <v>4.7043828533252734</v>
      </c>
    </row>
    <row r="997" spans="1:19" x14ac:dyDescent="0.3">
      <c r="A997">
        <v>0.995</v>
      </c>
      <c r="B997">
        <f>Uo*COS(2*PI()*Wn*Sheet2!A997) + (Vo/Wn - (Po*(w/Wn))/(K*(1-(w/Wn)^2)))*SIN(2*PI()*Wn*Sheet2!A997) +(Po*SIN(2*PI()*w*Sheet2!A997))/(K*(1-(w/Wn)^2))</f>
        <v>12.967175504466917</v>
      </c>
      <c r="C997">
        <f t="shared" si="62"/>
        <v>4.8195101220724927</v>
      </c>
      <c r="D997">
        <f t="shared" si="63"/>
        <v>787.24212784147471</v>
      </c>
      <c r="R997">
        <f t="shared" si="60"/>
        <v>0.995</v>
      </c>
      <c r="S997">
        <f t="shared" si="61"/>
        <v>4.8195101220724927</v>
      </c>
    </row>
    <row r="998" spans="1:19" x14ac:dyDescent="0.3">
      <c r="A998">
        <v>0.996</v>
      </c>
      <c r="B998">
        <f>Uo*COS(2*PI()*Wn*Sheet2!A998) + (Vo/Wn - (Po*(w/Wn))/(K*(1-(w/Wn)^2)))*SIN(2*PI()*Wn*Sheet2!A998) +(Po*SIN(2*PI()*w*Sheet2!A998))/(K*(1-(w/Wn)^2))</f>
        <v>13.240258325634148</v>
      </c>
      <c r="C998">
        <f t="shared" si="62"/>
        <v>4.9328564719159935</v>
      </c>
      <c r="D998">
        <f t="shared" si="63"/>
        <v>805.7566696462942</v>
      </c>
      <c r="R998">
        <f t="shared" si="60"/>
        <v>0.996</v>
      </c>
      <c r="S998">
        <f t="shared" si="61"/>
        <v>4.9328564719159935</v>
      </c>
    </row>
    <row r="999" spans="1:19" x14ac:dyDescent="0.3">
      <c r="A999">
        <v>0.997</v>
      </c>
      <c r="B999">
        <f>Uo*COS(2*PI()*Wn*Sheet2!A999) + (Vo/Wn - (Po*(w/Wn))/(K*(1-(w/Wn)^2)))*SIN(2*PI()*Wn*Sheet2!A999) +(Po*SIN(2*PI()*w*Sheet2!A999))/(K*(1-(w/Wn)^2))</f>
        <v>13.509015808702099</v>
      </c>
      <c r="C999">
        <f t="shared" si="62"/>
        <v>5.0443881242485302</v>
      </c>
      <c r="D999">
        <f t="shared" si="63"/>
        <v>823.97478996973177</v>
      </c>
      <c r="R999">
        <f t="shared" si="60"/>
        <v>0.997</v>
      </c>
      <c r="S999">
        <f t="shared" si="61"/>
        <v>5.0443881242485302</v>
      </c>
    </row>
    <row r="1000" spans="1:19" x14ac:dyDescent="0.3">
      <c r="A1000">
        <v>0.998</v>
      </c>
      <c r="B1000">
        <f>Uo*COS(2*PI()*Wn*Sheet2!A1000) + (Vo/Wn - (Po*(w/Wn))/(K*(1-(w/Wn)^2)))*SIN(2*PI()*Wn*Sheet2!A1000) +(Po*SIN(2*PI()*w*Sheet2!A1000))/(K*(1-(w/Wn)^2))</f>
        <v>13.773360155762866</v>
      </c>
      <c r="C1000">
        <f t="shared" si="62"/>
        <v>5.1540719537524264</v>
      </c>
      <c r="D1000">
        <f t="shared" si="63"/>
        <v>841.8910779619473</v>
      </c>
      <c r="R1000">
        <f t="shared" si="60"/>
        <v>0.998</v>
      </c>
      <c r="S1000">
        <f t="shared" si="61"/>
        <v>5.1540719537524264</v>
      </c>
    </row>
    <row r="1001" spans="1:19" x14ac:dyDescent="0.3">
      <c r="A1001">
        <v>0.999</v>
      </c>
      <c r="B1001">
        <f>Uo*COS(2*PI()*Wn*Sheet2!A1001) + (Vo/Wn - (Po*(w/Wn))/(K*(1-(w/Wn)^2)))*SIN(2*PI()*Wn*Sheet2!A1001) +(Po*SIN(2*PI()*w*Sheet2!A1001))/(K*(1-(w/Wn)^2))</f>
        <v>14.033205010595385</v>
      </c>
      <c r="C1001">
        <f t="shared" si="62"/>
        <v>5.2618754980315368</v>
      </c>
      <c r="D1001">
        <f t="shared" si="63"/>
        <v>859.50023105791479</v>
      </c>
      <c r="R1001">
        <f t="shared" si="60"/>
        <v>0.999</v>
      </c>
      <c r="S1001">
        <f t="shared" si="61"/>
        <v>5.2618754980315368</v>
      </c>
    </row>
    <row r="1002" spans="1:19" x14ac:dyDescent="0.3">
      <c r="A1002">
        <v>1</v>
      </c>
      <c r="B1002">
        <f>Uo*COS(2*PI()*Wn*Sheet2!A1002) + (Vo/Wn - (Po*(w/Wn))/(K*(1-(w/Wn)^2)))*SIN(2*PI()*Wn*Sheet2!A1002) +(Po*SIN(2*PI()*w*Sheet2!A1002))/(K*(1-(w/Wn)^2))</f>
        <v>14.288465486876124</v>
      </c>
      <c r="C1002">
        <f t="shared" si="62"/>
        <v>5.3677669670092785</v>
      </c>
      <c r="D1002">
        <f t="shared" si="63"/>
        <v>876.79705651254199</v>
      </c>
      <c r="R1002">
        <f t="shared" si="60"/>
        <v>1</v>
      </c>
      <c r="S1002">
        <f t="shared" si="61"/>
        <v>5.3677669670092785</v>
      </c>
    </row>
    <row r="1003" spans="1:19" x14ac:dyDescent="0.3">
      <c r="A1003">
        <v>1.0009999999999999</v>
      </c>
      <c r="B1003">
        <f>Uo*COS(2*PI()*Wn*Sheet2!A1003) + (Vo/Wn - (Po*(w/Wn))/(K*(1-(w/Wn)^2)))*SIN(2*PI()*Wn*Sheet2!A1003) +(Po*SIN(2*PI()*w*Sheet2!A1003))/(K*(1-(w/Wn)^2))</f>
        <v>14.539058195910126</v>
      </c>
      <c r="C1003">
        <f t="shared" si="62"/>
        <v>5.4717152520905241</v>
      </c>
      <c r="D1003">
        <f t="shared" si="63"/>
        <v>893.77647289721847</v>
      </c>
      <c r="R1003">
        <f t="shared" si="60"/>
        <v>1.0009999999999999</v>
      </c>
      <c r="S1003">
        <f t="shared" si="61"/>
        <v>5.4717152520905241</v>
      </c>
    </row>
    <row r="1004" spans="1:19" x14ac:dyDescent="0.3">
      <c r="A1004">
        <v>1.002</v>
      </c>
      <c r="B1004">
        <f>Uo*COS(2*PI()*Wn*Sheet2!A1004) + (Vo/Wn - (Po*(w/Wn))/(K*(1-(w/Wn)^2)))*SIN(2*PI()*Wn*Sheet2!A1004) +(Po*SIN(2*PI()*w*Sheet2!A1004))/(K*(1-(w/Wn)^2))</f>
        <v>14.784901273872348</v>
      </c>
      <c r="C1004">
        <f t="shared" si="62"/>
        <v>5.5736899350842872</v>
      </c>
      <c r="D1004">
        <f t="shared" si="63"/>
        <v>910.43351155729056</v>
      </c>
      <c r="R1004">
        <f t="shared" si="60"/>
        <v>1.002</v>
      </c>
      <c r="S1004">
        <f t="shared" si="61"/>
        <v>5.5736899350842872</v>
      </c>
    </row>
    <row r="1005" spans="1:19" x14ac:dyDescent="0.3">
      <c r="A1005">
        <v>1.0029999999999999</v>
      </c>
      <c r="B1005">
        <f>Uo*COS(2*PI()*Wn*Sheet2!A1005) + (Vo/Wn - (Po*(w/Wn))/(K*(1-(w/Wn)^2)))*SIN(2*PI()*Wn*Sheet2!A1005) +(Po*SIN(2*PI()*w*Sheet2!A1005))/(K*(1-(w/Wn)^2))</f>
        <v>15.025914408550801</v>
      </c>
      <c r="C1005">
        <f t="shared" si="62"/>
        <v>5.6736612968849611</v>
      </c>
      <c r="D1005">
        <f t="shared" si="63"/>
        <v>926.76331803009634</v>
      </c>
      <c r="R1005">
        <f t="shared" si="60"/>
        <v>1.0029999999999999</v>
      </c>
      <c r="S1005">
        <f t="shared" si="61"/>
        <v>5.6736612968849611</v>
      </c>
    </row>
    <row r="1006" spans="1:19" x14ac:dyDescent="0.3">
      <c r="A1006">
        <v>1.004</v>
      </c>
      <c r="B1006">
        <f>Uo*COS(2*PI()*Wn*Sheet2!A1006) + (Vo/Wn - (Po*(w/Wn))/(K*(1-(w/Wn)^2)))*SIN(2*PI()*Wn*Sheet2!A1006) +(Po*SIN(2*PI()*w*Sheet2!A1006))/(K*(1-(w/Wn)^2))</f>
        <v>15.262018865583526</v>
      </c>
      <c r="C1006">
        <f t="shared" si="62"/>
        <v>5.771600325910013</v>
      </c>
      <c r="D1006">
        <f t="shared" si="63"/>
        <v>942.76115342322009</v>
      </c>
      <c r="R1006">
        <f t="shared" si="60"/>
        <v>1.004</v>
      </c>
      <c r="S1006">
        <f t="shared" si="61"/>
        <v>5.771600325910013</v>
      </c>
    </row>
    <row r="1007" spans="1:19" x14ac:dyDescent="0.3">
      <c r="A1007">
        <v>1.0049999999999999</v>
      </c>
      <c r="B1007">
        <f>Uo*COS(2*PI()*Wn*Sheet2!A1007) + (Vo/Wn - (Po*(w/Wn))/(K*(1-(w/Wn)^2)))*SIN(2*PI()*Wn*Sheet2!A1007) +(Po*SIN(2*PI()*w*Sheet2!A1007))/(K*(1-(w/Wn)^2))</f>
        <v>15.493137514178958</v>
      </c>
      <c r="C1007">
        <f t="shared" si="62"/>
        <v>5.8674787262910053</v>
      </c>
      <c r="D1007">
        <f t="shared" si="63"/>
        <v>958.42239575245321</v>
      </c>
      <c r="R1007">
        <f t="shared" si="60"/>
        <v>1.0049999999999999</v>
      </c>
      <c r="S1007">
        <f t="shared" si="61"/>
        <v>5.8674787262910053</v>
      </c>
    </row>
    <row r="1008" spans="1:19" x14ac:dyDescent="0.3">
      <c r="A1008">
        <v>1.006</v>
      </c>
      <c r="B1008">
        <f>Uo*COS(2*PI()*Wn*Sheet2!A1008) + (Vo/Wn - (Po*(w/Wn))/(K*(1-(w/Wn)^2)))*SIN(2*PI()*Wn*Sheet2!A1008) +(Po*SIN(2*PI()*w*Sheet2!A1008))/(K*(1-(w/Wn)^2))</f>
        <v>15.719194852313612</v>
      </c>
      <c r="C1008">
        <f t="shared" si="62"/>
        <v>5.9612689258167455</v>
      </c>
      <c r="D1008">
        <f t="shared" si="63"/>
        <v>973.74254123926664</v>
      </c>
      <c r="R1008">
        <f t="shared" si="60"/>
        <v>1.006</v>
      </c>
      <c r="S1008">
        <f t="shared" si="61"/>
        <v>5.9612689258167455</v>
      </c>
    </row>
    <row r="1009" spans="1:19" x14ac:dyDescent="0.3">
      <c r="A1009">
        <v>1.0069999999999999</v>
      </c>
      <c r="B1009">
        <f>Uo*COS(2*PI()*Wn*Sheet2!A1009) + (Vo/Wn - (Po*(w/Wn))/(K*(1-(w/Wn)^2)))*SIN(2*PI()*Wn*Sheet2!A1009) +(Po*SIN(2*PI()*w*Sheet2!A1009))/(K*(1-(w/Wn)^2))</f>
        <v>15.940117031396696</v>
      </c>
      <c r="C1009">
        <f t="shared" si="62"/>
        <v>6.0529440836254755</v>
      </c>
      <c r="D1009">
        <f t="shared" si="63"/>
        <v>988.71720556729019</v>
      </c>
      <c r="R1009">
        <f t="shared" si="60"/>
        <v>1.0069999999999999</v>
      </c>
      <c r="S1009">
        <f t="shared" si="61"/>
        <v>6.0529440836254755</v>
      </c>
    </row>
    <row r="1010" spans="1:19" x14ac:dyDescent="0.3">
      <c r="A1010">
        <v>1.008</v>
      </c>
      <c r="B1010">
        <f>Uo*COS(2*PI()*Wn*Sheet2!A1010) + (Vo/Wn - (Po*(w/Wn))/(K*(1-(w/Wn)^2)))*SIN(2*PI()*Wn*Sheet2!A1010) +(Po*SIN(2*PI()*w*Sheet2!A1010))/(K*(1-(w/Wn)^2))</f>
        <v>16.155831880395574</v>
      </c>
      <c r="C1010">
        <f t="shared" si="62"/>
        <v>6.1424780976448865</v>
      </c>
      <c r="D1010">
        <f t="shared" si="63"/>
        <v>1003.3421250976012</v>
      </c>
      <c r="R1010">
        <f t="shared" si="60"/>
        <v>1.008</v>
      </c>
      <c r="S1010">
        <f t="shared" si="61"/>
        <v>6.1424780976448865</v>
      </c>
    </row>
    <row r="1011" spans="1:19" x14ac:dyDescent="0.3">
      <c r="A1011">
        <v>1.0089999999999999</v>
      </c>
      <c r="B1011">
        <f>Uo*COS(2*PI()*Wn*Sheet2!A1011) + (Vo/Wn - (Po*(w/Wn))/(K*(1-(w/Wn)^2)))*SIN(2*PI()*Wn*Sheet2!A1011) +(Po*SIN(2*PI()*w*Sheet2!A1011))/(K*(1-(w/Wn)^2))</f>
        <v>16.366268929412012</v>
      </c>
      <c r="C1011">
        <f t="shared" si="62"/>
        <v>6.2298456117770717</v>
      </c>
      <c r="D1011">
        <f t="shared" si="63"/>
        <v>1017.6131580423489</v>
      </c>
      <c r="R1011">
        <f t="shared" si="60"/>
        <v>1.0089999999999999</v>
      </c>
      <c r="S1011">
        <f t="shared" si="61"/>
        <v>6.2298456117770717</v>
      </c>
    </row>
    <row r="1012" spans="1:19" x14ac:dyDescent="0.3">
      <c r="A1012">
        <v>1.01</v>
      </c>
      <c r="B1012">
        <f>Uo*COS(2*PI()*Wn*Sheet2!A1012) + (Vo/Wn - (Po*(w/Wn))/(K*(1-(w/Wn)^2)))*SIN(2*PI()*Wn*Sheet2!A1012) +(Po*SIN(2*PI()*w*Sheet2!A1012))/(K*(1-(w/Wn)^2))</f>
        <v>16.571359432703893</v>
      </c>
      <c r="C1012">
        <f t="shared" si="62"/>
        <v>6.3150220228275256</v>
      </c>
      <c r="D1012">
        <f t="shared" si="63"/>
        <v>1031.5262855965711</v>
      </c>
      <c r="R1012">
        <f t="shared" si="60"/>
        <v>1.01</v>
      </c>
      <c r="S1012">
        <f t="shared" si="61"/>
        <v>6.3150220228275256</v>
      </c>
    </row>
    <row r="1013" spans="1:19" x14ac:dyDescent="0.3">
      <c r="A1013">
        <v>1.0109999999999999</v>
      </c>
      <c r="B1013">
        <f>Uo*COS(2*PI()*Wn*Sheet2!A1013) + (Vo/Wn - (Po*(w/Wn))/(K*(1-(w/Wn)^2)))*SIN(2*PI()*Wn*Sheet2!A1013) +(Po*SIN(2*PI()*w*Sheet2!A1013))/(K*(1-(w/Wn)^2))</f>
        <v>16.771036391142687</v>
      </c>
      <c r="C1013">
        <f t="shared" si="62"/>
        <v>6.3979834871754848</v>
      </c>
      <c r="D1013">
        <f t="shared" si="63"/>
        <v>1045.0776130277598</v>
      </c>
      <c r="R1013">
        <f t="shared" si="60"/>
        <v>1.0109999999999999</v>
      </c>
      <c r="S1013">
        <f t="shared" si="61"/>
        <v>6.3979834871754848</v>
      </c>
    </row>
    <row r="1014" spans="1:19" x14ac:dyDescent="0.3">
      <c r="A1014">
        <v>1.012</v>
      </c>
      <c r="B1014">
        <f>Uo*COS(2*PI()*Wn*Sheet2!A1014) + (Vo/Wn - (Po*(w/Wn))/(K*(1-(w/Wn)^2)))*SIN(2*PI()*Wn*Sheet2!A1014) +(Po*SIN(2*PI()*w*Sheet2!A1014))/(K*(1-(w/Wn)^2))</f>
        <v>16.965234574101274</v>
      </c>
      <c r="C1014">
        <f t="shared" si="62"/>
        <v>6.4787069271846915</v>
      </c>
      <c r="D1014">
        <f t="shared" si="63"/>
        <v>1058.2633707230261</v>
      </c>
      <c r="R1014">
        <f t="shared" si="60"/>
        <v>1.012</v>
      </c>
      <c r="S1014">
        <f t="shared" si="61"/>
        <v>6.4787069271846915</v>
      </c>
    </row>
    <row r="1015" spans="1:19" x14ac:dyDescent="0.3">
      <c r="A1015">
        <v>1.0129999999999999</v>
      </c>
      <c r="B1015">
        <f>Uo*COS(2*PI()*Wn*Sheet2!A1015) + (Vo/Wn - (Po*(w/Wn))/(K*(1-(w/Wn)^2)))*SIN(2*PI()*Wn*Sheet2!A1015) +(Po*SIN(2*PI()*w*Sheet2!A1015))/(K*(1-(w/Wn)^2))</f>
        <v>17.15389054076299</v>
      </c>
      <c r="C1015">
        <f t="shared" si="62"/>
        <v>6.5571700373521429</v>
      </c>
      <c r="D1015">
        <f t="shared" si="63"/>
        <v>1071.0799151934675</v>
      </c>
      <c r="R1015">
        <f t="shared" si="60"/>
        <v>1.0129999999999999</v>
      </c>
      <c r="S1015">
        <f t="shared" si="61"/>
        <v>6.5571700373521429</v>
      </c>
    </row>
    <row r="1016" spans="1:19" x14ac:dyDescent="0.3">
      <c r="A1016">
        <v>1.014</v>
      </c>
      <c r="B1016">
        <f>Uo*COS(2*PI()*Wn*Sheet2!A1016) + (Vo/Wn - (Po*(w/Wn))/(K*(1-(w/Wn)^2)))*SIN(2*PI()*Wn*Sheet2!A1016) +(Po*SIN(2*PI()*w*Sheet2!A1016))/(K*(1-(w/Wn)^2))</f>
        <v>17.336942660846969</v>
      </c>
      <c r="C1016">
        <f t="shared" si="62"/>
        <v>6.633351290194148</v>
      </c>
      <c r="D1016">
        <f t="shared" si="63"/>
        <v>1083.5237300356239</v>
      </c>
      <c r="R1016">
        <f t="shared" si="60"/>
        <v>1.014</v>
      </c>
      <c r="S1016">
        <f t="shared" si="61"/>
        <v>6.633351290194148</v>
      </c>
    </row>
    <row r="1017" spans="1:19" x14ac:dyDescent="0.3">
      <c r="A1017">
        <v>1.0149999999999999</v>
      </c>
      <c r="B1017">
        <f>Uo*COS(2*PI()*Wn*Sheet2!A1017) + (Vo/Wn - (Po*(w/Wn))/(K*(1-(w/Wn)^2)))*SIN(2*PI()*Wn*Sheet2!A1017) +(Po*SIN(2*PI()*w*Sheet2!A1017))/(K*(1-(w/Wn)^2))</f>
        <v>17.514331134741219</v>
      </c>
      <c r="C1017">
        <f t="shared" si="62"/>
        <v>6.7072299418674612</v>
      </c>
      <c r="D1017">
        <f t="shared" si="63"/>
        <v>1095.591426849662</v>
      </c>
      <c r="R1017">
        <f t="shared" si="60"/>
        <v>1.0149999999999999</v>
      </c>
      <c r="S1017">
        <f t="shared" si="61"/>
        <v>6.7072299418674612</v>
      </c>
    </row>
    <row r="1018" spans="1:19" x14ac:dyDescent="0.3">
      <c r="A1018">
        <v>1.016</v>
      </c>
      <c r="B1018">
        <f>Uo*COS(2*PI()*Wn*Sheet2!A1018) + (Vo/Wn - (Po*(w/Wn))/(K*(1-(w/Wn)^2)))*SIN(2*PI()*Wn*Sheet2!A1018) +(Po*SIN(2*PI()*w*Sheet2!A1018))/(K*(1-(w/Wn)^2))</f>
        <v>17.685998013038425</v>
      </c>
      <c r="C1018">
        <f t="shared" si="62"/>
        <v>6.7787860375248599</v>
      </c>
      <c r="D1018">
        <f t="shared" si="63"/>
        <v>1107.2797461141799</v>
      </c>
      <c r="R1018">
        <f t="shared" si="60"/>
        <v>1.016</v>
      </c>
      <c r="S1018">
        <f t="shared" si="61"/>
        <v>6.7787860375248599</v>
      </c>
    </row>
    <row r="1019" spans="1:19" x14ac:dyDescent="0.3">
      <c r="A1019">
        <v>1.0169999999999999</v>
      </c>
      <c r="B1019">
        <f>Uo*COS(2*PI()*Wn*Sheet2!A1019) + (Vo/Wn - (Po*(w/Wn))/(K*(1-(w/Wn)^2)))*SIN(2*PI()*Wn*Sheet2!A1019) +(Po*SIN(2*PI()*w*Sheet2!A1019))/(K*(1-(w/Wn)^2))</f>
        <v>17.851887215466423</v>
      </c>
      <c r="C1019">
        <f t="shared" si="62"/>
        <v>6.8480004164031056</v>
      </c>
      <c r="D1019">
        <f t="shared" si="63"/>
        <v>1118.5855580173002</v>
      </c>
      <c r="R1019">
        <f t="shared" si="60"/>
        <v>1.0169999999999999</v>
      </c>
      <c r="S1019">
        <f t="shared" si="61"/>
        <v>6.8480004164031056</v>
      </c>
    </row>
    <row r="1020" spans="1:19" x14ac:dyDescent="0.3">
      <c r="A1020">
        <v>1.018</v>
      </c>
      <c r="B1020">
        <f>Uo*COS(2*PI()*Wn*Sheet2!A1020) + (Vo/Wn - (Po*(w/Wn))/(K*(1-(w/Wn)^2)))*SIN(2*PI()*Wn*Sheet2!A1020) +(Po*SIN(2*PI()*w*Sheet2!A1020))/(K*(1-(w/Wn)^2))</f>
        <v>18.011944549208952</v>
      </c>
      <c r="C1020">
        <f t="shared" si="62"/>
        <v>6.9148547166429628</v>
      </c>
      <c r="D1020">
        <f t="shared" si="63"/>
        <v>1129.5058632439952</v>
      </c>
      <c r="R1020">
        <f t="shared" si="60"/>
        <v>1.018</v>
      </c>
      <c r="S1020">
        <f t="shared" si="61"/>
        <v>6.9148547166429628</v>
      </c>
    </row>
    <row r="1021" spans="1:19" x14ac:dyDescent="0.3">
      <c r="A1021">
        <v>1.0189999999999999</v>
      </c>
      <c r="B1021">
        <f>Uo*COS(2*PI()*Wn*Sheet2!A1021) + (Vo/Wn - (Po*(w/Wn))/(K*(1-(w/Wn)^2)))*SIN(2*PI()*Wn*Sheet2!A1021) +(Po*SIN(2*PI()*w*Sheet2!A1021))/(K*(1-(w/Wn)^2))</f>
        <v>18.166117726609087</v>
      </c>
      <c r="C1021">
        <f t="shared" si="62"/>
        <v>6.9793313798394063</v>
      </c>
      <c r="D1021">
        <f t="shared" si="63"/>
        <v>1140.0377937193398</v>
      </c>
      <c r="R1021">
        <f t="shared" si="60"/>
        <v>1.0189999999999999</v>
      </c>
      <c r="S1021">
        <f t="shared" si="61"/>
        <v>6.9793313798394063</v>
      </c>
    </row>
    <row r="1022" spans="1:19" x14ac:dyDescent="0.3">
      <c r="A1022">
        <v>1.02</v>
      </c>
      <c r="B1022">
        <f>Uo*COS(2*PI()*Wn*Sheet2!A1022) + (Vo/Wn - (Po*(w/Wn))/(K*(1-(w/Wn)^2)))*SIN(2*PI()*Wn*Sheet2!A1022) +(Po*SIN(2*PI()*w*Sheet2!A1022))/(K*(1-(w/Wn)^2))</f>
        <v>18.314356382250981</v>
      </c>
      <c r="C1022">
        <f t="shared" si="62"/>
        <v>7.0414136553217199</v>
      </c>
      <c r="D1022">
        <f t="shared" si="63"/>
        <v>1150.1786133076428</v>
      </c>
      <c r="R1022">
        <f t="shared" si="60"/>
        <v>1.02</v>
      </c>
      <c r="S1022">
        <f t="shared" si="61"/>
        <v>7.0414136553217199</v>
      </c>
    </row>
    <row r="1023" spans="1:19" x14ac:dyDescent="0.3">
      <c r="A1023">
        <v>1.0209999999999999</v>
      </c>
      <c r="B1023">
        <f>Uo*COS(2*PI()*Wn*Sheet2!A1023) + (Vo/Wn - (Po*(w/Wn))/(K*(1-(w/Wn)^2)))*SIN(2*PI()*Wn*Sheet2!A1023) +(Po*SIN(2*PI()*w*Sheet2!A1023))/(K*(1-(w/Wn)^2))</f>
        <v>18.456612089412861</v>
      </c>
      <c r="C1023">
        <f t="shared" si="62"/>
        <v>7.1010856041618604</v>
      </c>
      <c r="D1023">
        <f t="shared" si="63"/>
        <v>1159.9257184671935</v>
      </c>
      <c r="R1023">
        <f t="shared" si="60"/>
        <v>1.0209999999999999</v>
      </c>
      <c r="S1023">
        <f t="shared" si="61"/>
        <v>7.1010856041618604</v>
      </c>
    </row>
    <row r="1024" spans="1:19" x14ac:dyDescent="0.3">
      <c r="A1024">
        <v>1.022</v>
      </c>
      <c r="B1024">
        <f>Uo*COS(2*PI()*Wn*Sheet2!A1024) + (Vo/Wn - (Po*(w/Wn))/(K*(1-(w/Wn)^2)))*SIN(2*PI()*Wn*Sheet2!A1024) +(Po*SIN(2*PI()*w*Sheet2!A1024))/(K*(1-(w/Wn)^2))</f>
        <v>18.592838375887442</v>
      </c>
      <c r="C1024">
        <f t="shared" si="62"/>
        <v>7.1583321029109799</v>
      </c>
      <c r="D1024">
        <f t="shared" si="63"/>
        <v>1169.2766388606028</v>
      </c>
      <c r="R1024">
        <f t="shared" si="60"/>
        <v>1.022</v>
      </c>
      <c r="S1024">
        <f t="shared" si="61"/>
        <v>7.1583321029109799</v>
      </c>
    </row>
    <row r="1025" spans="1:19" x14ac:dyDescent="0.3">
      <c r="A1025">
        <v>1.0229999999999999</v>
      </c>
      <c r="B1025">
        <f>Uo*COS(2*PI()*Wn*Sheet2!A1025) + (Vo/Wn - (Po*(w/Wn))/(K*(1-(w/Wn)^2)))*SIN(2*PI()*Wn*Sheet2!A1025) +(Po*SIN(2*PI()*w*Sheet2!A1025))/(K*(1-(w/Wn)^2))</f>
        <v>18.722990739163279</v>
      </c>
      <c r="C1025">
        <f t="shared" si="62"/>
        <v>7.2131388470627851</v>
      </c>
      <c r="D1025">
        <f t="shared" si="63"/>
        <v>1178.2290379205258</v>
      </c>
      <c r="R1025">
        <f t="shared" ref="R1025:R1088" si="64">A1025</f>
        <v>1.0229999999999999</v>
      </c>
      <c r="S1025">
        <f t="shared" ref="S1025:S1088" si="65">C1025</f>
        <v>7.2131388470627851</v>
      </c>
    </row>
    <row r="1026" spans="1:19" x14ac:dyDescent="0.3">
      <c r="A1026">
        <v>1.024</v>
      </c>
      <c r="B1026">
        <f>Uo*COS(2*PI()*Wn*Sheet2!A1026) + (Vo/Wn - (Po*(w/Wn))/(K*(1-(w/Wn)^2)))*SIN(2*PI()*Wn*Sheet2!A1026) +(Po*SIN(2*PI()*w*Sheet2!A1026))/(K*(1-(w/Wn)^2))</f>
        <v>18.847026660963063</v>
      </c>
      <c r="C1026">
        <f t="shared" ref="C1026:C1089" si="66">EXP(-zeta*Wn*A1026*2*PI())*($H$1*COS(wnD*2*PI()*A1026) + $H$2*SIN(wnD*2*PI()*A1026)) + $H$3*SIN(w*2*PI()*A1026) + $H$4*COS(w*2*PI()*A1026)</f>
        <v>7.2654923542435492</v>
      </c>
      <c r="D1026">
        <f t="shared" ref="D1026:D1089" si="67">K*C1026</f>
        <v>1186.7807133707322</v>
      </c>
      <c r="R1026">
        <f t="shared" si="64"/>
        <v>1.024</v>
      </c>
      <c r="S1026">
        <f t="shared" si="65"/>
        <v>7.2654923542435492</v>
      </c>
    </row>
    <row r="1027" spans="1:19" x14ac:dyDescent="0.3">
      <c r="A1027">
        <v>1.0249999999999999</v>
      </c>
      <c r="B1027">
        <f>Uo*COS(2*PI()*Wn*Sheet2!A1027) + (Vo/Wn - (Po*(w/Wn))/(K*(1-(w/Wn)^2)))*SIN(2*PI()*Wn*Sheet2!A1027) +(Po*SIN(2*PI()*w*Sheet2!A1027))/(K*(1-(w/Wn)^2))</f>
        <v>18.964905621133397</v>
      </c>
      <c r="C1027">
        <f t="shared" si="66"/>
        <v>7.3153799671278827</v>
      </c>
      <c r="D1027">
        <f t="shared" si="67"/>
        <v>1194.9295977023842</v>
      </c>
      <c r="R1027">
        <f t="shared" si="64"/>
        <v>1.0249999999999999</v>
      </c>
      <c r="S1027">
        <f t="shared" si="65"/>
        <v>7.3153799671278827</v>
      </c>
    </row>
    <row r="1028" spans="1:19" x14ac:dyDescent="0.3">
      <c r="A1028">
        <v>1.026</v>
      </c>
      <c r="B1028">
        <f>Uo*COS(2*PI()*Wn*Sheet2!A1028) + (Vo/Wn - (Po*(w/Wn))/(K*(1-(w/Wn)^2)))*SIN(2*PI()*Wn*Sheet2!A1028) +(Po*SIN(2*PI()*w*Sheet2!A1028))/(K*(1-(w/Wn)^2))</f>
        <v>19.076589110882029</v>
      </c>
      <c r="C1028">
        <f t="shared" si="66"/>
        <v>7.362789856080032</v>
      </c>
      <c r="D1028">
        <f t="shared" si="67"/>
        <v>1202.6737586054778</v>
      </c>
      <c r="R1028">
        <f t="shared" si="64"/>
        <v>1.026</v>
      </c>
      <c r="S1028">
        <f t="shared" si="65"/>
        <v>7.362789856080032</v>
      </c>
    </row>
    <row r="1029" spans="1:19" x14ac:dyDescent="0.3">
      <c r="A1029">
        <v>1.0269999999999999</v>
      </c>
      <c r="B1029">
        <f>Uo*COS(2*PI()*Wn*Sheet2!A1029) + (Vo/Wn - (Po*(w/Wn))/(K*(1-(w/Wn)^2)))*SIN(2*PI()*Wn*Sheet2!A1029) +(Po*SIN(2*PI()*w*Sheet2!A1029))/(K*(1-(w/Wn)^2))</f>
        <v>19.182040645357841</v>
      </c>
      <c r="C1029">
        <f t="shared" si="66"/>
        <v>7.4077110215202238</v>
      </c>
      <c r="D1029">
        <f t="shared" si="67"/>
        <v>1210.0113993553739</v>
      </c>
      <c r="R1029">
        <f t="shared" si="64"/>
        <v>1.0269999999999999</v>
      </c>
      <c r="S1029">
        <f t="shared" si="65"/>
        <v>7.4077110215202238</v>
      </c>
    </row>
    <row r="1030" spans="1:19" x14ac:dyDescent="0.3">
      <c r="A1030">
        <v>1.028</v>
      </c>
      <c r="B1030">
        <f>Uo*COS(2*PI()*Wn*Sheet2!A1030) + (Vo/Wn - (Po*(w/Wn))/(K*(1-(w/Wn)^2)))*SIN(2*PI()*Wn*Sheet2!A1030) +(Po*SIN(2*PI()*w*Sheet2!A1030))/(K*(1-(w/Wn)^2))</f>
        <v>19.281225775569865</v>
      </c>
      <c r="C1030">
        <f t="shared" si="66"/>
        <v>7.450133296015867</v>
      </c>
      <c r="D1030">
        <f t="shared" si="67"/>
        <v>1216.9408591543843</v>
      </c>
      <c r="R1030">
        <f t="shared" si="64"/>
        <v>1.028</v>
      </c>
      <c r="S1030">
        <f t="shared" si="65"/>
        <v>7.450133296015867</v>
      </c>
    </row>
    <row r="1031" spans="1:19" x14ac:dyDescent="0.3">
      <c r="A1031">
        <v>1.0289999999999999</v>
      </c>
      <c r="B1031">
        <f>Uo*COS(2*PI()*Wn*Sheet2!A1031) + (Vo/Wn - (Po*(w/Wn))/(K*(1-(w/Wn)^2)))*SIN(2*PI()*Wn*Sheet2!A1031) +(Po*SIN(2*PI()*w*Sheet2!A1031))/(K*(1-(w/Wn)^2))</f>
        <v>19.374112099641035</v>
      </c>
      <c r="C1031">
        <f t="shared" si="66"/>
        <v>7.4900473460973291</v>
      </c>
      <c r="D1031">
        <f t="shared" si="67"/>
        <v>1223.4606134283704</v>
      </c>
      <c r="R1031">
        <f t="shared" si="64"/>
        <v>1.0289999999999999</v>
      </c>
      <c r="S1031">
        <f t="shared" si="65"/>
        <v>7.4900473460973291</v>
      </c>
    </row>
    <row r="1032" spans="1:19" x14ac:dyDescent="0.3">
      <c r="A1032">
        <v>1.03</v>
      </c>
      <c r="B1032">
        <f>Uo*COS(2*PI()*Wn*Sheet2!A1032) + (Vo/Wn - (Po*(w/Wn))/(K*(1-(w/Wn)^2)))*SIN(2*PI()*Wn*Sheet2!A1032) +(Po*SIN(2*PI()*w*Sheet2!A1032))/(K*(1-(w/Wn)^2))</f>
        <v>19.460669273393297</v>
      </c>
      <c r="C1032">
        <f t="shared" si="66"/>
        <v>7.527444673798267</v>
      </c>
      <c r="D1032">
        <f t="shared" si="67"/>
        <v>1229.5692740783477</v>
      </c>
      <c r="R1032">
        <f t="shared" si="64"/>
        <v>1.03</v>
      </c>
      <c r="S1032">
        <f t="shared" si="65"/>
        <v>7.527444673798267</v>
      </c>
    </row>
    <row r="1033" spans="1:19" x14ac:dyDescent="0.3">
      <c r="A1033">
        <v>1.0309999999999999</v>
      </c>
      <c r="B1033">
        <f>Uo*COS(2*PI()*Wn*Sheet2!A1033) + (Vo/Wn - (Po*(w/Wn))/(K*(1-(w/Wn)^2)))*SIN(2*PI()*Wn*Sheet2!A1033) +(Po*SIN(2*PI()*w*Sheet2!A1033))/(K*(1-(w/Wn)^2))</f>
        <v>19.540869020260384</v>
      </c>
      <c r="C1033">
        <f t="shared" si="66"/>
        <v>7.562317617920435</v>
      </c>
      <c r="D1033">
        <f t="shared" si="67"/>
        <v>1235.2655896870856</v>
      </c>
      <c r="R1033">
        <f t="shared" si="64"/>
        <v>1.0309999999999999</v>
      </c>
      <c r="S1033">
        <f t="shared" si="65"/>
        <v>7.562317617920435</v>
      </c>
    </row>
    <row r="1034" spans="1:19" x14ac:dyDescent="0.3">
      <c r="A1034">
        <v>1.032</v>
      </c>
      <c r="B1034">
        <f>Uo*COS(2*PI()*Wn*Sheet2!A1034) + (Vo/Wn - (Po*(w/Wn))/(K*(1-(w/Wn)^2)))*SIN(2*PI()*Wn*Sheet2!A1034) +(Po*SIN(2*PI()*w*Sheet2!A1034))/(K*(1-(w/Wn)^2))</f>
        <v>19.614685140525353</v>
      </c>
      <c r="C1034">
        <f t="shared" si="66"/>
        <v>7.5946593550231949</v>
      </c>
      <c r="D1034">
        <f t="shared" si="67"/>
        <v>1240.5484456807394</v>
      </c>
      <c r="R1034">
        <f t="shared" si="64"/>
        <v>1.032</v>
      </c>
      <c r="S1034">
        <f t="shared" si="65"/>
        <v>7.5946593550231949</v>
      </c>
    </row>
    <row r="1035" spans="1:19" x14ac:dyDescent="0.3">
      <c r="A1035">
        <v>1.0329999999999999</v>
      </c>
      <c r="B1035">
        <f>Uo*COS(2*PI()*Wn*Sheet2!A1035) + (Vo/Wn - (Po*(w/Wn))/(K*(1-(w/Wn)^2)))*SIN(2*PI()*Wn*Sheet2!A1035) +(Po*SIN(2*PI()*w*Sheet2!A1035))/(K*(1-(w/Wn)^2))</f>
        <v>19.682093519879444</v>
      </c>
      <c r="C1035">
        <f t="shared" si="66"/>
        <v>7.6244639001377026</v>
      </c>
      <c r="D1035">
        <f t="shared" si="67"/>
        <v>1245.4168644455085</v>
      </c>
      <c r="R1035">
        <f t="shared" si="64"/>
        <v>1.0329999999999999</v>
      </c>
      <c r="S1035">
        <f t="shared" si="65"/>
        <v>7.6244639001377026</v>
      </c>
    </row>
    <row r="1036" spans="1:19" x14ac:dyDescent="0.3">
      <c r="A1036">
        <v>1.034</v>
      </c>
      <c r="B1036">
        <f>Uo*COS(2*PI()*Wn*Sheet2!A1036) + (Vo/Wn - (Po*(w/Wn))/(K*(1-(w/Wn)^2)))*SIN(2*PI()*Wn*Sheet2!A1036) +(Po*SIN(2*PI()*w*Sheet2!A1036))/(K*(1-(w/Wn)^2))</f>
        <v>19.743072137299794</v>
      </c>
      <c r="C1036">
        <f t="shared" si="66"/>
        <v>7.6517261072062048</v>
      </c>
      <c r="D1036">
        <f t="shared" si="67"/>
        <v>1249.8700053993932</v>
      </c>
      <c r="R1036">
        <f t="shared" si="64"/>
        <v>1.034</v>
      </c>
      <c r="S1036">
        <f t="shared" si="65"/>
        <v>7.6517261072062048</v>
      </c>
    </row>
    <row r="1037" spans="1:19" x14ac:dyDescent="0.3">
      <c r="A1037">
        <v>1.0349999999999999</v>
      </c>
      <c r="B1037">
        <f>Uo*COS(2*PI()*Wn*Sheet2!A1037) + (Vo/Wn - (Po*(w/Wn))/(K*(1-(w/Wn)^2)))*SIN(2*PI()*Wn*Sheet2!A1037) +(Po*SIN(2*PI()*w*Sheet2!A1037))/(K*(1-(w/Wn)^2))</f>
        <v>19.797601072243236</v>
      </c>
      <c r="C1037">
        <f t="shared" si="66"/>
        <v>7.6764416692466897</v>
      </c>
      <c r="D1037">
        <f t="shared" si="67"/>
        <v>1253.9071650190897</v>
      </c>
      <c r="R1037">
        <f t="shared" si="64"/>
        <v>1.0349999999999999</v>
      </c>
      <c r="S1037">
        <f t="shared" si="65"/>
        <v>7.6764416692466897</v>
      </c>
    </row>
    <row r="1038" spans="1:19" x14ac:dyDescent="0.3">
      <c r="A1038">
        <v>1.036</v>
      </c>
      <c r="B1038">
        <f>Uo*COS(2*PI()*Wn*Sheet2!A1038) + (Vo/Wn - (Po*(w/Wn))/(K*(1-(w/Wn)^2)))*SIN(2*PI()*Wn*Sheet2!A1038) +(Po*SIN(2*PI()*w*Sheet2!A1038))/(K*(1-(w/Wn)^2))</f>
        <v>19.845662511154046</v>
      </c>
      <c r="C1038">
        <f t="shared" si="66"/>
        <v>7.6986071182434435</v>
      </c>
      <c r="D1038">
        <f t="shared" si="67"/>
        <v>1257.5277768221131</v>
      </c>
      <c r="R1038">
        <f t="shared" si="64"/>
        <v>1.036</v>
      </c>
      <c r="S1038">
        <f t="shared" si="65"/>
        <v>7.6986071182434435</v>
      </c>
    </row>
    <row r="1039" spans="1:19" x14ac:dyDescent="0.3">
      <c r="A1039">
        <v>1.0369999999999999</v>
      </c>
      <c r="B1039">
        <f>Uo*COS(2*PI()*Wn*Sheet2!A1039) + (Vo/Wn - (Po*(w/Wn))/(K*(1-(w/Wn)^2)))*SIN(2*PI()*Wn*Sheet2!A1039) +(Po*SIN(2*PI()*w*Sheet2!A1039))/(K*(1-(w/Wn)^2))</f>
        <v>19.88724075328318</v>
      </c>
      <c r="C1039">
        <f t="shared" si="66"/>
        <v>7.7182198247638869</v>
      </c>
      <c r="D1039">
        <f t="shared" si="67"/>
        <v>1260.7314113042094</v>
      </c>
      <c r="R1039">
        <f t="shared" si="64"/>
        <v>1.0369999999999999</v>
      </c>
      <c r="S1039">
        <f t="shared" si="65"/>
        <v>7.7182198247638869</v>
      </c>
    </row>
    <row r="1040" spans="1:19" x14ac:dyDescent="0.3">
      <c r="A1040">
        <v>1.038</v>
      </c>
      <c r="B1040">
        <f>Uo*COS(2*PI()*Wn*Sheet2!A1040) + (Vo/Wn - (Po*(w/Wn))/(K*(1-(w/Wn)^2)))*SIN(2*PI()*Wn*Sheet2!A1040) +(Po*SIN(2*PI()*w*Sheet2!A1040))/(K*(1-(w/Wn)^2))</f>
        <v>19.922322215817537</v>
      </c>
      <c r="C1040">
        <f t="shared" si="66"/>
        <v>7.735277997302501</v>
      </c>
      <c r="D1040">
        <f t="shared" si="67"/>
        <v>1263.51777583219</v>
      </c>
      <c r="R1040">
        <f t="shared" si="64"/>
        <v>1.038</v>
      </c>
      <c r="S1040">
        <f t="shared" si="65"/>
        <v>7.735277997302501</v>
      </c>
    </row>
    <row r="1041" spans="1:19" x14ac:dyDescent="0.3">
      <c r="A1041">
        <v>1.0389999999999999</v>
      </c>
      <c r="B1041">
        <f>Uo*COS(2*PI()*Wn*Sheet2!A1041) + (Vo/Wn - (Po*(w/Wn))/(K*(1-(w/Wn)^2)))*SIN(2*PI()*Wn*Sheet2!A1041) +(Po*SIN(2*PI()*w*Sheet2!A1041))/(K*(1-(w/Wn)^2))</f>
        <v>19.950895438317065</v>
      </c>
      <c r="C1041">
        <f t="shared" si="66"/>
        <v>7.7497806813523589</v>
      </c>
      <c r="D1041">
        <f t="shared" si="67"/>
        <v>1265.8867144922697</v>
      </c>
      <c r="R1041">
        <f t="shared" si="64"/>
        <v>1.0389999999999999</v>
      </c>
      <c r="S1041">
        <f t="shared" si="65"/>
        <v>7.7497806813523589</v>
      </c>
    </row>
    <row r="1042" spans="1:19" x14ac:dyDescent="0.3">
      <c r="A1042">
        <v>1.04</v>
      </c>
      <c r="B1042">
        <f>Uo*COS(2*PI()*Wn*Sheet2!A1042) + (Vo/Wn - (Po*(w/Wn))/(K*(1-(w/Wn)^2)))*SIN(2*PI()*Wn*Sheet2!A1042) +(Po*SIN(2*PI()*w*Sheet2!A1042))/(K*(1-(w/Wn)^2))</f>
        <v>19.972951086458764</v>
      </c>
      <c r="C1042">
        <f t="shared" si="66"/>
        <v>7.7617277582052147</v>
      </c>
      <c r="D1042">
        <f t="shared" si="67"/>
        <v>1267.8382078940685</v>
      </c>
      <c r="R1042">
        <f t="shared" si="64"/>
        <v>1.04</v>
      </c>
      <c r="S1042">
        <f t="shared" si="65"/>
        <v>7.7617277582052147</v>
      </c>
    </row>
    <row r="1043" spans="1:19" x14ac:dyDescent="0.3">
      <c r="A1043">
        <v>1.0409999999999999</v>
      </c>
      <c r="B1043">
        <f>Uo*COS(2*PI()*Wn*Sheet2!A1043) + (Vo/Wn - (Po*(w/Wn))/(K*(1-(w/Wn)^2)))*SIN(2*PI()*Wn*Sheet2!A1043) +(Po*SIN(2*PI()*w*Sheet2!A1043))/(K*(1-(w/Wn)^2))</f>
        <v>19.988481955085987</v>
      </c>
      <c r="C1043">
        <f t="shared" si="66"/>
        <v>7.7711199434809322</v>
      </c>
      <c r="D1043">
        <f t="shared" si="67"/>
        <v>1269.3723729304018</v>
      </c>
      <c r="R1043">
        <f t="shared" si="64"/>
        <v>1.0409999999999999</v>
      </c>
      <c r="S1043">
        <f t="shared" si="65"/>
        <v>7.7711199434809322</v>
      </c>
    </row>
    <row r="1044" spans="1:19" x14ac:dyDescent="0.3">
      <c r="A1044">
        <v>1.042</v>
      </c>
      <c r="B1044">
        <f>Uo*COS(2*PI()*Wn*Sheet2!A1044) + (Vo/Wn - (Po*(w/Wn))/(K*(1-(w/Wn)^2)))*SIN(2*PI()*Wn*Sheet2!A1044) +(Po*SIN(2*PI()*w*Sheet2!A1044))/(K*(1-(w/Wn)^2))</f>
        <v>19.997482970562249</v>
      </c>
      <c r="C1044">
        <f t="shared" si="66"/>
        <v>7.7779587853872831</v>
      </c>
      <c r="D1044">
        <f t="shared" si="67"/>
        <v>1270.4894624930255</v>
      </c>
      <c r="R1044">
        <f t="shared" si="64"/>
        <v>1.042</v>
      </c>
      <c r="S1044">
        <f t="shared" si="65"/>
        <v>7.7779587853872831</v>
      </c>
    </row>
    <row r="1045" spans="1:19" x14ac:dyDescent="0.3">
      <c r="A1045">
        <v>1.0429999999999999</v>
      </c>
      <c r="B1045">
        <f>Uo*COS(2*PI()*Wn*Sheet2!A1045) + (Vo/Wn - (Po*(w/Wn))/(K*(1-(w/Wn)^2)))*SIN(2*PI()*Wn*Sheet2!A1045) +(Po*SIN(2*PI()*w*Sheet2!A1045))/(K*(1-(w/Wn)^2))</f>
        <v>19.999951192428671</v>
      </c>
      <c r="C1045">
        <f t="shared" si="66"/>
        <v>7.7822466627111107</v>
      </c>
      <c r="D1045">
        <f t="shared" si="67"/>
        <v>1271.1898651445053</v>
      </c>
      <c r="R1045">
        <f t="shared" si="64"/>
        <v>1.0429999999999999</v>
      </c>
      <c r="S1045">
        <f t="shared" si="65"/>
        <v>7.7822466627111107</v>
      </c>
    </row>
    <row r="1046" spans="1:19" x14ac:dyDescent="0.3">
      <c r="A1046">
        <v>1.044</v>
      </c>
      <c r="B1046">
        <f>Uo*COS(2*PI()*Wn*Sheet2!A1046) + (Vo/Wn - (Po*(w/Wn))/(K*(1-(w/Wn)^2)))*SIN(2*PI()*Wn*Sheet2!A1046) +(Po*SIN(2*PI()*w*Sheet2!A1046))/(K*(1-(w/Wn)^2))</f>
        <v>19.99588581436457</v>
      </c>
      <c r="C1046">
        <f t="shared" si="66"/>
        <v>7.7839867825420486</v>
      </c>
      <c r="D1046">
        <f t="shared" si="67"/>
        <v>1271.4741047463961</v>
      </c>
      <c r="R1046">
        <f t="shared" si="64"/>
        <v>1.044</v>
      </c>
      <c r="S1046">
        <f t="shared" si="65"/>
        <v>7.7839867825420486</v>
      </c>
    </row>
    <row r="1047" spans="1:19" x14ac:dyDescent="0.3">
      <c r="A1047">
        <v>1.0449999999999999</v>
      </c>
      <c r="B1047">
        <f>Uo*COS(2*PI()*Wn*Sheet2!A1047) + (Vo/Wn - (Po*(w/Wn))/(K*(1-(w/Wn)^2)))*SIN(2*PI()*Wn*Sheet2!A1047) +(Po*SIN(2*PI()*w*Sheet2!A1047))/(K*(1-(w/Wn)^2))</f>
        <v>19.985288164450886</v>
      </c>
      <c r="C1047">
        <f t="shared" si="66"/>
        <v>7.7831831777300202</v>
      </c>
      <c r="D1047">
        <f t="shared" si="67"/>
        <v>1271.3428400439386</v>
      </c>
      <c r="R1047">
        <f t="shared" si="64"/>
        <v>1.0449999999999999</v>
      </c>
      <c r="S1047">
        <f t="shared" si="65"/>
        <v>7.7831831777300202</v>
      </c>
    </row>
    <row r="1048" spans="1:19" x14ac:dyDescent="0.3">
      <c r="A1048">
        <v>1.046</v>
      </c>
      <c r="B1048">
        <f>Uo*COS(2*PI()*Wn*Sheet2!A1048) + (Vo/Wn - (Po*(w/Wn))/(K*(1-(w/Wn)^2)))*SIN(2*PI()*Wn*Sheet2!A1048) +(Po*SIN(2*PI()*w*Sheet2!A1048))/(K*(1-(w/Wn)^2))</f>
        <v>19.968161704736293</v>
      </c>
      <c r="C1048">
        <f t="shared" si="66"/>
        <v>7.7798407040777802</v>
      </c>
      <c r="D1048">
        <f t="shared" si="67"/>
        <v>1270.796864207475</v>
      </c>
      <c r="R1048">
        <f t="shared" si="64"/>
        <v>1.046</v>
      </c>
      <c r="S1048">
        <f t="shared" si="65"/>
        <v>7.7798407040777802</v>
      </c>
    </row>
    <row r="1049" spans="1:19" x14ac:dyDescent="0.3">
      <c r="A1049">
        <v>1.0469999999999999</v>
      </c>
      <c r="B1049">
        <f>Uo*COS(2*PI()*Wn*Sheet2!A1049) + (Vo/Wn - (Po*(w/Wn))/(K*(1-(w/Wn)^2)))*SIN(2*PI()*Wn*Sheet2!A1049) +(Po*SIN(2*PI()*w*Sheet2!A1049))/(K*(1-(w/Wn)^2))</f>
        <v>19.944512030106253</v>
      </c>
      <c r="C1049">
        <f t="shared" si="66"/>
        <v>7.7739650372699503</v>
      </c>
      <c r="D1049">
        <f t="shared" si="67"/>
        <v>1269.837104330823</v>
      </c>
      <c r="R1049">
        <f t="shared" si="64"/>
        <v>1.0469999999999999</v>
      </c>
      <c r="S1049">
        <f t="shared" si="65"/>
        <v>7.7739650372699503</v>
      </c>
    </row>
    <row r="1050" spans="1:19" x14ac:dyDescent="0.3">
      <c r="A1050">
        <v>1.048</v>
      </c>
      <c r="B1050">
        <f>Uo*COS(2*PI()*Wn*Sheet2!A1050) + (Vo/Wn - (Po*(w/Wn))/(K*(1-(w/Wn)^2)))*SIN(2*PI()*Wn*Sheet2!A1050) +(Po*SIN(2*PI()*w*Sheet2!A1050))/(K*(1-(w/Wn)^2))</f>
        <v>19.914346866455244</v>
      </c>
      <c r="C1050">
        <f t="shared" si="66"/>
        <v>7.7655626695399906</v>
      </c>
      <c r="D1050">
        <f t="shared" si="67"/>
        <v>1268.4646208868426</v>
      </c>
      <c r="R1050">
        <f t="shared" si="64"/>
        <v>1.048</v>
      </c>
      <c r="S1050">
        <f t="shared" si="65"/>
        <v>7.7655626695399906</v>
      </c>
    </row>
    <row r="1051" spans="1:19" x14ac:dyDescent="0.3">
      <c r="A1051">
        <v>1.0489999999999999</v>
      </c>
      <c r="B1051">
        <f>Uo*COS(2*PI()*Wn*Sheet2!A1051) + (Vo/Wn - (Po*(w/Wn))/(K*(1-(w/Wn)^2)))*SIN(2*PI()*Wn*Sheet2!A1051) +(Po*SIN(2*PI()*w*Sheet2!A1051))/(K*(1-(w/Wn)^2))</f>
        <v>19.877676068162881</v>
      </c>
      <c r="C1051">
        <f t="shared" si="66"/>
        <v>7.7546409060766974</v>
      </c>
      <c r="D1051">
        <f t="shared" si="67"/>
        <v>1266.6806071404565</v>
      </c>
      <c r="R1051">
        <f t="shared" si="64"/>
        <v>1.0489999999999999</v>
      </c>
      <c r="S1051">
        <f t="shared" si="65"/>
        <v>7.7546409060766974</v>
      </c>
    </row>
    <row r="1052" spans="1:19" x14ac:dyDescent="0.3">
      <c r="A1052">
        <v>1.05</v>
      </c>
      <c r="B1052">
        <f>Uo*COS(2*PI()*Wn*Sheet2!A1052) + (Vo/Wn - (Po*(w/Wn))/(K*(1-(w/Wn)^2)))*SIN(2*PI()*Wn*Sheet2!A1052) +(Po*SIN(2*PI()*w*Sheet2!A1052))/(K*(1-(w/Wn)^2))</f>
        <v>19.834511614874632</v>
      </c>
      <c r="C1052">
        <f t="shared" si="66"/>
        <v>7.7412078611718105</v>
      </c>
      <c r="D1052">
        <f t="shared" si="67"/>
        <v>1264.4863885193811</v>
      </c>
      <c r="R1052">
        <f t="shared" si="64"/>
        <v>1.05</v>
      </c>
      <c r="S1052">
        <f t="shared" si="65"/>
        <v>7.7412078611718105</v>
      </c>
    </row>
    <row r="1053" spans="1:19" x14ac:dyDescent="0.3">
      <c r="A1053">
        <v>1.0509999999999999</v>
      </c>
      <c r="B1053">
        <f>Uo*COS(2*PI()*Wn*Sheet2!A1053) + (Vo/Wn - (Po*(w/Wn))/(K*(1-(w/Wn)^2)))*SIN(2*PI()*Wn*Sheet2!A1053) +(Po*SIN(2*PI()*w*Sheet2!A1053))/(K*(1-(w/Wn)^2))</f>
        <v>19.784867607588389</v>
      </c>
      <c r="C1053">
        <f t="shared" si="66"/>
        <v>7.7252724541105611</v>
      </c>
      <c r="D1053">
        <f t="shared" si="67"/>
        <v>1261.8834219428686</v>
      </c>
      <c r="R1053">
        <f t="shared" si="64"/>
        <v>1.0509999999999999</v>
      </c>
      <c r="S1053">
        <f t="shared" si="65"/>
        <v>7.7252724541105611</v>
      </c>
    </row>
    <row r="1054" spans="1:19" x14ac:dyDescent="0.3">
      <c r="A1054">
        <v>1.052</v>
      </c>
      <c r="B1054">
        <f>Uo*COS(2*PI()*Wn*Sheet2!A1054) + (Vo/Wn - (Po*(w/Wn))/(K*(1-(w/Wn)^2)))*SIN(2*PI()*Wn*Sheet2!A1054) +(Po*SIN(2*PI()*w*Sheet2!A1054))/(K*(1-(w/Wn)^2))</f>
        <v>19.728760264047828</v>
      </c>
      <c r="C1054">
        <f t="shared" si="66"/>
        <v>7.7068444048068407</v>
      </c>
      <c r="D1054">
        <f t="shared" si="67"/>
        <v>1258.8732951087352</v>
      </c>
      <c r="R1054">
        <f t="shared" si="64"/>
        <v>1.052</v>
      </c>
      <c r="S1054">
        <f t="shared" si="65"/>
        <v>7.7068444048068407</v>
      </c>
    </row>
    <row r="1055" spans="1:19" x14ac:dyDescent="0.3">
      <c r="A1055">
        <v>1.0529999999999999</v>
      </c>
      <c r="B1055">
        <f>Uo*COS(2*PI()*Wn*Sheet2!A1055) + (Vo/Wn - (Po*(w/Wn))/(K*(1-(w/Wn)^2)))*SIN(2*PI()*Wn*Sheet2!A1055) +(Po*SIN(2*PI()*w*Sheet2!A1055))/(K*(1-(w/Wn)^2))</f>
        <v>19.666207913444509</v>
      </c>
      <c r="C1055">
        <f t="shared" si="66"/>
        <v>7.6859342291849995</v>
      </c>
      <c r="D1055">
        <f t="shared" si="67"/>
        <v>1255.4577257390004</v>
      </c>
      <c r="R1055">
        <f t="shared" si="64"/>
        <v>1.0529999999999999</v>
      </c>
      <c r="S1055">
        <f t="shared" si="65"/>
        <v>7.6859342291849995</v>
      </c>
    </row>
    <row r="1056" spans="1:19" x14ac:dyDescent="0.3">
      <c r="A1056">
        <v>1.054</v>
      </c>
      <c r="B1056">
        <f>Uo*COS(2*PI()*Wn*Sheet2!A1056) + (Vo/Wn - (Po*(w/Wn))/(K*(1-(w/Wn)^2)))*SIN(2*PI()*Wn*Sheet2!A1056) +(Po*SIN(2*PI()*w*Sheet2!A1056))/(K*(1-(w/Wn)^2))</f>
        <v>19.597230990429935</v>
      </c>
      <c r="C1056">
        <f t="shared" si="66"/>
        <v>7.6625532343100851</v>
      </c>
      <c r="D1056">
        <f t="shared" si="67"/>
        <v>1251.6385607844379</v>
      </c>
      <c r="R1056">
        <f t="shared" si="64"/>
        <v>1.054</v>
      </c>
      <c r="S1056">
        <f t="shared" si="65"/>
        <v>7.6625532343100851</v>
      </c>
    </row>
    <row r="1057" spans="1:19" x14ac:dyDescent="0.3">
      <c r="A1057">
        <v>1.0549999999999999</v>
      </c>
      <c r="B1057">
        <f>Uo*COS(2*PI()*Wn*Sheet2!A1057) + (Vo/Wn - (Po*(w/Wn))/(K*(1-(w/Wn)^2)))*SIN(2*PI()*Wn*Sheet2!A1057) +(Po*SIN(2*PI()*w*Sheet2!A1057))/(K*(1-(w/Wn)^2))</f>
        <v>19.521852028440104</v>
      </c>
      <c r="C1057">
        <f t="shared" si="66"/>
        <v>7.6367135132687913</v>
      </c>
      <c r="D1057">
        <f t="shared" si="67"/>
        <v>1247.4177755884043</v>
      </c>
      <c r="R1057">
        <f t="shared" si="64"/>
        <v>1.0549999999999999</v>
      </c>
      <c r="S1057">
        <f t="shared" si="65"/>
        <v>7.6367135132687913</v>
      </c>
    </row>
    <row r="1058" spans="1:19" x14ac:dyDescent="0.3">
      <c r="A1058">
        <v>1.056</v>
      </c>
      <c r="B1058">
        <f>Uo*COS(2*PI()*Wn*Sheet2!A1058) + (Vo/Wn - (Po*(w/Wn))/(K*(1-(w/Wn)^2)))*SIN(2*PI()*Wn*Sheet2!A1058) +(Po*SIN(2*PI()*w*Sheet2!A1058))/(K*(1-(w/Wn)^2))</f>
        <v>19.440095652334119</v>
      </c>
      <c r="C1058">
        <f t="shared" si="66"/>
        <v>7.6084279398029713</v>
      </c>
      <c r="D1058">
        <f t="shared" si="67"/>
        <v>1242.7974730102508</v>
      </c>
      <c r="R1058">
        <f t="shared" si="64"/>
        <v>1.056</v>
      </c>
      <c r="S1058">
        <f t="shared" si="65"/>
        <v>7.6084279398029713</v>
      </c>
    </row>
    <row r="1059" spans="1:19" x14ac:dyDescent="0.3">
      <c r="A1059">
        <v>1.0569999999999999</v>
      </c>
      <c r="B1059">
        <f>Uo*COS(2*PI()*Wn*Sheet2!A1059) + (Vo/Wn - (Po*(w/Wn))/(K*(1-(w/Wn)^2)))*SIN(2*PI()*Wn*Sheet2!A1059) +(Po*SIN(2*PI()*w*Sheet2!A1059))/(K*(1-(w/Wn)^2))</f>
        <v>19.35198857034985</v>
      </c>
      <c r="C1059">
        <f t="shared" si="66"/>
        <v>7.5777101626981471</v>
      </c>
      <c r="D1059">
        <f t="shared" si="67"/>
        <v>1237.7798825087159</v>
      </c>
      <c r="R1059">
        <f t="shared" si="64"/>
        <v>1.0569999999999999</v>
      </c>
      <c r="S1059">
        <f t="shared" si="65"/>
        <v>7.5777101626981471</v>
      </c>
    </row>
    <row r="1060" spans="1:19" x14ac:dyDescent="0.3">
      <c r="A1060">
        <v>1.0580000000000001</v>
      </c>
      <c r="B1060">
        <f>Uo*COS(2*PI()*Wn*Sheet2!A1060) + (Vo/Wn - (Po*(w/Wn))/(K*(1-(w/Wn)^2)))*SIN(2*PI()*Wn*Sheet2!A1060) +(Po*SIN(2*PI()*w*Sheet2!A1060))/(K*(1-(w/Wn)^2))</f>
        <v>19.257559565378763</v>
      </c>
      <c r="C1060">
        <f t="shared" si="66"/>
        <v>7.5445745999291125</v>
      </c>
      <c r="D1060">
        <f t="shared" si="67"/>
        <v>1232.3673591856395</v>
      </c>
      <c r="R1060">
        <f t="shared" si="64"/>
        <v>1.0580000000000001</v>
      </c>
      <c r="S1060">
        <f t="shared" si="65"/>
        <v>7.5445745999291125</v>
      </c>
    </row>
    <row r="1061" spans="1:19" x14ac:dyDescent="0.3">
      <c r="A1061">
        <v>1.0589999999999999</v>
      </c>
      <c r="B1061">
        <f>Uo*COS(2*PI()*Wn*Sheet2!A1061) + (Vo/Wn - (Po*(w/Wn))/(K*(1-(w/Wn)^2)))*SIN(2*PI()*Wn*Sheet2!A1061) +(Po*SIN(2*PI()*w*Sheet2!A1061))/(K*(1-(w/Wn)^2))</f>
        <v>19.156839485563154</v>
      </c>
      <c r="C1061">
        <f t="shared" si="66"/>
        <v>7.5090364325651215</v>
      </c>
      <c r="D1061">
        <f t="shared" si="67"/>
        <v>1226.5623827904071</v>
      </c>
      <c r="R1061">
        <f t="shared" si="64"/>
        <v>1.0589999999999999</v>
      </c>
      <c r="S1061">
        <f t="shared" si="65"/>
        <v>7.5090364325651215</v>
      </c>
    </row>
    <row r="1062" spans="1:19" x14ac:dyDescent="0.3">
      <c r="A1062">
        <v>1.06</v>
      </c>
      <c r="B1062">
        <f>Uo*COS(2*PI()*Wn*Sheet2!A1062) + (Vo/Wn - (Po*(w/Wn))/(K*(1-(w/Wn)^2)))*SIN(2*PI()*Wn*Sheet2!A1062) +(Po*SIN(2*PI()*w*Sheet2!A1062))/(K*(1-(w/Wn)^2))</f>
        <v>19.049861234218625</v>
      </c>
      <c r="C1062">
        <f t="shared" si="66"/>
        <v>7.4711115984369671</v>
      </c>
      <c r="D1062">
        <f t="shared" si="67"/>
        <v>1220.367556685499</v>
      </c>
      <c r="R1062">
        <f t="shared" si="64"/>
        <v>1.06</v>
      </c>
      <c r="S1062">
        <f t="shared" si="65"/>
        <v>7.4711115984369671</v>
      </c>
    </row>
    <row r="1063" spans="1:19" x14ac:dyDescent="0.3">
      <c r="A1063">
        <v>1.0609999999999999</v>
      </c>
      <c r="B1063">
        <f>Uo*COS(2*PI()*Wn*Sheet2!A1063) + (Vo/Wn - (Po*(w/Wn))/(K*(1-(w/Wn)^2)))*SIN(2*PI()*Wn*Sheet2!A1063) +(Po*SIN(2*PI()*w*Sheet2!A1063))/(K*(1-(w/Wn)^2))</f>
        <v>18.936659759085277</v>
      </c>
      <c r="C1063">
        <f t="shared" si="66"/>
        <v>7.4308167855685578</v>
      </c>
      <c r="D1063">
        <f t="shared" si="67"/>
        <v>1213.7856067735734</v>
      </c>
      <c r="R1063">
        <f t="shared" si="64"/>
        <v>1.0609999999999999</v>
      </c>
      <c r="S1063">
        <f t="shared" si="65"/>
        <v>7.4308167855685578</v>
      </c>
    </row>
    <row r="1064" spans="1:19" x14ac:dyDescent="0.3">
      <c r="A1064">
        <v>1.0620000000000001</v>
      </c>
      <c r="B1064">
        <f>Uo*COS(2*PI()*Wn*Sheet2!A1064) + (Vo/Wn - (Po*(w/Wn))/(K*(1-(w/Wn)^2)))*SIN(2*PI()*Wn*Sheet2!A1064) +(Po*SIN(2*PI()*w*Sheet2!A1064))/(K*(1-(w/Wn)^2))</f>
        <v>18.817272040910844</v>
      </c>
      <c r="C1064">
        <f t="shared" si="66"/>
        <v>7.3881694253754171</v>
      </c>
      <c r="D1064">
        <f t="shared" si="67"/>
        <v>1206.8193803864747</v>
      </c>
      <c r="R1064">
        <f t="shared" si="64"/>
        <v>1.0620000000000001</v>
      </c>
      <c r="S1064">
        <f t="shared" si="65"/>
        <v>7.3881694253754171</v>
      </c>
    </row>
    <row r="1065" spans="1:19" x14ac:dyDescent="0.3">
      <c r="A1065">
        <v>1.0629999999999999</v>
      </c>
      <c r="B1065">
        <f>Uo*COS(2*PI()*Wn*Sheet2!A1065) + (Vo/Wn - (Po*(w/Wn))/(K*(1-(w/Wn)^2)))*SIN(2*PI()*Wn*Sheet2!A1065) +(Po*SIN(2*PI()*w*Sheet2!A1065))/(K*(1-(w/Wn)^2))</f>
        <v>18.691737081369855</v>
      </c>
      <c r="C1065">
        <f t="shared" si="66"/>
        <v>7.3431876856329259</v>
      </c>
      <c r="D1065">
        <f t="shared" si="67"/>
        <v>1199.4718451366343</v>
      </c>
      <c r="R1065">
        <f t="shared" si="64"/>
        <v>1.0629999999999999</v>
      </c>
      <c r="S1065">
        <f t="shared" si="65"/>
        <v>7.3431876856329259</v>
      </c>
    </row>
    <row r="1066" spans="1:19" x14ac:dyDescent="0.3">
      <c r="A1066">
        <v>1.0640000000000001</v>
      </c>
      <c r="B1066">
        <f>Uo*COS(2*PI()*Wn*Sheet2!A1066) + (Vo/Wn - (Po*(w/Wn))/(K*(1-(w/Wn)^2)))*SIN(2*PI()*Wn*Sheet2!A1066) +(Po*SIN(2*PI()*w*Sheet2!A1066))/(K*(1-(w/Wn)^2))</f>
        <v>18.560095890322522</v>
      </c>
      <c r="C1066">
        <f t="shared" si="66"/>
        <v>7.2958904632168577</v>
      </c>
      <c r="D1066">
        <f t="shared" si="67"/>
        <v>1191.7460877312726</v>
      </c>
      <c r="R1066">
        <f t="shared" si="64"/>
        <v>1.0640000000000001</v>
      </c>
      <c r="S1066">
        <f t="shared" si="65"/>
        <v>7.2958904632168577</v>
      </c>
    </row>
    <row r="1067" spans="1:19" x14ac:dyDescent="0.3">
      <c r="A1067">
        <v>1.0649999999999999</v>
      </c>
      <c r="B1067">
        <f>Uo*COS(2*PI()*Wn*Sheet2!A1067) + (Vo/Wn - (Po*(w/Wn))/(K*(1-(w/Wn)^2)))*SIN(2*PI()*Wn*Sheet2!A1067) +(Po*SIN(2*PI()*w*Sheet2!A1067))/(K*(1-(w/Wn)^2))</f>
        <v>18.422391472417669</v>
      </c>
      <c r="C1067">
        <f t="shared" si="66"/>
        <v>7.2462973766191183</v>
      </c>
      <c r="D1067">
        <f t="shared" si="67"/>
        <v>1183.6453127498849</v>
      </c>
      <c r="R1067">
        <f t="shared" si="64"/>
        <v>1.0649999999999999</v>
      </c>
      <c r="S1067">
        <f t="shared" si="65"/>
        <v>7.2462973766191183</v>
      </c>
    </row>
    <row r="1068" spans="1:19" x14ac:dyDescent="0.3">
      <c r="A1068">
        <v>1.0660000000000001</v>
      </c>
      <c r="B1068">
        <f>Uo*COS(2*PI()*Wn*Sheet2!A1068) + (Vo/Wn - (Po*(w/Wn))/(K*(1-(w/Wn)^2)))*SIN(2*PI()*Wn*Sheet2!A1068) +(Po*SIN(2*PI()*w*Sheet2!A1068))/(K*(1-(w/Wn)^2))</f>
        <v>18.278668813043819</v>
      </c>
      <c r="C1068">
        <f t="shared" si="66"/>
        <v>7.1944287582413855</v>
      </c>
      <c r="D1068">
        <f t="shared" si="67"/>
        <v>1175.1728413854455</v>
      </c>
      <c r="R1068">
        <f t="shared" si="64"/>
        <v>1.0660000000000001</v>
      </c>
      <c r="S1068">
        <f t="shared" si="65"/>
        <v>7.1944287582413855</v>
      </c>
    </row>
    <row r="1069" spans="1:19" x14ac:dyDescent="0.3">
      <c r="A1069">
        <v>1.0669999999999999</v>
      </c>
      <c r="B1069">
        <f>Uo*COS(2*PI()*Wn*Sheet2!A1069) + (Vo/Wn - (Po*(w/Wn))/(K*(1-(w/Wn)^2)))*SIN(2*PI()*Wn*Sheet2!A1069) +(Po*SIN(2*PI()*w*Sheet2!A1069))/(K*(1-(w/Wn)^2))</f>
        <v>18.128974863633417</v>
      </c>
      <c r="C1069">
        <f t="shared" si="66"/>
        <v>7.1403056464697485</v>
      </c>
      <c r="D1069">
        <f t="shared" si="67"/>
        <v>1166.3321101498439</v>
      </c>
      <c r="R1069">
        <f t="shared" si="64"/>
        <v>1.0669999999999999</v>
      </c>
      <c r="S1069">
        <f t="shared" si="65"/>
        <v>7.1403056464697485</v>
      </c>
    </row>
    <row r="1070" spans="1:19" x14ac:dyDescent="0.3">
      <c r="A1070">
        <v>1.0680000000000001</v>
      </c>
      <c r="B1070">
        <f>Uo*COS(2*PI()*Wn*Sheet2!A1070) + (Vo/Wn - (Po*(w/Wn))/(K*(1-(w/Wn)^2)))*SIN(2*PI()*Wn*Sheet2!A1070) +(Po*SIN(2*PI()*w*Sheet2!A1070))/(K*(1-(w/Wn)^2))</f>
        <v>17.973358526324642</v>
      </c>
      <c r="C1070">
        <f t="shared" si="66"/>
        <v>7.0839497775331699</v>
      </c>
      <c r="D1070">
        <f t="shared" si="67"/>
        <v>1157.1266695440029</v>
      </c>
      <c r="R1070">
        <f t="shared" si="64"/>
        <v>1.0680000000000001</v>
      </c>
      <c r="S1070">
        <f t="shared" si="65"/>
        <v>7.0839497775331699</v>
      </c>
    </row>
    <row r="1071" spans="1:19" x14ac:dyDescent="0.3">
      <c r="A1071">
        <v>1.069</v>
      </c>
      <c r="B1071">
        <f>Uo*COS(2*PI()*Wn*Sheet2!A1071) + (Vo/Wn - (Po*(w/Wn))/(K*(1-(w/Wn)^2)))*SIN(2*PI()*Wn*Sheet2!A1071) +(Po*SIN(2*PI()*w*Sheet2!A1071))/(K*(1-(w/Wn)^2))</f>
        <v>17.811870637986146</v>
      </c>
      <c r="C1071">
        <f t="shared" si="66"/>
        <v>7.0253835771489497</v>
      </c>
      <c r="D1071">
        <f t="shared" si="67"/>
        <v>1147.5601826932111</v>
      </c>
      <c r="R1071">
        <f t="shared" si="64"/>
        <v>1.069</v>
      </c>
      <c r="S1071">
        <f t="shared" si="65"/>
        <v>7.0253835771489497</v>
      </c>
    </row>
    <row r="1072" spans="1:19" x14ac:dyDescent="0.3">
      <c r="A1072">
        <v>1.07</v>
      </c>
      <c r="B1072">
        <f>Uo*COS(2*PI()*Wn*Sheet2!A1072) + (Vo/Wn - (Po*(w/Wn))/(K*(1-(w/Wn)^2)))*SIN(2*PI()*Wn*Sheet2!A1072) +(Po*SIN(2*PI()*w*Sheet2!A1072))/(K*(1-(w/Wn)^2))</f>
        <v>17.644563953609417</v>
      </c>
      <c r="C1072">
        <f t="shared" si="66"/>
        <v>6.9646301519581328</v>
      </c>
      <c r="D1072">
        <f t="shared" si="67"/>
        <v>1137.63642394814</v>
      </c>
      <c r="R1072">
        <f t="shared" si="64"/>
        <v>1.07</v>
      </c>
      <c r="S1072">
        <f t="shared" si="65"/>
        <v>6.9646301519581328</v>
      </c>
    </row>
    <row r="1073" spans="1:19" x14ac:dyDescent="0.3">
      <c r="A1073">
        <v>1.071</v>
      </c>
      <c r="B1073">
        <f>Uo*COS(2*PI()*Wn*Sheet2!A1073) + (Vo/Wn - (Po*(w/Wn))/(K*(1-(w/Wn)^2)))*SIN(2*PI()*Wn*Sheet2!A1073) +(Po*SIN(2*PI()*w*Sheet2!A1073))/(K*(1-(w/Wn)^2))</f>
        <v>17.471493129075</v>
      </c>
      <c r="C1073">
        <f t="shared" si="66"/>
        <v>6.90171328075429</v>
      </c>
      <c r="D1073">
        <f t="shared" si="67"/>
        <v>1127.3592774521094</v>
      </c>
      <c r="R1073">
        <f t="shared" si="64"/>
        <v>1.071</v>
      </c>
      <c r="S1073">
        <f t="shared" si="65"/>
        <v>6.90171328075429</v>
      </c>
    </row>
    <row r="1074" spans="1:19" x14ac:dyDescent="0.3">
      <c r="A1074">
        <v>1.0720000000000001</v>
      </c>
      <c r="B1074">
        <f>Uo*COS(2*PI()*Wn*Sheet2!A1074) + (Vo/Wn - (Po*(w/Wn))/(K*(1-(w/Wn)^2)))*SIN(2*PI()*Wn*Sheet2!A1074) +(Po*SIN(2*PI()*w*Sheet2!A1074))/(K*(1-(w/Wn)^2))</f>
        <v>17.292714703297097</v>
      </c>
      <c r="C1074">
        <f t="shared" si="66"/>
        <v>6.8366574055085421</v>
      </c>
      <c r="D1074">
        <f t="shared" si="67"/>
        <v>1116.7327356750732</v>
      </c>
      <c r="R1074">
        <f t="shared" si="64"/>
        <v>1.0720000000000001</v>
      </c>
      <c r="S1074">
        <f t="shared" si="65"/>
        <v>6.8366574055085421</v>
      </c>
    </row>
    <row r="1075" spans="1:19" x14ac:dyDescent="0.3">
      <c r="A1075">
        <v>1.073</v>
      </c>
      <c r="B1075">
        <f>Uo*COS(2*PI()*Wn*Sheet2!A1075) + (Vo/Wn - (Po*(w/Wn))/(K*(1-(w/Wn)^2)))*SIN(2*PI()*Wn*Sheet2!A1075) +(Po*SIN(2*PI()*w*Sheet2!A1075))/(K*(1-(w/Wn)^2))</f>
        <v>17.10828707975385</v>
      </c>
      <c r="C1075">
        <f t="shared" si="66"/>
        <v>6.7694876221946254</v>
      </c>
      <c r="D1075">
        <f t="shared" si="67"/>
        <v>1105.7608979149402</v>
      </c>
      <c r="R1075">
        <f t="shared" si="64"/>
        <v>1.073</v>
      </c>
      <c r="S1075">
        <f t="shared" si="65"/>
        <v>6.7694876221946254</v>
      </c>
    </row>
    <row r="1076" spans="1:19" x14ac:dyDescent="0.3">
      <c r="A1076">
        <v>1.0740000000000001</v>
      </c>
      <c r="B1076">
        <f>Uo*COS(2*PI()*Wn*Sheet2!A1076) + (Vo/Wn - (Po*(w/Wn))/(K*(1-(w/Wn)^2)))*SIN(2*PI()*Wn*Sheet2!A1076) +(Po*SIN(2*PI()*w*Sheet2!A1076))/(K*(1-(w/Wn)^2))</f>
        <v>16.91827050740763</v>
      </c>
      <c r="C1076">
        <f t="shared" si="66"/>
        <v>6.7002296714167668</v>
      </c>
      <c r="D1076">
        <f t="shared" si="67"/>
        <v>1094.4479687666856</v>
      </c>
      <c r="R1076">
        <f t="shared" si="64"/>
        <v>1.0740000000000001</v>
      </c>
      <c r="S1076">
        <f t="shared" si="65"/>
        <v>6.7002296714167668</v>
      </c>
    </row>
    <row r="1077" spans="1:19" x14ac:dyDescent="0.3">
      <c r="A1077">
        <v>1.075</v>
      </c>
      <c r="B1077">
        <f>Uo*COS(2*PI()*Wn*Sheet2!A1077) + (Vo/Wn - (Po*(w/Wn))/(K*(1-(w/Wn)^2)))*SIN(2*PI()*Wn*Sheet2!A1077) +(Po*SIN(2*PI()*w*Sheet2!A1077))/(K*(1-(w/Wn)^2))</f>
        <v>16.722727061023239</v>
      </c>
      <c r="C1077">
        <f t="shared" si="66"/>
        <v>6.6289099288443563</v>
      </c>
      <c r="D1077">
        <f t="shared" si="67"/>
        <v>1082.798256559905</v>
      </c>
      <c r="R1077">
        <f t="shared" si="64"/>
        <v>1.075</v>
      </c>
      <c r="S1077">
        <f t="shared" si="65"/>
        <v>6.6289099288443563</v>
      </c>
    </row>
    <row r="1078" spans="1:19" x14ac:dyDescent="0.3">
      <c r="A1078">
        <v>1.0760000000000001</v>
      </c>
      <c r="B1078">
        <f>Uo*COS(2*PI()*Wn*Sheet2!A1078) + (Vo/Wn - (Po*(w/Wn))/(K*(1-(w/Wn)^2)))*SIN(2*PI()*Wn*Sheet2!A1078) +(Po*SIN(2*PI()*w*Sheet2!A1078))/(K*(1-(w/Wn)^2))</f>
        <v>16.521720620888797</v>
      </c>
      <c r="C1078">
        <f t="shared" si="66"/>
        <v>6.5555553954563397</v>
      </c>
      <c r="D1078">
        <f t="shared" si="67"/>
        <v>1070.8161717652852</v>
      </c>
      <c r="R1078">
        <f t="shared" si="64"/>
        <v>1.0760000000000001</v>
      </c>
      <c r="S1078">
        <f t="shared" si="65"/>
        <v>6.5555553954563397</v>
      </c>
    </row>
    <row r="1079" spans="1:19" x14ac:dyDescent="0.3">
      <c r="A1079">
        <v>1.077</v>
      </c>
      <c r="B1079">
        <f>Uo*COS(2*PI()*Wn*Sheet2!A1079) + (Vo/Wn - (Po*(w/Wn))/(K*(1-(w/Wn)^2)))*SIN(2*PI()*Wn*Sheet2!A1079) +(Po*SIN(2*PI()*w*Sheet2!A1079))/(K*(1-(w/Wn)^2))</f>
        <v>16.315316851947831</v>
      </c>
      <c r="C1079">
        <f t="shared" si="66"/>
        <v>6.4801936875994501</v>
      </c>
      <c r="D1079">
        <f t="shared" si="67"/>
        <v>1058.5062253706685</v>
      </c>
      <c r="R1079">
        <f t="shared" si="64"/>
        <v>1.077</v>
      </c>
      <c r="S1079">
        <f t="shared" si="65"/>
        <v>6.4801936875994501</v>
      </c>
    </row>
    <row r="1080" spans="1:19" x14ac:dyDescent="0.3">
      <c r="A1080">
        <v>1.0780000000000001</v>
      </c>
      <c r="B1080">
        <f>Uo*COS(2*PI()*Wn*Sheet2!A1080) + (Vo/Wn - (Po*(w/Wn))/(K*(1-(w/Wn)^2)))*SIN(2*PI()*Wn*Sheet2!A1080) +(Po*SIN(2*PI()*w*Sheet2!A1080))/(K*(1-(w/Wn)^2))</f>
        <v>16.103583182347329</v>
      </c>
      <c r="C1080">
        <f t="shared" si="66"/>
        <v>6.4028530268632418</v>
      </c>
      <c r="D1080">
        <f t="shared" si="67"/>
        <v>1045.8730272271907</v>
      </c>
      <c r="R1080">
        <f t="shared" si="64"/>
        <v>1.0780000000000001</v>
      </c>
      <c r="S1080">
        <f t="shared" si="65"/>
        <v>6.4028530268632418</v>
      </c>
    </row>
    <row r="1081" spans="1:19" x14ac:dyDescent="0.3">
      <c r="A1081">
        <v>1.079</v>
      </c>
      <c r="B1081">
        <f>Uo*COS(2*PI()*Wn*Sheet2!A1081) + (Vo/Wn - (Po*(w/Wn))/(K*(1-(w/Wn)^2)))*SIN(2*PI()*Wn*Sheet2!A1081) +(Po*SIN(2*PI()*w*Sheet2!A1081))/(K*(1-(w/Wn)^2))</f>
        <v>15.886588781410673</v>
      </c>
      <c r="C1081">
        <f t="shared" si="66"/>
        <v>6.3235622297761305</v>
      </c>
      <c r="D1081">
        <f t="shared" si="67"/>
        <v>1032.9212843661835</v>
      </c>
      <c r="R1081">
        <f t="shared" si="64"/>
        <v>1.079</v>
      </c>
      <c r="S1081">
        <f t="shared" si="65"/>
        <v>6.3235622297761305</v>
      </c>
    </row>
    <row r="1082" spans="1:19" x14ac:dyDescent="0.3">
      <c r="A1082">
        <v>1.08</v>
      </c>
      <c r="B1082">
        <f>Uo*COS(2*PI()*Wn*Sheet2!A1082) + (Vo/Wn - (Po*(w/Wn))/(K*(1-(w/Wn)^2)))*SIN(2*PI()*Wn*Sheet2!A1082) +(Po*SIN(2*PI()*w*Sheet2!A1082))/(K*(1-(w/Wn)^2))</f>
        <v>15.664404537040827</v>
      </c>
      <c r="C1082">
        <f t="shared" si="66"/>
        <v>6.2423506973255671</v>
      </c>
      <c r="D1082">
        <f t="shared" si="67"/>
        <v>1019.6557992873483</v>
      </c>
      <c r="R1082">
        <f t="shared" si="64"/>
        <v>1.08</v>
      </c>
      <c r="S1082">
        <f t="shared" si="65"/>
        <v>6.2423506973255671</v>
      </c>
    </row>
    <row r="1083" spans="1:19" x14ac:dyDescent="0.3">
      <c r="A1083">
        <v>1.081</v>
      </c>
      <c r="B1083">
        <f>Uo*COS(2*PI()*Wn*Sheet2!A1083) + (Vo/Wn - (Po*(w/Wn))/(K*(1-(w/Wn)^2)))*SIN(2*PI()*Wn*Sheet2!A1083) +(Po*SIN(2*PI()*w*Sheet2!A1083))/(K*(1-(w/Wn)^2))</f>
        <v>15.437103032563229</v>
      </c>
      <c r="C1083">
        <f t="shared" si="66"/>
        <v>6.159248404306747</v>
      </c>
      <c r="D1083">
        <f t="shared" si="67"/>
        <v>1006.0814682189224</v>
      </c>
      <c r="R1083">
        <f t="shared" si="64"/>
        <v>1.081</v>
      </c>
      <c r="S1083">
        <f t="shared" si="65"/>
        <v>6.159248404306747</v>
      </c>
    </row>
    <row r="1084" spans="1:19" x14ac:dyDescent="0.3">
      <c r="A1084">
        <v>1.0820000000000001</v>
      </c>
      <c r="B1084">
        <f>Uo*COS(2*PI()*Wn*Sheet2!A1084) + (Vo/Wn - (Po*(w/Wn))/(K*(1-(w/Wn)^2)))*SIN(2*PI()*Wn*Sheet2!A1084) +(Po*SIN(2*PI()*w*Sheet2!A1084))/(K*(1-(w/Wn)^2))</f>
        <v>15.204758523013693</v>
      </c>
      <c r="C1084">
        <f t="shared" si="66"/>
        <v>6.0742858885028888</v>
      </c>
      <c r="D1084">
        <f t="shared" si="67"/>
        <v>992.20327935033424</v>
      </c>
      <c r="R1084">
        <f t="shared" si="64"/>
        <v>1.0820000000000001</v>
      </c>
      <c r="S1084">
        <f t="shared" si="65"/>
        <v>6.0742858885028888</v>
      </c>
    </row>
    <row r="1085" spans="1:19" x14ac:dyDescent="0.3">
      <c r="A1085">
        <v>1.083</v>
      </c>
      <c r="B1085">
        <f>Uo*COS(2*PI()*Wn*Sheet2!A1085) + (Vo/Wn - (Po*(w/Wn))/(K*(1-(w/Wn)^2)))*SIN(2*PI()*Wn*Sheet2!A1085) +(Po*SIN(2*PI()*w*Sheet2!A1085))/(K*(1-(w/Wn)^2))</f>
        <v>14.967446910881163</v>
      </c>
      <c r="C1085">
        <f t="shared" si="66"/>
        <v>5.9874942397016424</v>
      </c>
      <c r="D1085">
        <f t="shared" si="67"/>
        <v>978.02631103808983</v>
      </c>
      <c r="R1085">
        <f t="shared" si="64"/>
        <v>1.083</v>
      </c>
      <c r="S1085">
        <f t="shared" si="65"/>
        <v>5.9874942397016424</v>
      </c>
    </row>
    <row r="1086" spans="1:19" x14ac:dyDescent="0.3">
      <c r="A1086">
        <v>1.0840000000000001</v>
      </c>
      <c r="B1086">
        <f>Uo*COS(2*PI()*Wn*Sheet2!A1086) + (Vo/Wn - (Po*(w/Wn))/(K*(1-(w/Wn)^2)))*SIN(2*PI()*Wn*Sheet2!A1086) +(Po*SIN(2*PI()*w*Sheet2!A1086))/(K*(1-(w/Wn)^2))</f>
        <v>14.725245721311268</v>
      </c>
      <c r="C1086">
        <f t="shared" si="66"/>
        <v>5.8989050885507996</v>
      </c>
      <c r="D1086">
        <f t="shared" si="67"/>
        <v>963.55572998541027</v>
      </c>
      <c r="R1086">
        <f t="shared" si="64"/>
        <v>1.0840000000000001</v>
      </c>
      <c r="S1086">
        <f t="shared" si="65"/>
        <v>5.8989050885507996</v>
      </c>
    </row>
    <row r="1087" spans="1:19" x14ac:dyDescent="0.3">
      <c r="A1087">
        <v>1.085</v>
      </c>
      <c r="B1087">
        <f>Uo*COS(2*PI()*Wn*Sheet2!A1087) + (Vo/Wn - (Po*(w/Wn))/(K*(1-(w/Wn)^2)))*SIN(2*PI()*Wn*Sheet2!A1087) +(Po*SIN(2*PI()*w*Sheet2!A1087))/(K*(1-(w/Wn)^2))</f>
        <v>14.478234076781007</v>
      </c>
      <c r="C1087">
        <f t="shared" si="66"/>
        <v>5.808550595258045</v>
      </c>
      <c r="D1087">
        <f t="shared" si="67"/>
        <v>948.79678939639484</v>
      </c>
      <c r="R1087">
        <f t="shared" si="64"/>
        <v>1.085</v>
      </c>
      <c r="S1087">
        <f t="shared" si="65"/>
        <v>5.808550595258045</v>
      </c>
    </row>
    <row r="1088" spans="1:19" x14ac:dyDescent="0.3">
      <c r="A1088">
        <v>1.0860000000000001</v>
      </c>
      <c r="B1088">
        <f>Uo*COS(2*PI()*Wn*Sheet2!A1088) + (Vo/Wn - (Po*(w/Wn))/(K*(1-(w/Wn)^2)))*SIN(2*PI()*Wn*Sheet2!A1088) +(Po*SIN(2*PI()*w*Sheet2!A1088))/(K*(1-(w/Wn)^2))</f>
        <v>14.226492671250382</v>
      </c>
      <c r="C1088">
        <f t="shared" si="66"/>
        <v>5.7164634381378168</v>
      </c>
      <c r="D1088">
        <f t="shared" si="67"/>
        <v>933.75482710520942</v>
      </c>
      <c r="R1088">
        <f t="shared" si="64"/>
        <v>1.0860000000000001</v>
      </c>
      <c r="S1088">
        <f t="shared" si="65"/>
        <v>5.7164634381378168</v>
      </c>
    </row>
    <row r="1089" spans="1:19" x14ac:dyDescent="0.3">
      <c r="A1089">
        <v>1.087</v>
      </c>
      <c r="B1089">
        <f>Uo*COS(2*PI()*Wn*Sheet2!A1089) + (Vo/Wn - (Po*(w/Wn))/(K*(1-(w/Wn)^2)))*SIN(2*PI()*Wn*Sheet2!A1089) +(Po*SIN(2*PI()*w*Sheet2!A1089))/(K*(1-(w/Wn)^2))</f>
        <v>13.970103743801722</v>
      </c>
      <c r="C1089">
        <f t="shared" si="66"/>
        <v>5.6226768020101474</v>
      </c>
      <c r="D1089">
        <f t="shared" si="67"/>
        <v>918.43526368109724</v>
      </c>
      <c r="R1089">
        <f t="shared" ref="R1089:R1152" si="68">A1089</f>
        <v>1.087</v>
      </c>
      <c r="S1089">
        <f t="shared" ref="S1089:S1152" si="69">C1089</f>
        <v>5.6226768020101474</v>
      </c>
    </row>
    <row r="1090" spans="1:19" x14ac:dyDescent="0.3">
      <c r="A1090">
        <v>1.0880000000000001</v>
      </c>
      <c r="B1090">
        <f>Uo*COS(2*PI()*Wn*Sheet2!A1090) + (Vo/Wn - (Po*(w/Wn))/(K*(1-(w/Wn)^2)))*SIN(2*PI()*Wn*Sheet2!A1090) +(Po*SIN(2*PI()*w*Sheet2!A1090))/(K*(1-(w/Wn)^2))</f>
        <v>13.709151051773155</v>
      </c>
      <c r="C1090">
        <f t="shared" ref="C1090:C1153" si="70">EXP(-zeta*Wn*A1090*2*PI())*($H$1*COS(wnD*2*PI()*A1090) + $H$2*SIN(wnD*2*PI()*A1090)) + $H$3*SIN(w*2*PI()*A1090) + $H$4*COS(w*2*PI()*A1090)</f>
        <v>5.5272243664547318</v>
      </c>
      <c r="D1090">
        <f t="shared" ref="D1090:D1153" si="71">K*C1090</f>
        <v>902.8436005097409</v>
      </c>
      <c r="R1090">
        <f t="shared" si="68"/>
        <v>1.0880000000000001</v>
      </c>
      <c r="S1090">
        <f t="shared" si="69"/>
        <v>5.5272243664547318</v>
      </c>
    </row>
    <row r="1091" spans="1:19" x14ac:dyDescent="0.3">
      <c r="A1091">
        <v>1.089</v>
      </c>
      <c r="B1091">
        <f>Uo*COS(2*PI()*Wn*Sheet2!A1091) + (Vo/Wn - (Po*(w/Wn))/(K*(1-(w/Wn)^2)))*SIN(2*PI()*Wn*Sheet2!A1091) +(Po*SIN(2*PI()*w*Sheet2!A1091))/(K*(1-(w/Wn)^2))</f>
        <v>13.443719843397394</v>
      </c>
      <c r="C1091">
        <f t="shared" si="70"/>
        <v>5.4301402939251977</v>
      </c>
      <c r="D1091">
        <f t="shared" si="71"/>
        <v>886.98541785179043</v>
      </c>
      <c r="R1091">
        <f t="shared" si="68"/>
        <v>1.089</v>
      </c>
      <c r="S1091">
        <f t="shared" si="69"/>
        <v>5.4301402939251977</v>
      </c>
    </row>
    <row r="1092" spans="1:19" x14ac:dyDescent="0.3">
      <c r="A1092">
        <v>1.0900000000000001</v>
      </c>
      <c r="B1092">
        <f>Uo*COS(2*PI()*Wn*Sheet2!A1092) + (Vo/Wn - (Po*(w/Wn))/(K*(1-(w/Wn)^2)))*SIN(2*PI()*Wn*Sheet2!A1092) +(Po*SIN(2*PI()*w*Sheet2!A1092))/(K*(1-(w/Wn)^2))</f>
        <v>13.173896829952177</v>
      </c>
      <c r="C1092">
        <f t="shared" si="70"/>
        <v>5.3314592177267617</v>
      </c>
      <c r="D1092">
        <f t="shared" si="71"/>
        <v>870.86637287907513</v>
      </c>
      <c r="R1092">
        <f t="shared" si="68"/>
        <v>1.0900000000000001</v>
      </c>
      <c r="S1092">
        <f t="shared" si="69"/>
        <v>5.3314592177267617</v>
      </c>
    </row>
    <row r="1093" spans="1:19" x14ac:dyDescent="0.3">
      <c r="A1093">
        <v>1.091</v>
      </c>
      <c r="B1093">
        <f>Uo*COS(2*PI()*Wn*Sheet2!A1093) + (Vo/Wn - (Po*(w/Wn))/(K*(1-(w/Wn)^2)))*SIN(2*PI()*Wn*Sheet2!A1093) +(Po*SIN(2*PI()*w*Sheet2!A1093))/(K*(1-(w/Wn)^2))</f>
        <v>12.899770157433812</v>
      </c>
      <c r="C1093">
        <f t="shared" si="70"/>
        <v>5.2312162298623095</v>
      </c>
      <c r="D1093">
        <f t="shared" si="71"/>
        <v>854.49219768932301</v>
      </c>
      <c r="R1093">
        <f t="shared" si="68"/>
        <v>1.091</v>
      </c>
      <c r="S1093">
        <f t="shared" si="69"/>
        <v>5.2312162298623095</v>
      </c>
    </row>
    <row r="1094" spans="1:19" x14ac:dyDescent="0.3">
      <c r="A1094">
        <v>1.0920000000000001</v>
      </c>
      <c r="B1094">
        <f>Uo*COS(2*PI()*Wn*Sheet2!A1094) + (Vo/Wn - (Po*(w/Wn))/(K*(1-(w/Wn)^2)))*SIN(2*PI()*Wn*Sheet2!A1094) +(Po*SIN(2*PI()*w*Sheet2!A1094))/(K*(1-(w/Wn)^2))</f>
        <v>12.621429377761213</v>
      </c>
      <c r="C1094">
        <f t="shared" si="70"/>
        <v>5.129446868750402</v>
      </c>
      <c r="D1094">
        <f t="shared" si="71"/>
        <v>837.86869729996113</v>
      </c>
      <c r="R1094">
        <f t="shared" si="68"/>
        <v>1.0920000000000001</v>
      </c>
      <c r="S1094">
        <f t="shared" si="69"/>
        <v>5.129446868750402</v>
      </c>
    </row>
    <row r="1095" spans="1:19" x14ac:dyDescent="0.3">
      <c r="A1095">
        <v>1.093</v>
      </c>
      <c r="B1095">
        <f>Uo*COS(2*PI()*Wn*Sheet2!A1095) + (Vo/Wn - (Po*(w/Wn))/(K*(1-(w/Wn)^2)))*SIN(2*PI()*Wn*Sheet2!A1095) +(Po*SIN(2*PI()*w*Sheet2!A1095))/(K*(1-(w/Wn)^2))</f>
        <v>12.338965419521218</v>
      </c>
      <c r="C1095">
        <f t="shared" si="70"/>
        <v>5.026187106819977</v>
      </c>
      <c r="D1095">
        <f t="shared" si="71"/>
        <v>821.00174762177369</v>
      </c>
      <c r="R1095">
        <f t="shared" si="68"/>
        <v>1.093</v>
      </c>
      <c r="S1095">
        <f t="shared" si="69"/>
        <v>5.026187106819977</v>
      </c>
    </row>
    <row r="1096" spans="1:19" x14ac:dyDescent="0.3">
      <c r="A1096">
        <v>1.0940000000000001</v>
      </c>
      <c r="B1096">
        <f>Uo*COS(2*PI()*Wn*Sheet2!A1096) + (Vo/Wn - (Po*(w/Wn))/(K*(1-(w/Wn)^2)))*SIN(2*PI()*Wn*Sheet2!A1096) +(Po*SIN(2*PI()*w*Sheet2!A1096))/(K*(1-(w/Wn)^2))</f>
        <v>12.052470558263851</v>
      </c>
      <c r="C1096">
        <f t="shared" si="70"/>
        <v>4.9214733379856668</v>
      </c>
      <c r="D1096">
        <f t="shared" si="71"/>
        <v>803.89729341305963</v>
      </c>
      <c r="R1096">
        <f t="shared" si="68"/>
        <v>1.0940000000000001</v>
      </c>
      <c r="S1096">
        <f t="shared" si="69"/>
        <v>4.9214733379856668</v>
      </c>
    </row>
    <row r="1097" spans="1:19" x14ac:dyDescent="0.3">
      <c r="A1097">
        <v>1.095</v>
      </c>
      <c r="B1097">
        <f>Uo*COS(2*PI()*Wn*Sheet2!A1097) + (Vo/Wn - (Po*(w/Wn))/(K*(1-(w/Wn)^2)))*SIN(2*PI()*Wn*Sheet2!A1097) +(Po*SIN(2*PI()*w*Sheet2!A1097))/(K*(1-(w/Wn)^2))</f>
        <v>11.76203838635791</v>
      </c>
      <c r="C1097">
        <f t="shared" si="70"/>
        <v>4.8153423650083056</v>
      </c>
      <c r="D1097">
        <f t="shared" si="71"/>
        <v>786.56134621503713</v>
      </c>
      <c r="R1097">
        <f t="shared" si="68"/>
        <v>1.095</v>
      </c>
      <c r="S1097">
        <f t="shared" si="69"/>
        <v>4.8153423650083056</v>
      </c>
    </row>
    <row r="1098" spans="1:19" x14ac:dyDescent="0.3">
      <c r="A1098">
        <v>1.0960000000000001</v>
      </c>
      <c r="B1098">
        <f>Uo*COS(2*PI()*Wn*Sheet2!A1098) + (Vo/Wn - (Po*(w/Wn))/(K*(1-(w/Wn)^2)))*SIN(2*PI()*Wn*Sheet2!A1098) +(Po*SIN(2*PI()*w*Sheet2!A1098))/(K*(1-(w/Wn)^2))</f>
        <v>11.467763782415783</v>
      </c>
      <c r="C1098">
        <f t="shared" si="70"/>
        <v>4.7078313867445987</v>
      </c>
      <c r="D1098">
        <f t="shared" si="71"/>
        <v>768.99998226914227</v>
      </c>
      <c r="R1098">
        <f t="shared" si="68"/>
        <v>1.0960000000000001</v>
      </c>
      <c r="S1098">
        <f t="shared" si="69"/>
        <v>4.7078313867445987</v>
      </c>
    </row>
    <row r="1099" spans="1:19" x14ac:dyDescent="0.3">
      <c r="A1099">
        <v>1.097</v>
      </c>
      <c r="B1099">
        <f>Uo*COS(2*PI()*Wn*Sheet2!A1099) + (Vo/Wn - (Po*(w/Wn))/(K*(1-(w/Wn)^2)))*SIN(2*PI()*Wn*Sheet2!A1099) +(Po*SIN(2*PI()*w*Sheet2!A1099))/(K*(1-(w/Wn)^2))</f>
        <v>11.169742880298672</v>
      </c>
      <c r="C1099">
        <f t="shared" si="70"/>
        <v>4.5989779852907535</v>
      </c>
      <c r="D1099">
        <f t="shared" si="71"/>
        <v>751.21934041700786</v>
      </c>
      <c r="R1099">
        <f t="shared" si="68"/>
        <v>1.097</v>
      </c>
      <c r="S1099">
        <f t="shared" si="69"/>
        <v>4.5989779852907535</v>
      </c>
    </row>
    <row r="1100" spans="1:19" x14ac:dyDescent="0.3">
      <c r="A1100">
        <v>1.0980000000000001</v>
      </c>
      <c r="B1100">
        <f>Uo*COS(2*PI()*Wn*Sheet2!A1100) + (Vo/Wn - (Po*(w/Wn))/(K*(1-(w/Wn)^2)))*SIN(2*PI()*Wn*Sheet2!A1100) +(Po*SIN(2*PI()*w*Sheet2!A1100))/(K*(1-(w/Wn)^2))</f>
        <v>10.868073037711373</v>
      </c>
      <c r="C1100">
        <f t="shared" si="70"/>
        <v>4.488820113024115</v>
      </c>
      <c r="D1100">
        <f t="shared" si="71"/>
        <v>733.22561998378137</v>
      </c>
      <c r="R1100">
        <f t="shared" si="68"/>
        <v>1.0980000000000001</v>
      </c>
      <c r="S1100">
        <f t="shared" si="69"/>
        <v>4.488820113024115</v>
      </c>
    </row>
    <row r="1101" spans="1:19" x14ac:dyDescent="0.3">
      <c r="A1101">
        <v>1.099</v>
      </c>
      <c r="B1101">
        <f>Uo*COS(2*PI()*Wn*Sheet2!A1101) + (Vo/Wn - (Po*(w/Wn))/(K*(1-(w/Wn)^2)))*SIN(2*PI()*Wn*Sheet2!A1101) +(Po*SIN(2*PI()*w*Sheet2!A1101))/(K*(1-(w/Wn)^2))</f>
        <v>10.562852804397629</v>
      </c>
      <c r="C1101">
        <f t="shared" si="70"/>
        <v>4.3773960795474709</v>
      </c>
      <c r="D1101">
        <f t="shared" si="71"/>
        <v>715.02507864554423</v>
      </c>
      <c r="R1101">
        <f t="shared" si="68"/>
        <v>1.099</v>
      </c>
      <c r="S1101">
        <f t="shared" si="69"/>
        <v>4.3773960795474709</v>
      </c>
    </row>
    <row r="1102" spans="1:19" x14ac:dyDescent="0.3">
      <c r="A1102">
        <v>1.1000000000000001</v>
      </c>
      <c r="B1102">
        <f>Uo*COS(2*PI()*Wn*Sheet2!A1102) + (Vo/Wn - (Po*(w/Wn))/(K*(1-(w/Wn)^2)))*SIN(2*PI()*Wn*Sheet2!A1102) +(Po*SIN(2*PI()*w*Sheet2!A1102))/(K*(1-(w/Wn)^2))</f>
        <v>10.254181889945473</v>
      </c>
      <c r="C1102">
        <f t="shared" si="70"/>
        <v>4.2647445385401275</v>
      </c>
      <c r="D1102">
        <f t="shared" si="71"/>
        <v>696.624030281503</v>
      </c>
      <c r="R1102">
        <f t="shared" si="68"/>
        <v>1.1000000000000001</v>
      </c>
      <c r="S1102">
        <f t="shared" si="69"/>
        <v>4.2647445385401275</v>
      </c>
    </row>
    <row r="1103" spans="1:19" x14ac:dyDescent="0.3">
      <c r="A1103">
        <v>1.101</v>
      </c>
      <c r="B1103">
        <f>Uo*COS(2*PI()*Wn*Sheet2!A1103) + (Vo/Wn - (Po*(w/Wn))/(K*(1-(w/Wn)^2)))*SIN(2*PI()*Wn*Sheet2!A1103) +(Po*SIN(2*PI()*w*Sheet2!A1103))/(K*(1-(w/Wn)^2))</f>
        <v>9.9421611312142435</v>
      </c>
      <c r="C1103">
        <f t="shared" si="70"/>
        <v>4.1509044745206518</v>
      </c>
      <c r="D1103">
        <f t="shared" si="71"/>
        <v>678.0288428117517</v>
      </c>
      <c r="R1103">
        <f t="shared" si="68"/>
        <v>1.101</v>
      </c>
      <c r="S1103">
        <f t="shared" si="69"/>
        <v>4.1509044745206518</v>
      </c>
    </row>
    <row r="1104" spans="1:19" x14ac:dyDescent="0.3">
      <c r="A1104">
        <v>1.1020000000000001</v>
      </c>
      <c r="B1104">
        <f>Uo*COS(2*PI()*Wn*Sheet2!A1104) + (Vo/Wn - (Po*(w/Wn))/(K*(1-(w/Wn)^2)))*SIN(2*PI()*Wn*Sheet2!A1104) +(Po*SIN(2*PI()*w*Sheet2!A1104))/(K*(1-(w/Wn)^2))</f>
        <v>9.6268924593930087</v>
      </c>
      <c r="C1104">
        <f t="shared" si="70"/>
        <v>4.0359151895253911</v>
      </c>
      <c r="D1104">
        <f t="shared" si="71"/>
        <v>659.24593602127663</v>
      </c>
      <c r="R1104">
        <f t="shared" si="68"/>
        <v>1.1020000000000001</v>
      </c>
      <c r="S1104">
        <f t="shared" si="69"/>
        <v>4.0359151895253911</v>
      </c>
    </row>
    <row r="1105" spans="1:19" x14ac:dyDescent="0.3">
      <c r="A1105">
        <v>1.103</v>
      </c>
      <c r="B1105">
        <f>Uo*COS(2*PI()*Wn*Sheet2!A1105) + (Vo/Wn - (Po*(w/Wn))/(K*(1-(w/Wn)^2)))*SIN(2*PI()*Wn*Sheet2!A1105) +(Po*SIN(2*PI()*w*Sheet2!A1105))/(K*(1-(w/Wn)^2))</f>
        <v>9.3084788667018472</v>
      </c>
      <c r="C1105">
        <f t="shared" si="70"/>
        <v>3.9198162897075646</v>
      </c>
      <c r="D1105">
        <f t="shared" si="71"/>
        <v>640.2817793709869</v>
      </c>
      <c r="R1105">
        <f t="shared" si="68"/>
        <v>1.103</v>
      </c>
      <c r="S1105">
        <f t="shared" si="69"/>
        <v>3.9198162897075646</v>
      </c>
    </row>
    <row r="1106" spans="1:19" x14ac:dyDescent="0.3">
      <c r="A1106">
        <v>1.1040000000000001</v>
      </c>
      <c r="B1106">
        <f>Uo*COS(2*PI()*Wn*Sheet2!A1106) + (Vo/Wn - (Po*(w/Wn))/(K*(1-(w/Wn)^2)))*SIN(2*PI()*Wn*Sheet2!A1106) +(Po*SIN(2*PI()*w*Sheet2!A1106))/(K*(1-(w/Wn)^2))</f>
        <v>8.9870243727458341</v>
      </c>
      <c r="C1106">
        <f t="shared" si="70"/>
        <v>3.8026476718610334</v>
      </c>
      <c r="D1106">
        <f t="shared" si="71"/>
        <v>621.14288979644175</v>
      </c>
      <c r="R1106">
        <f t="shared" si="68"/>
        <v>1.1040000000000001</v>
      </c>
      <c r="S1106">
        <f t="shared" si="69"/>
        <v>3.8026476718610334</v>
      </c>
    </row>
    <row r="1107" spans="1:19" x14ac:dyDescent="0.3">
      <c r="A1107">
        <v>1.105</v>
      </c>
      <c r="B1107">
        <f>Uo*COS(2*PI()*Wn*Sheet2!A1107) + (Vo/Wn - (Po*(w/Wn))/(K*(1-(w/Wn)^2)))*SIN(2*PI()*Wn*Sheet2!A1107) +(Po*SIN(2*PI()*w*Sheet2!A1107))/(K*(1-(w/Wn)^2))</f>
        <v>8.6626339905344025</v>
      </c>
      <c r="C1107">
        <f t="shared" si="70"/>
        <v>3.6844495098739189</v>
      </c>
      <c r="D1107">
        <f t="shared" si="71"/>
        <v>601.83582949511936</v>
      </c>
      <c r="R1107">
        <f t="shared" si="68"/>
        <v>1.105</v>
      </c>
      <c r="S1107">
        <f t="shared" si="69"/>
        <v>3.6844495098739189</v>
      </c>
    </row>
    <row r="1108" spans="1:19" x14ac:dyDescent="0.3">
      <c r="A1108">
        <v>1.1060000000000001</v>
      </c>
      <c r="B1108">
        <f>Uo*COS(2*PI()*Wn*Sheet2!A1108) + (Vo/Wn - (Po*(w/Wn))/(K*(1-(w/Wn)^2)))*SIN(2*PI()*Wn*Sheet2!A1108) +(Po*SIN(2*PI()*w*Sheet2!A1108))/(K*(1-(w/Wn)^2))</f>
        <v>8.3354136921748427</v>
      </c>
      <c r="C1108">
        <f t="shared" si="70"/>
        <v>3.5652622411157626</v>
      </c>
      <c r="D1108">
        <f t="shared" si="71"/>
        <v>582.3672037028291</v>
      </c>
      <c r="R1108">
        <f t="shared" si="68"/>
        <v>1.1060000000000001</v>
      </c>
      <c r="S1108">
        <f t="shared" si="69"/>
        <v>3.5652622411157626</v>
      </c>
    </row>
    <row r="1109" spans="1:19" x14ac:dyDescent="0.3">
      <c r="A1109">
        <v>1.107</v>
      </c>
      <c r="B1109">
        <f>Uo*COS(2*PI()*Wn*Sheet2!A1109) + (Vo/Wn - (Po*(w/Wn))/(K*(1-(w/Wn)^2)))*SIN(2*PI()*Wn*Sheet2!A1109) +(Po*SIN(2*PI()*w*Sheet2!A1109))/(K*(1-(w/Wn)^2))</f>
        <v>8.0054703742541449</v>
      </c>
      <c r="C1109">
        <f t="shared" si="70"/>
        <v>3.4451265527638615</v>
      </c>
      <c r="D1109">
        <f t="shared" si="71"/>
        <v>562.74365846018907</v>
      </c>
      <c r="R1109">
        <f t="shared" si="68"/>
        <v>1.107</v>
      </c>
      <c r="S1109">
        <f t="shared" si="69"/>
        <v>3.4451265527638615</v>
      </c>
    </row>
    <row r="1110" spans="1:19" x14ac:dyDescent="0.3">
      <c r="A1110">
        <v>1.1080000000000001</v>
      </c>
      <c r="B1110">
        <f>Uo*COS(2*PI()*Wn*Sheet2!A1110) + (Vo/Wn - (Po*(w/Wn))/(K*(1-(w/Wn)^2)))*SIN(2*PI()*Wn*Sheet2!A1110) +(Po*SIN(2*PI()*w*Sheet2!A1110))/(K*(1-(w/Wn)^2))</f>
        <v>7.6729118229171709</v>
      </c>
      <c r="C1110">
        <f t="shared" si="70"/>
        <v>3.3240833680721691</v>
      </c>
      <c r="D1110">
        <f t="shared" si="71"/>
        <v>542.97187836972216</v>
      </c>
      <c r="R1110">
        <f t="shared" si="68"/>
        <v>1.1080000000000001</v>
      </c>
      <c r="S1110">
        <f t="shared" si="69"/>
        <v>3.3240833680721691</v>
      </c>
    </row>
    <row r="1111" spans="1:19" x14ac:dyDescent="0.3">
      <c r="A1111">
        <v>1.109</v>
      </c>
      <c r="B1111">
        <f>Uo*COS(2*PI()*Wn*Sheet2!A1111) + (Vo/Wn - (Po*(w/Wn))/(K*(1-(w/Wn)^2)))*SIN(2*PI()*Wn*Sheet2!A1111) +(Po*SIN(2*PI()*w*Sheet2!A1111))/(K*(1-(w/Wn)^2))</f>
        <v>7.3378466786556382</v>
      </c>
      <c r="C1111">
        <f t="shared" si="70"/>
        <v>3.2021738325884508</v>
      </c>
      <c r="D1111">
        <f t="shared" si="71"/>
        <v>523.05858434449908</v>
      </c>
      <c r="R1111">
        <f t="shared" si="68"/>
        <v>1.109</v>
      </c>
      <c r="S1111">
        <f t="shared" si="69"/>
        <v>3.2021738325884508</v>
      </c>
    </row>
    <row r="1112" spans="1:19" x14ac:dyDescent="0.3">
      <c r="A1112">
        <v>1.1100000000000001</v>
      </c>
      <c r="B1112">
        <f>Uo*COS(2*PI()*Wn*Sheet2!A1112) + (Vo/Wn - (Po*(w/Wn))/(K*(1-(w/Wn)^2)))*SIN(2*PI()*Wn*Sheet2!A1112) +(Po*SIN(2*PI()*w*Sheet2!A1112))/(K*(1-(w/Wn)^2))</f>
        <v>7.0003844008165697</v>
      </c>
      <c r="C1112">
        <f t="shared" si="70"/>
        <v>3.079439300323259</v>
      </c>
      <c r="D1112">
        <f t="shared" si="71"/>
        <v>503.01053134891202</v>
      </c>
      <c r="R1112">
        <f t="shared" si="68"/>
        <v>1.1100000000000001</v>
      </c>
      <c r="S1112">
        <f t="shared" si="69"/>
        <v>3.079439300323259</v>
      </c>
    </row>
    <row r="1113" spans="1:19" x14ac:dyDescent="0.3">
      <c r="A1113">
        <v>1.111</v>
      </c>
      <c r="B1113">
        <f>Uo*COS(2*PI()*Wn*Sheet2!A1113) + (Vo/Wn - (Po*(w/Wn))/(K*(1-(w/Wn)^2)))*SIN(2*PI()*Wn*Sheet2!A1113) +(Po*SIN(2*PI()*w*Sheet2!A1113))/(K*(1-(w/Wn)^2))</f>
        <v>6.660635231844946</v>
      </c>
      <c r="C1113">
        <f t="shared" si="70"/>
        <v>2.955921319876452</v>
      </c>
      <c r="D1113">
        <f t="shared" si="71"/>
        <v>482.83450613251279</v>
      </c>
      <c r="R1113">
        <f t="shared" si="68"/>
        <v>1.111</v>
      </c>
      <c r="S1113">
        <f t="shared" si="69"/>
        <v>2.955921319876452</v>
      </c>
    </row>
    <row r="1114" spans="1:19" x14ac:dyDescent="0.3">
      <c r="A1114">
        <v>1.1120000000000001</v>
      </c>
      <c r="B1114">
        <f>Uo*COS(2*PI()*Wn*Sheet2!A1114) + (Vo/Wn - (Po*(w/Wn))/(K*(1-(w/Wn)^2)))*SIN(2*PI()*Wn*Sheet2!A1114) +(Po*SIN(2*PI()*w*Sheet2!A1114))/(K*(1-(w/Wn)^2))</f>
        <v>6.3187101612688314</v>
      </c>
      <c r="C1114">
        <f t="shared" si="70"/>
        <v>2.8316616205246503</v>
      </c>
      <c r="D1114">
        <f t="shared" si="71"/>
        <v>462.53732495747079</v>
      </c>
      <c r="R1114">
        <f t="shared" si="68"/>
        <v>1.1120000000000001</v>
      </c>
      <c r="S1114">
        <f t="shared" si="69"/>
        <v>2.8316616205246503</v>
      </c>
    </row>
    <row r="1115" spans="1:19" x14ac:dyDescent="0.3">
      <c r="A1115">
        <v>1.113</v>
      </c>
      <c r="B1115">
        <f>Uo*COS(2*PI()*Wn*Sheet2!A1115) + (Vo/Wn - (Po*(w/Wn))/(K*(1-(w/Wn)^2)))*SIN(2*PI()*Wn*Sheet2!A1115) +(Po*SIN(2*PI()*w*Sheet2!A1115))/(K*(1-(w/Wn)^2))</f>
        <v>5.9747208894418868</v>
      </c>
      <c r="C1115">
        <f t="shared" si="70"/>
        <v>2.7067020982753638</v>
      </c>
      <c r="D1115">
        <f t="shared" si="71"/>
        <v>442.12583132058643</v>
      </c>
      <c r="R1115">
        <f t="shared" si="68"/>
        <v>1.113</v>
      </c>
      <c r="S1115">
        <f t="shared" si="69"/>
        <v>2.7067020982753638</v>
      </c>
    </row>
    <row r="1116" spans="1:19" x14ac:dyDescent="0.3">
      <c r="A1116">
        <v>1.1140000000000001</v>
      </c>
      <c r="B1116">
        <f>Uo*COS(2*PI()*Wn*Sheet2!A1116) + (Vo/Wn - (Po*(w/Wn))/(K*(1-(w/Wn)^2)))*SIN(2*PI()*Wn*Sheet2!A1116) +(Po*SIN(2*PI()*w*Sheet2!A1116))/(K*(1-(w/Wn)^2))</f>
        <v>5.6287797910522039</v>
      </c>
      <c r="C1116">
        <f t="shared" si="70"/>
        <v>2.5810848018913544</v>
      </c>
      <c r="D1116">
        <f t="shared" si="71"/>
        <v>421.60689367044296</v>
      </c>
      <c r="R1116">
        <f t="shared" si="68"/>
        <v>1.1140000000000001</v>
      </c>
      <c r="S1116">
        <f t="shared" si="69"/>
        <v>2.5810848018913544</v>
      </c>
    </row>
    <row r="1117" spans="1:19" x14ac:dyDescent="0.3">
      <c r="A1117">
        <v>1.115</v>
      </c>
      <c r="B1117">
        <f>Uo*COS(2*PI()*Wn*Sheet2!A1117) + (Vo/Wn - (Po*(w/Wn))/(K*(1-(w/Wn)^2)))*SIN(2*PI()*Wn*Sheet2!A1117) +(Po*SIN(2*PI()*w*Sheet2!A1117))/(K*(1-(w/Wn)^2))</f>
        <v>5.2809998784125991</v>
      </c>
      <c r="C1117">
        <f t="shared" si="70"/>
        <v>2.4548519188910105</v>
      </c>
      <c r="D1117">
        <f t="shared" si="71"/>
        <v>400.98740312063978</v>
      </c>
      <c r="R1117">
        <f t="shared" si="68"/>
        <v>1.115</v>
      </c>
      <c r="S1117">
        <f t="shared" si="69"/>
        <v>2.4548519188910105</v>
      </c>
    </row>
    <row r="1118" spans="1:19" x14ac:dyDescent="0.3">
      <c r="A1118">
        <v>1.1160000000000001</v>
      </c>
      <c r="B1118">
        <f>Uo*COS(2*PI()*Wn*Sheet2!A1118) + (Vo/Wn - (Po*(w/Wn))/(K*(1-(w/Wn)^2)))*SIN(2*PI()*Wn*Sheet2!A1118) +(Po*SIN(2*PI()*w*Sheet2!A1118))/(K*(1-(w/Wn)^2))</f>
        <v>4.9314947645408482</v>
      </c>
      <c r="C1118">
        <f t="shared" si="70"/>
        <v>2.3280457615280823</v>
      </c>
      <c r="D1118">
        <f t="shared" si="71"/>
        <v>380.27427115965435</v>
      </c>
      <c r="R1118">
        <f t="shared" si="68"/>
        <v>1.1160000000000001</v>
      </c>
      <c r="S1118">
        <f t="shared" si="69"/>
        <v>2.3280457615280823</v>
      </c>
    </row>
    <row r="1119" spans="1:19" x14ac:dyDescent="0.3">
      <c r="A1119">
        <v>1.117</v>
      </c>
      <c r="B1119">
        <f>Uo*COS(2*PI()*Wn*Sheet2!A1119) + (Vo/Wn - (Po*(w/Wn))/(K*(1-(w/Wn)^2)))*SIN(2*PI()*Wn*Sheet2!A1119) +(Po*SIN(2*PI()*w*Sheet2!A1119))/(K*(1-(w/Wn)^2))</f>
        <v>4.5803786260451771</v>
      </c>
      <c r="C1119">
        <f t="shared" si="70"/>
        <v>2.2007087527565612</v>
      </c>
      <c r="D1119">
        <f t="shared" si="71"/>
        <v>359.47442735827786</v>
      </c>
      <c r="R1119">
        <f t="shared" si="68"/>
        <v>1.117</v>
      </c>
      <c r="S1119">
        <f t="shared" si="69"/>
        <v>2.2007087527565612</v>
      </c>
    </row>
    <row r="1120" spans="1:19" x14ac:dyDescent="0.3">
      <c r="A1120">
        <v>1.1180000000000001</v>
      </c>
      <c r="B1120">
        <f>Uo*COS(2*PI()*Wn*Sheet2!A1120) + (Vo/Wn - (Po*(w/Wn))/(K*(1-(w/Wn)^2)))*SIN(2*PI()*Wn*Sheet2!A1120) +(Po*SIN(2*PI()*w*Sheet2!A1120))/(K*(1-(w/Wn)^2))</f>
        <v>4.2277661658241312</v>
      </c>
      <c r="C1120">
        <f t="shared" si="70"/>
        <v>2.0728834121842308</v>
      </c>
      <c r="D1120">
        <f t="shared" si="71"/>
        <v>338.59481707520001</v>
      </c>
      <c r="R1120">
        <f t="shared" si="68"/>
        <v>1.1180000000000001</v>
      </c>
      <c r="S1120">
        <f t="shared" si="69"/>
        <v>2.0728834121842308</v>
      </c>
    </row>
    <row r="1121" spans="1:19" x14ac:dyDescent="0.3">
      <c r="A1121">
        <v>1.119</v>
      </c>
      <c r="B1121">
        <f>Uo*COS(2*PI()*Wn*Sheet2!A1121) + (Vo/Wn - (Po*(w/Wn))/(K*(1-(w/Wn)^2)))*SIN(2*PI()*Wn*Sheet2!A1121) +(Po*SIN(2*PI()*w*Sheet2!A1121))/(K*(1-(w/Wn)^2))</f>
        <v>3.8737725755963104</v>
      </c>
      <c r="C1121">
        <f t="shared" si="70"/>
        <v>1.9446123420206809</v>
      </c>
      <c r="D1121">
        <f t="shared" si="71"/>
        <v>317.6423991616897</v>
      </c>
      <c r="R1121">
        <f t="shared" si="68"/>
        <v>1.119</v>
      </c>
      <c r="S1121">
        <f t="shared" si="69"/>
        <v>1.9446123420206809</v>
      </c>
    </row>
    <row r="1122" spans="1:19" x14ac:dyDescent="0.3">
      <c r="A1122">
        <v>1.1200000000000001</v>
      </c>
      <c r="B1122">
        <f>Uo*COS(2*PI()*Wn*Sheet2!A1122) + (Vo/Wn - (Po*(w/Wn))/(K*(1-(w/Wn)^2)))*SIN(2*PI()*Wn*Sheet2!A1122) +(Po*SIN(2*PI()*w*Sheet2!A1122))/(K*(1-(w/Wn)^2))</f>
        <v>3.5185134982686135</v>
      </c>
      <c r="C1122">
        <f t="shared" si="70"/>
        <v>1.8159382130230879</v>
      </c>
      <c r="D1122">
        <f t="shared" si="71"/>
        <v>296.62414366591048</v>
      </c>
      <c r="R1122">
        <f t="shared" si="68"/>
        <v>1.1200000000000001</v>
      </c>
      <c r="S1122">
        <f t="shared" si="69"/>
        <v>1.8159382130230879</v>
      </c>
    </row>
    <row r="1123" spans="1:19" x14ac:dyDescent="0.3">
      <c r="A1123">
        <v>1.121</v>
      </c>
      <c r="B1123">
        <f>Uo*COS(2*PI()*Wn*Sheet2!A1123) + (Vo/Wn - (Po*(w/Wn))/(K*(1-(w/Wn)^2)))*SIN(2*PI()*Wn*Sheet2!A1123) +(Po*SIN(2*PI()*w*Sheet2!A1123))/(K*(1-(w/Wn)^2))</f>
        <v>3.1621049901586189</v>
      </c>
      <c r="C1123">
        <f t="shared" si="70"/>
        <v>1.6869037504455591</v>
      </c>
      <c r="D1123">
        <f t="shared" si="71"/>
        <v>275.54702953781884</v>
      </c>
      <c r="R1123">
        <f t="shared" si="68"/>
        <v>1.121</v>
      </c>
      <c r="S1123">
        <f t="shared" si="69"/>
        <v>1.6869037504455591</v>
      </c>
    </row>
    <row r="1124" spans="1:19" x14ac:dyDescent="0.3">
      <c r="A1124">
        <v>1.1220000000000001</v>
      </c>
      <c r="B1124">
        <f>Uo*COS(2*PI()*Wn*Sheet2!A1124) + (Vo/Wn - (Po*(w/Wn))/(K*(1-(w/Wn)^2)))*SIN(2*PI()*Wn*Sheet2!A1124) +(Po*SIN(2*PI()*w*Sheet2!A1124))/(K*(1-(w/Wn)^2))</f>
        <v>2.8046634830803763</v>
      </c>
      <c r="C1124">
        <f t="shared" si="70"/>
        <v>1.5575517199955011</v>
      </c>
      <c r="D1124">
        <f t="shared" si="71"/>
        <v>254.41804233520887</v>
      </c>
      <c r="R1124">
        <f t="shared" si="68"/>
        <v>1.1220000000000001</v>
      </c>
      <c r="S1124">
        <f t="shared" si="69"/>
        <v>1.5575517199955011</v>
      </c>
    </row>
    <row r="1125" spans="1:19" x14ac:dyDescent="0.3">
      <c r="A1125">
        <v>1.123</v>
      </c>
      <c r="B1125">
        <f>Uo*COS(2*PI()*Wn*Sheet2!A1125) + (Vo/Wn - (Po*(w/Wn))/(K*(1-(w/Wn)^2)))*SIN(2*PI()*Wn*Sheet2!A1125) +(Po*SIN(2*PI()*w*Sheet2!A1125))/(K*(1-(w/Wn)^2))</f>
        <v>2.4463057463093469</v>
      </c>
      <c r="C1125">
        <f t="shared" si="70"/>
        <v>1.4279249138028063</v>
      </c>
      <c r="D1125">
        <f t="shared" si="71"/>
        <v>233.24417193185161</v>
      </c>
      <c r="R1125">
        <f t="shared" si="68"/>
        <v>1.123</v>
      </c>
      <c r="S1125">
        <f t="shared" si="69"/>
        <v>1.4279249138028063</v>
      </c>
    </row>
    <row r="1126" spans="1:19" x14ac:dyDescent="0.3">
      <c r="A1126">
        <v>1.1240000000000001</v>
      </c>
      <c r="B1126">
        <f>Uo*COS(2*PI()*Wn*Sheet2!A1126) + (Vo/Wn - (Po*(w/Wn))/(K*(1-(w/Wn)^2)))*SIN(2*PI()*Wn*Sheet2!A1126) +(Po*SIN(2*PI()*w*Sheet2!A1126))/(K*(1-(w/Wn)^2))</f>
        <v>2.0871488484352851</v>
      </c>
      <c r="C1126">
        <f t="shared" si="70"/>
        <v>1.2980661364050907</v>
      </c>
      <c r="D1126">
        <f t="shared" si="71"/>
        <v>212.03241022825571</v>
      </c>
      <c r="R1126">
        <f t="shared" si="68"/>
        <v>1.1240000000000001</v>
      </c>
      <c r="S1126">
        <f t="shared" si="69"/>
        <v>1.2980661364050907</v>
      </c>
    </row>
    <row r="1127" spans="1:19" x14ac:dyDescent="0.3">
      <c r="A1127">
        <v>1.125</v>
      </c>
      <c r="B1127">
        <f>Uo*COS(2*PI()*Wn*Sheet2!A1127) + (Vo/Wn - (Po*(w/Wn))/(K*(1-(w/Wn)^2)))*SIN(2*PI()*Wn*Sheet2!A1127) +(Po*SIN(2*PI()*w*Sheet2!A1127))/(K*(1-(w/Wn)^2))</f>
        <v>1.7273101191188109</v>
      </c>
      <c r="C1127">
        <f t="shared" si="70"/>
        <v>1.1680181907547564</v>
      </c>
      <c r="D1127">
        <f t="shared" si="71"/>
        <v>190.78974886599337</v>
      </c>
      <c r="R1127">
        <f t="shared" si="68"/>
        <v>1.125</v>
      </c>
      <c r="S1127">
        <f t="shared" si="69"/>
        <v>1.1680181907547564</v>
      </c>
    </row>
    <row r="1128" spans="1:19" x14ac:dyDescent="0.3">
      <c r="A1128">
        <v>1.1259999999999999</v>
      </c>
      <c r="B1128">
        <f>Uo*COS(2*PI()*Wn*Sheet2!A1128) + (Vo/Wn - (Po*(w/Wn))/(K*(1-(w/Wn)^2)))*SIN(2*PI()*Wn*Sheet2!A1128) +(Po*SIN(2*PI()*w*Sheet2!A1128))/(K*(1-(w/Wn)^2))</f>
        <v>1.3669071107616402</v>
      </c>
      <c r="C1128">
        <f t="shared" si="70"/>
        <v>1.0378238642512965</v>
      </c>
      <c r="D1128">
        <f t="shared" si="71"/>
        <v>169.52317694614922</v>
      </c>
      <c r="R1128">
        <f t="shared" si="68"/>
        <v>1.1259999999999999</v>
      </c>
      <c r="S1128">
        <f t="shared" si="69"/>
        <v>1.0378238642512965</v>
      </c>
    </row>
    <row r="1129" spans="1:19" x14ac:dyDescent="0.3">
      <c r="A1129">
        <v>1.127</v>
      </c>
      <c r="B1129">
        <f>Uo*COS(2*PI()*Wn*Sheet2!A1129) + (Vo/Wn - (Po*(w/Wn))/(K*(1-(w/Wn)^2)))*SIN(2*PI()*Wn*Sheet2!A1129) +(Po*SIN(2*PI()*w*Sheet2!A1129))/(K*(1-(w/Wn)^2))</f>
        <v>1.0060575601044004</v>
      </c>
      <c r="C1129">
        <f t="shared" si="70"/>
        <v>0.90752591480441436</v>
      </c>
      <c r="D1129">
        <f t="shared" si="71"/>
        <v>148.23967875280286</v>
      </c>
      <c r="R1129">
        <f t="shared" si="68"/>
        <v>1.127</v>
      </c>
      <c r="S1129">
        <f t="shared" si="69"/>
        <v>0.90752591480441436</v>
      </c>
    </row>
    <row r="1130" spans="1:19" x14ac:dyDescent="0.3">
      <c r="A1130">
        <v>1.1279999999999999</v>
      </c>
      <c r="B1130">
        <f>Uo*COS(2*PI()*Wn*Sheet2!A1130) + (Vo/Wn - (Po*(w/Wn))/(K*(1-(w/Wn)^2)))*SIN(2*PI()*Wn*Sheet2!A1130) +(Po*SIN(2*PI()*w*Sheet2!A1130))/(K*(1-(w/Wn)^2))</f>
        <v>0.64487934976493755</v>
      </c>
      <c r="C1130">
        <f t="shared" si="70"/>
        <v>0.77716705693168042</v>
      </c>
      <c r="D1130">
        <f t="shared" si="71"/>
        <v>126.94623148215268</v>
      </c>
      <c r="R1130">
        <f t="shared" si="68"/>
        <v>1.1279999999999999</v>
      </c>
      <c r="S1130">
        <f t="shared" si="69"/>
        <v>0.77716705693168042</v>
      </c>
    </row>
    <row r="1131" spans="1:19" x14ac:dyDescent="0.3">
      <c r="A1131">
        <v>1.129</v>
      </c>
      <c r="B1131">
        <f>Uo*COS(2*PI()*Wn*Sheet2!A1131) + (Vo/Wn - (Po*(w/Wn))/(K*(1-(w/Wn)^2)))*SIN(2*PI()*Wn*Sheet2!A1131) +(Po*SIN(2*PI()*w*Sheet2!A1131))/(K*(1-(w/Wn)^2))</f>
        <v>0.28349046972754899</v>
      </c>
      <c r="C1131">
        <f t="shared" si="70"/>
        <v>0.64678994789532651</v>
      </c>
      <c r="D1131">
        <f t="shared" si="71"/>
        <v>105.64980297803275</v>
      </c>
      <c r="R1131">
        <f t="shared" si="68"/>
        <v>1.129</v>
      </c>
      <c r="S1131">
        <f t="shared" si="69"/>
        <v>0.64678994789532651</v>
      </c>
    </row>
    <row r="1132" spans="1:19" x14ac:dyDescent="0.3">
      <c r="A1132">
        <v>1.1299999999999999</v>
      </c>
      <c r="B1132">
        <f>Uo*COS(2*PI()*Wn*Sheet2!A1132) + (Vo/Wn - (Po*(w/Wn))/(K*(1-(w/Wn)^2)))*SIN(2*PI()*Wn*Sheet2!A1132) +(Po*SIN(2*PI()*w*Sheet2!A1132))/(K*(1-(w/Wn)^2))</f>
        <v>-7.7991021201368971E-2</v>
      </c>
      <c r="C1132">
        <f t="shared" si="70"/>
        <v>0.51643717388314803</v>
      </c>
      <c r="D1132">
        <f t="shared" si="71"/>
        <v>84.35734947463439</v>
      </c>
      <c r="R1132">
        <f t="shared" si="68"/>
        <v>1.1299999999999999</v>
      </c>
      <c r="S1132">
        <f t="shared" si="69"/>
        <v>0.51643717388314803</v>
      </c>
    </row>
    <row r="1133" spans="1:19" x14ac:dyDescent="0.3">
      <c r="A1133">
        <v>1.131</v>
      </c>
      <c r="B1133">
        <f>Uo*COS(2*PI()*Wn*Sheet2!A1133) + (Vo/Wn - (Po*(w/Wn))/(K*(1-(w/Wn)^2)))*SIN(2*PI()*Wn*Sheet2!A1133) +(Po*SIN(2*PI()*w*Sheet2!A1133))/(K*(1-(w/Wn)^2))</f>
        <v>-0.43944703396171747</v>
      </c>
      <c r="C1133">
        <f t="shared" si="70"/>
        <v>0.38615123623701947</v>
      </c>
      <c r="D1133">
        <f t="shared" si="71"/>
        <v>63.07581334700528</v>
      </c>
      <c r="R1133">
        <f t="shared" si="68"/>
        <v>1.131</v>
      </c>
      <c r="S1133">
        <f t="shared" si="69"/>
        <v>0.38615123623701947</v>
      </c>
    </row>
    <row r="1134" spans="1:19" x14ac:dyDescent="0.3">
      <c r="A1134">
        <v>1.1319999999999999</v>
      </c>
      <c r="B1134">
        <f>Uo*COS(2*PI()*Wn*Sheet2!A1134) + (Vo/Wn - (Po*(w/Wn))/(K*(1-(w/Wn)^2)))*SIN(2*PI()*Wn*Sheet2!A1134) +(Po*SIN(2*PI()*w*Sheet2!A1134))/(K*(1-(w/Wn)^2))</f>
        <v>-0.80075948781612893</v>
      </c>
      <c r="C1134">
        <f t="shared" si="70"/>
        <v>0.25597453773463869</v>
      </c>
      <c r="D1134">
        <f t="shared" si="71"/>
        <v>41.812120870243035</v>
      </c>
      <c r="R1134">
        <f t="shared" si="68"/>
        <v>1.1319999999999999</v>
      </c>
      <c r="S1134">
        <f t="shared" si="69"/>
        <v>0.25597453773463869</v>
      </c>
    </row>
    <row r="1135" spans="1:19" x14ac:dyDescent="0.3">
      <c r="A1135">
        <v>1.133</v>
      </c>
      <c r="B1135">
        <f>Uo*COS(2*PI()*Wn*Sheet2!A1135) + (Vo/Wn - (Po*(w/Wn))/(K*(1-(w/Wn)^2)))*SIN(2*PI()*Wn*Sheet2!A1135) +(Po*SIN(2*PI()*w*Sheet2!A1135))/(K*(1-(w/Wn)^2))</f>
        <v>-1.161810348925528</v>
      </c>
      <c r="C1135">
        <f t="shared" si="70"/>
        <v>0.12594936892754566</v>
      </c>
      <c r="D1135">
        <f t="shared" si="71"/>
        <v>20.573179987881051</v>
      </c>
      <c r="R1135">
        <f t="shared" si="68"/>
        <v>1.133</v>
      </c>
      <c r="S1135">
        <f t="shared" si="69"/>
        <v>0.12594936892754566</v>
      </c>
    </row>
    <row r="1136" spans="1:19" x14ac:dyDescent="0.3">
      <c r="A1136">
        <v>1.1339999999999999</v>
      </c>
      <c r="B1136">
        <f>Uo*COS(2*PI()*Wn*Sheet2!A1136) + (Vo/Wn - (Po*(w/Wn))/(K*(1-(w/Wn)^2)))*SIN(2*PI()*Wn*Sheet2!A1136) +(Po*SIN(2*PI()*w*Sheet2!A1136))/(K*(1-(w/Wn)^2))</f>
        <v>-1.5224816689078102</v>
      </c>
      <c r="C1136">
        <f t="shared" si="70"/>
        <v>-3.882105458993063E-3</v>
      </c>
      <c r="D1136">
        <f t="shared" si="71"/>
        <v>-0.63412190962024384</v>
      </c>
      <c r="R1136">
        <f t="shared" si="68"/>
        <v>1.1339999999999999</v>
      </c>
      <c r="S1136">
        <f t="shared" si="69"/>
        <v>-3.882105458993063E-3</v>
      </c>
    </row>
    <row r="1137" spans="1:19" x14ac:dyDescent="0.3">
      <c r="A1137">
        <v>1.135</v>
      </c>
      <c r="B1137">
        <f>Uo*COS(2*PI()*Wn*Sheet2!A1137) + (Vo/Wn - (Po*(w/Wn))/(K*(1-(w/Wn)^2)))*SIN(2*PI()*Wn*Sheet2!A1137) +(Po*SIN(2*PI()*w*Sheet2!A1137))/(K*(1-(w/Wn)^2))</f>
        <v>-1.8826556233701643</v>
      </c>
      <c r="C1137">
        <f t="shared" si="70"/>
        <v>-0.13347786006103601</v>
      </c>
      <c r="D1137">
        <f t="shared" si="71"/>
        <v>-21.802920195754293</v>
      </c>
      <c r="R1137">
        <f t="shared" si="68"/>
        <v>1.135</v>
      </c>
      <c r="S1137">
        <f t="shared" si="69"/>
        <v>-0.13347786006103601</v>
      </c>
    </row>
    <row r="1138" spans="1:19" x14ac:dyDescent="0.3">
      <c r="A1138">
        <v>1.1359999999999999</v>
      </c>
      <c r="B1138">
        <f>Uo*COS(2*PI()*Wn*Sheet2!A1138) + (Vo/Wn - (Po*(w/Wn))/(K*(1-(w/Wn)^2)))*SIN(2*PI()*Wn*Sheet2!A1138) +(Po*SIN(2*PI()*w*Sheet2!A1138))/(K*(1-(w/Wn)^2))</f>
        <v>-2.2422145503990452</v>
      </c>
      <c r="C1138">
        <f t="shared" si="70"/>
        <v>-0.26279602234042715</v>
      </c>
      <c r="D1138">
        <f t="shared" si="71"/>
        <v>-42.926375207318578</v>
      </c>
      <c r="R1138">
        <f t="shared" si="68"/>
        <v>1.1359999999999999</v>
      </c>
      <c r="S1138">
        <f t="shared" si="69"/>
        <v>-0.26279602234042715</v>
      </c>
    </row>
    <row r="1139" spans="1:19" x14ac:dyDescent="0.3">
      <c r="A1139">
        <v>1.137</v>
      </c>
      <c r="B1139">
        <f>Uo*COS(2*PI()*Wn*Sheet2!A1139) + (Vo/Wn - (Po*(w/Wn))/(K*(1-(w/Wn)^2)))*SIN(2*PI()*Wn*Sheet2!A1139) +(Po*SIN(2*PI()*w*Sheet2!A1139))/(K*(1-(w/Wn)^2))</f>
        <v>-2.6010409889989132</v>
      </c>
      <c r="C1139">
        <f t="shared" si="70"/>
        <v>-0.39179488597572537</v>
      </c>
      <c r="D1139">
        <f t="shared" si="71"/>
        <v>-63.997674431753929</v>
      </c>
      <c r="R1139">
        <f t="shared" si="68"/>
        <v>1.137</v>
      </c>
      <c r="S1139">
        <f t="shared" si="69"/>
        <v>-0.39179488597572537</v>
      </c>
    </row>
    <row r="1140" spans="1:19" x14ac:dyDescent="0.3">
      <c r="A1140">
        <v>1.1379999999999999</v>
      </c>
      <c r="B1140">
        <f>Uo*COS(2*PI()*Wn*Sheet2!A1140) + (Vo/Wn - (Po*(w/Wn))/(K*(1-(w/Wn)^2)))*SIN(2*PI()*Wn*Sheet2!A1140) +(Po*SIN(2*PI()*w*Sheet2!A1140))/(K*(1-(w/Wn)^2))</f>
        <v>-2.9590177174637757</v>
      </c>
      <c r="C1140">
        <f t="shared" si="70"/>
        <v>-0.52043292417413978</v>
      </c>
      <c r="D1140">
        <f t="shared" si="71"/>
        <v>-85.010034681580464</v>
      </c>
      <c r="R1140">
        <f t="shared" si="68"/>
        <v>1.1379999999999999</v>
      </c>
      <c r="S1140">
        <f t="shared" si="69"/>
        <v>-0.52043292417413978</v>
      </c>
    </row>
    <row r="1141" spans="1:19" x14ac:dyDescent="0.3">
      <c r="A1141">
        <v>1.139</v>
      </c>
      <c r="B1141">
        <f>Uo*COS(2*PI()*Wn*Sheet2!A1141) + (Vo/Wn - (Po*(w/Wn))/(K*(1-(w/Wn)^2)))*SIN(2*PI()*Wn*Sheet2!A1141) +(Po*SIN(2*PI()*w*Sheet2!A1141))/(K*(1-(w/Wn)^2))</f>
        <v>-3.3160277916721141</v>
      </c>
      <c r="C1141">
        <f t="shared" si="70"/>
        <v>-0.64866880290139106</v>
      </c>
      <c r="D1141">
        <f t="shared" si="71"/>
        <v>-105.95670425542727</v>
      </c>
      <c r="R1141">
        <f t="shared" si="68"/>
        <v>1.139</v>
      </c>
      <c r="S1141">
        <f t="shared" si="69"/>
        <v>-0.64866880290139106</v>
      </c>
    </row>
    <row r="1142" spans="1:19" x14ac:dyDescent="0.3">
      <c r="A1142">
        <v>1.1399999999999999</v>
      </c>
      <c r="B1142">
        <f>Uo*COS(2*PI()*Wn*Sheet2!A1142) + (Vo/Wn - (Po*(w/Wn))/(K*(1-(w/Wn)^2)))*SIN(2*PI()*Wn*Sheet2!A1142) +(Po*SIN(2*PI()*w*Sheet2!A1142))/(K*(1-(w/Wn)^2))</f>
        <v>-3.6719545832892999</v>
      </c>
      <c r="C1142">
        <f t="shared" si="70"/>
        <v>-0.77646139402410796</v>
      </c>
      <c r="D1142">
        <f t="shared" si="71"/>
        <v>-126.8309650847751</v>
      </c>
      <c r="R1142">
        <f t="shared" si="68"/>
        <v>1.1399999999999999</v>
      </c>
      <c r="S1142">
        <f t="shared" si="69"/>
        <v>-0.77646139402410796</v>
      </c>
    </row>
    <row r="1143" spans="1:19" x14ac:dyDescent="0.3">
      <c r="A1143">
        <v>1.141</v>
      </c>
      <c r="B1143">
        <f>Uo*COS(2*PI()*Wn*Sheet2!A1143) + (Vo/Wn - (Po*(w/Wn))/(K*(1-(w/Wn)^2)))*SIN(2*PI()*Wn*Sheet2!A1143) +(Po*SIN(2*PI()*w*Sheet2!A1143))/(K*(1-(w/Wn)^2))</f>
        <v>-4.0266818178686687</v>
      </c>
      <c r="C1143">
        <f t="shared" si="70"/>
        <v>-0.90376978836194577</v>
      </c>
      <c r="D1143">
        <f t="shared" si="71"/>
        <v>-147.62613486595259</v>
      </c>
      <c r="R1143">
        <f t="shared" si="68"/>
        <v>1.141</v>
      </c>
      <c r="S1143">
        <f t="shared" si="69"/>
        <v>-0.90376978836194577</v>
      </c>
    </row>
    <row r="1144" spans="1:19" x14ac:dyDescent="0.3">
      <c r="A1144">
        <v>1.1419999999999999</v>
      </c>
      <c r="B1144">
        <f>Uo*COS(2*PI()*Wn*Sheet2!A1144) + (Vo/Wn - (Po*(w/Wn))/(K*(1-(w/Wn)^2)))*SIN(2*PI()*Wn*Sheet2!A1144) +(Po*SIN(2*PI()*w*Sheet2!A1144))/(K*(1-(w/Wn)^2))</f>
        <v>-4.3800936128354548</v>
      </c>
      <c r="C1144">
        <f t="shared" si="70"/>
        <v>-1.0305533086441181</v>
      </c>
      <c r="D1144">
        <f t="shared" si="71"/>
        <v>-168.33556917651899</v>
      </c>
      <c r="R1144">
        <f t="shared" si="68"/>
        <v>1.1419999999999999</v>
      </c>
      <c r="S1144">
        <f t="shared" si="69"/>
        <v>-1.0305533086441181</v>
      </c>
    </row>
    <row r="1145" spans="1:19" x14ac:dyDescent="0.3">
      <c r="A1145">
        <v>1.143</v>
      </c>
      <c r="B1145">
        <f>Uo*COS(2*PI()*Wn*Sheet2!A1145) + (Vo/Wn - (Po*(w/Wn))/(K*(1-(w/Wn)^2)))*SIN(2*PI()*Wn*Sheet2!A1145) +(Po*SIN(2*PI()*w*Sheet2!A1145))/(K*(1-(w/Wn)^2))</f>
        <v>-4.7320745153442365</v>
      </c>
      <c r="C1145">
        <f t="shared" si="70"/>
        <v>-1.1567715223673916</v>
      </c>
      <c r="D1145">
        <f t="shared" si="71"/>
        <v>-188.95266357555118</v>
      </c>
      <c r="R1145">
        <f t="shared" si="68"/>
        <v>1.143</v>
      </c>
      <c r="S1145">
        <f t="shared" si="69"/>
        <v>-1.1567715223673916</v>
      </c>
    </row>
    <row r="1146" spans="1:19" x14ac:dyDescent="0.3">
      <c r="A1146">
        <v>1.1439999999999999</v>
      </c>
      <c r="B1146">
        <f>Uo*COS(2*PI()*Wn*Sheet2!A1146) + (Vo/Wn - (Po*(w/Wn))/(K*(1-(w/Wn)^2)))*SIN(2*PI()*Wn*Sheet2!A1146) +(Po*SIN(2*PI()*w*Sheet2!A1146))/(K*(1-(w/Wn)^2))</f>
        <v>-5.082509539994188</v>
      </c>
      <c r="C1146">
        <f t="shared" si="70"/>
        <v>-1.2823842545503186</v>
      </c>
      <c r="D1146">
        <f t="shared" si="71"/>
        <v>-209.47085568698202</v>
      </c>
      <c r="R1146">
        <f t="shared" si="68"/>
        <v>1.1439999999999999</v>
      </c>
      <c r="S1146">
        <f t="shared" si="69"/>
        <v>-1.2823842545503186</v>
      </c>
    </row>
    <row r="1147" spans="1:19" x14ac:dyDescent="0.3">
      <c r="A1147">
        <v>1.145</v>
      </c>
      <c r="B1147">
        <f>Uo*COS(2*PI()*Wn*Sheet2!A1147) + (Vo/Wn - (Po*(w/Wn))/(K*(1-(w/Wn)^2)))*SIN(2*PI()*Wn*Sheet2!A1147) +(Po*SIN(2*PI()*w*Sheet2!A1147))/(K*(1-(w/Wn)^2))</f>
        <v>-5.4312842063934355</v>
      </c>
      <c r="C1147">
        <f t="shared" si="70"/>
        <v>-1.4073516003810425</v>
      </c>
      <c r="D1147">
        <f t="shared" si="71"/>
        <v>-229.88362726555383</v>
      </c>
      <c r="R1147">
        <f t="shared" si="68"/>
        <v>1.145</v>
      </c>
      <c r="S1147">
        <f t="shared" si="69"/>
        <v>-1.4073516003810425</v>
      </c>
    </row>
    <row r="1148" spans="1:19" x14ac:dyDescent="0.3">
      <c r="A1148">
        <v>1.1459999999999999</v>
      </c>
      <c r="B1148">
        <f>Uo*COS(2*PI()*Wn*Sheet2!A1148) + (Vo/Wn - (Po*(w/Wn))/(K*(1-(w/Wn)^2)))*SIN(2*PI()*Wn*Sheet2!A1148) +(Po*SIN(2*PI()*w*Sheet2!A1148))/(K*(1-(w/Wn)^2))</f>
        <v>-5.7782845765569153</v>
      </c>
      <c r="C1148">
        <f t="shared" si="70"/>
        <v>-1.5316339377535295</v>
      </c>
      <c r="D1148">
        <f t="shared" si="71"/>
        <v>-250.18450624454749</v>
      </c>
      <c r="R1148">
        <f t="shared" si="68"/>
        <v>1.1459999999999999</v>
      </c>
      <c r="S1148">
        <f t="shared" si="69"/>
        <v>-1.5316339377535295</v>
      </c>
    </row>
    <row r="1149" spans="1:19" x14ac:dyDescent="0.3">
      <c r="A1149">
        <v>1.147</v>
      </c>
      <c r="B1149">
        <f>Uo*COS(2*PI()*Wn*Sheet2!A1149) + (Vo/Wn - (Po*(w/Wn))/(K*(1-(w/Wn)^2)))*SIN(2*PI()*Wn*Sheet2!A1149) +(Po*SIN(2*PI()*w*Sheet2!A1149))/(K*(1-(w/Wn)^2))</f>
        <v>-6.1233972921285451</v>
      </c>
      <c r="C1149">
        <f t="shared" si="70"/>
        <v>-1.6551919396894397</v>
      </c>
      <c r="D1149">
        <f t="shared" si="71"/>
        <v>-270.36706876483095</v>
      </c>
      <c r="R1149">
        <f t="shared" si="68"/>
        <v>1.147</v>
      </c>
      <c r="S1149">
        <f t="shared" si="69"/>
        <v>-1.6551919396894397</v>
      </c>
    </row>
    <row r="1150" spans="1:19" x14ac:dyDescent="0.3">
      <c r="A1150">
        <v>1.1479999999999999</v>
      </c>
      <c r="B1150">
        <f>Uo*COS(2*PI()*Wn*Sheet2!A1150) + (Vo/Wn - (Po*(w/Wn))/(K*(1-(w/Wn)^2)))*SIN(2*PI()*Wn*Sheet2!A1150) +(Po*SIN(2*PI()*w*Sheet2!A1150))/(K*(1-(w/Wn)^2))</f>
        <v>-6.4665096114122615</v>
      </c>
      <c r="C1150">
        <f t="shared" si="70"/>
        <v>-1.7779865866406004</v>
      </c>
      <c r="D1150">
        <f t="shared" si="71"/>
        <v>-290.4249411844047</v>
      </c>
      <c r="R1150">
        <f t="shared" si="68"/>
        <v>1.1479999999999999</v>
      </c>
      <c r="S1150">
        <f t="shared" si="69"/>
        <v>-1.7779865866406004</v>
      </c>
    </row>
    <row r="1151" spans="1:19" x14ac:dyDescent="0.3">
      <c r="A1151">
        <v>1.149</v>
      </c>
      <c r="B1151">
        <f>Uo*COS(2*PI()*Wn*Sheet2!A1151) + (Vo/Wn - (Po*(w/Wn))/(K*(1-(w/Wn)^2)))*SIN(2*PI()*Wn*Sheet2!A1151) +(Po*SIN(2*PI()*w*Sheet2!A1151))/(K*(1-(w/Wn)^2))</f>
        <v>-6.8075094462033912</v>
      </c>
      <c r="C1151">
        <f t="shared" si="70"/>
        <v>-1.8999791786695555</v>
      </c>
      <c r="D1151">
        <f t="shared" si="71"/>
        <v>-310.35180206803187</v>
      </c>
      <c r="R1151">
        <f t="shared" si="68"/>
        <v>1.149</v>
      </c>
      <c r="S1151">
        <f t="shared" si="69"/>
        <v>-1.8999791786695555</v>
      </c>
    </row>
    <row r="1152" spans="1:19" x14ac:dyDescent="0.3">
      <c r="A1152">
        <v>1.1499999999999999</v>
      </c>
      <c r="B1152">
        <f>Uo*COS(2*PI()*Wn*Sheet2!A1152) + (Vo/Wn - (Po*(w/Wn))/(K*(1-(w/Wn)^2)))*SIN(2*PI()*Wn*Sheet2!A1152) +(Po*SIN(2*PI()*w*Sheet2!A1152))/(K*(1-(w/Wn)^2))</f>
        <v>-7.1462853984051025</v>
      </c>
      <c r="C1152">
        <f t="shared" si="70"/>
        <v>-2.0211313475033004</v>
      </c>
      <c r="D1152">
        <f t="shared" si="71"/>
        <v>-330.14138415615355</v>
      </c>
      <c r="R1152">
        <f t="shared" si="68"/>
        <v>1.1499999999999999</v>
      </c>
      <c r="S1152">
        <f t="shared" si="69"/>
        <v>-2.0211313475033004</v>
      </c>
    </row>
    <row r="1153" spans="1:19" x14ac:dyDescent="0.3">
      <c r="A1153">
        <v>1.151</v>
      </c>
      <c r="B1153">
        <f>Uo*COS(2*PI()*Wn*Sheet2!A1153) + (Vo/Wn - (Po*(w/Wn))/(K*(1-(w/Wn)^2)))*SIN(2*PI()*Wn*Sheet2!A1153) +(Po*SIN(2*PI()*w*Sheet2!A1153))/(K*(1-(w/Wn)^2))</f>
        <v>-7.4827267964204918</v>
      </c>
      <c r="C1153">
        <f t="shared" si="70"/>
        <v>-2.1414050684573742</v>
      </c>
      <c r="D1153">
        <f t="shared" si="71"/>
        <v>-349.78747631262786</v>
      </c>
      <c r="R1153">
        <f t="shared" ref="R1153:R1216" si="72">A1153</f>
        <v>1.151</v>
      </c>
      <c r="S1153">
        <f t="shared" ref="S1153:S1216" si="73">C1153</f>
        <v>-2.1414050684573742</v>
      </c>
    </row>
    <row r="1154" spans="1:19" x14ac:dyDescent="0.3">
      <c r="A1154">
        <v>1.1519999999999999</v>
      </c>
      <c r="B1154">
        <f>Uo*COS(2*PI()*Wn*Sheet2!A1154) + (Vo/Wn - (Po*(w/Wn))/(K*(1-(w/Wn)^2)))*SIN(2*PI()*Wn*Sheet2!A1154) +(Po*SIN(2*PI()*w*Sheet2!A1154))/(K*(1-(w/Wn)^2))</f>
        <v>-7.816723731306606</v>
      </c>
      <c r="C1154">
        <f t="shared" ref="C1154:C1217" si="74">EXP(-zeta*Wn*A1154*2*PI())*($H$1*COS(wnD*2*PI()*A1154) + $H$2*SIN(wnD*2*PI()*A1154)) + $H$3*SIN(w*2*PI()*A1154) + $H$4*COS(w*2*PI()*A1154)</f>
        <v>-2.2607626722260221</v>
      </c>
      <c r="D1154">
        <f t="shared" ref="D1154:D1217" si="75">K*C1154</f>
        <v>-369.28392545059205</v>
      </c>
      <c r="R1154">
        <f t="shared" si="72"/>
        <v>1.1519999999999999</v>
      </c>
      <c r="S1154">
        <f t="shared" si="73"/>
        <v>-2.2607626722260221</v>
      </c>
    </row>
    <row r="1155" spans="1:19" x14ac:dyDescent="0.3">
      <c r="A1155">
        <v>1.153</v>
      </c>
      <c r="B1155">
        <f>Uo*COS(2*PI()*Wn*Sheet2!A1155) + (Vo/Wn - (Po*(w/Wn))/(K*(1-(w/Wn)^2)))*SIN(2*PI()*Wn*Sheet2!A1155) +(Po*SIN(2*PI()*w*Sheet2!A1155))/(K*(1-(w/Wn)^2))</f>
        <v>-8.1481670926797118</v>
      </c>
      <c r="C1155">
        <f t="shared" si="74"/>
        <v>-2.3791668565352144</v>
      </c>
      <c r="D1155">
        <f t="shared" si="75"/>
        <v>-388.62463843592326</v>
      </c>
      <c r="R1155">
        <f t="shared" si="72"/>
        <v>1.153</v>
      </c>
      <c r="S1155">
        <f t="shared" si="73"/>
        <v>-2.3791668565352144</v>
      </c>
    </row>
    <row r="1156" spans="1:19" x14ac:dyDescent="0.3">
      <c r="A1156">
        <v>1.1539999999999999</v>
      </c>
      <c r="B1156">
        <f>Uo*COS(2*PI()*Wn*Sheet2!A1156) + (Vo/Wn - (Po*(w/Wn))/(K*(1-(w/Wn)^2)))*SIN(2*PI()*Wn*Sheet2!A1156) +(Po*SIN(2*PI()*w*Sheet2!A1156))/(K*(1-(w/Wn)^2))</f>
        <v>-8.4769486043593005</v>
      </c>
      <c r="C1156">
        <f t="shared" si="74"/>
        <v>-2.4965806976546894</v>
      </c>
      <c r="D1156">
        <f t="shared" si="75"/>
        <v>-407.80358396767122</v>
      </c>
      <c r="R1156">
        <f t="shared" si="72"/>
        <v>1.1539999999999999</v>
      </c>
      <c r="S1156">
        <f t="shared" si="73"/>
        <v>-2.4965806976546894</v>
      </c>
    </row>
    <row r="1157" spans="1:19" x14ac:dyDescent="0.3">
      <c r="A1157">
        <v>1.155</v>
      </c>
      <c r="B1157">
        <f>Uo*COS(2*PI()*Wn*Sheet2!A1157) + (Vo/Wn - (Po*(w/Wn))/(K*(1-(w/Wn)^2)))*SIN(2*PI()*Wn*Sheet2!A1157) +(Po*SIN(2*PI()*w*Sheet2!A1157))/(K*(1-(w/Wn)^2))</f>
        <v>-8.8029608597402316</v>
      </c>
      <c r="C1157">
        <f t="shared" si="74"/>
        <v>-2.6129676617658877</v>
      </c>
      <c r="D1157">
        <f t="shared" si="75"/>
        <v>-426.81479443495175</v>
      </c>
      <c r="R1157">
        <f t="shared" si="72"/>
        <v>1.155</v>
      </c>
      <c r="S1157">
        <f t="shared" si="73"/>
        <v>-2.6129676617658877</v>
      </c>
    </row>
    <row r="1158" spans="1:19" x14ac:dyDescent="0.3">
      <c r="A1158">
        <v>1.1559999999999999</v>
      </c>
      <c r="B1158">
        <f>Uo*COS(2*PI()*Wn*Sheet2!A1158) + (Vo/Wn - (Po*(w/Wn))/(K*(1-(w/Wn)^2)))*SIN(2*PI()*Wn*Sheet2!A1158) +(Po*SIN(2*PI()*w*Sheet2!A1158))/(K*(1-(w/Wn)^2))</f>
        <v>-9.1260973568801464</v>
      </c>
      <c r="C1158">
        <f t="shared" si="74"/>
        <v>-2.7282916161818678</v>
      </c>
      <c r="D1158">
        <f t="shared" si="75"/>
        <v>-445.65236774966218</v>
      </c>
      <c r="R1158">
        <f t="shared" si="72"/>
        <v>1.1559999999999999</v>
      </c>
      <c r="S1158">
        <f t="shared" si="73"/>
        <v>-2.7282916161818678</v>
      </c>
    </row>
    <row r="1159" spans="1:19" x14ac:dyDescent="0.3">
      <c r="A1159">
        <v>1.157</v>
      </c>
      <c r="B1159">
        <f>Uo*COS(2*PI()*Wn*Sheet2!A1159) + (Vo/Wn - (Po*(w/Wn))/(K*(1-(w/Wn)^2)))*SIN(2*PI()*Wn*Sheet2!A1159) +(Po*SIN(2*PI()*w*Sheet2!A1159))/(K*(1-(w/Wn)^2))</f>
        <v>-9.4462525332917302</v>
      </c>
      <c r="C1159">
        <f t="shared" si="74"/>
        <v>-2.8425168404161711</v>
      </c>
      <c r="D1159">
        <f t="shared" si="75"/>
        <v>-464.31046915452316</v>
      </c>
      <c r="R1159">
        <f t="shared" si="72"/>
        <v>1.157</v>
      </c>
      <c r="S1159">
        <f t="shared" si="73"/>
        <v>-2.8425168404161711</v>
      </c>
    </row>
    <row r="1160" spans="1:19" x14ac:dyDescent="0.3">
      <c r="A1160">
        <v>1.1579999999999999</v>
      </c>
      <c r="B1160">
        <f>Uo*COS(2*PI()*Wn*Sheet2!A1160) + (Vo/Wn - (Po*(w/Wn))/(K*(1-(w/Wn)^2)))*SIN(2*PI()*Wn*Sheet2!A1160) +(Po*SIN(2*PI()*w*Sheet2!A1160))/(K*(1-(w/Wn)^2))</f>
        <v>-9.7633218004277058</v>
      </c>
      <c r="C1160">
        <f t="shared" si="74"/>
        <v>-2.955608037097027</v>
      </c>
      <c r="D1160">
        <f t="shared" si="75"/>
        <v>-482.78333300585808</v>
      </c>
      <c r="R1160">
        <f t="shared" si="72"/>
        <v>1.1579999999999999</v>
      </c>
      <c r="S1160">
        <f t="shared" si="73"/>
        <v>-2.955608037097027</v>
      </c>
    </row>
    <row r="1161" spans="1:19" x14ac:dyDescent="0.3">
      <c r="A1161">
        <v>1.159</v>
      </c>
      <c r="B1161">
        <f>Uo*COS(2*PI()*Wn*Sheet2!A1161) + (Vo/Wn - (Po*(w/Wn))/(K*(1-(w/Wn)^2)))*SIN(2*PI()*Wn*Sheet2!A1161) +(Po*SIN(2*PI()*w*Sheet2!A1161))/(K*(1-(w/Wn)^2))</f>
        <v>-10.077201577848271</v>
      </c>
      <c r="C1161">
        <f t="shared" si="74"/>
        <v>-3.0675303427239755</v>
      </c>
      <c r="D1161">
        <f t="shared" si="75"/>
        <v>-501.06526453063174</v>
      </c>
      <c r="R1161">
        <f t="shared" si="72"/>
        <v>1.159</v>
      </c>
      <c r="S1161">
        <f t="shared" si="73"/>
        <v>-3.0675303427239755</v>
      </c>
    </row>
    <row r="1162" spans="1:19" x14ac:dyDescent="0.3">
      <c r="A1162">
        <v>1.1599999999999999</v>
      </c>
      <c r="B1162">
        <f>Uo*COS(2*PI()*Wn*Sheet2!A1162) + (Vo/Wn - (Po*(w/Wn))/(K*(1-(w/Wn)^2)))*SIN(2*PI()*Wn*Sheet2!A1162) +(Po*SIN(2*PI()*w*Sheet2!A1162))/(K*(1-(w/Wn)^2))</f>
        <v>-10.387789327058599</v>
      </c>
      <c r="C1162">
        <f t="shared" si="74"/>
        <v>-3.1782493382632389</v>
      </c>
      <c r="D1162">
        <f t="shared" si="75"/>
        <v>-519.15064155714958</v>
      </c>
      <c r="R1162">
        <f t="shared" si="72"/>
        <v>1.1599999999999999</v>
      </c>
      <c r="S1162">
        <f t="shared" si="73"/>
        <v>-3.1782493382632389</v>
      </c>
    </row>
    <row r="1163" spans="1:19" x14ac:dyDescent="0.3">
      <c r="A1163">
        <v>1.161</v>
      </c>
      <c r="B1163">
        <f>Uo*COS(2*PI()*Wn*Sheet2!A1163) + (Vo/Wn - (Po*(w/Wn))/(K*(1-(w/Wn)^2)))*SIN(2*PI()*Wn*Sheet2!A1163) +(Po*SIN(2*PI()*w*Sheet2!A1163))/(K*(1-(w/Wn)^2))</f>
        <v>-10.694983585006305</v>
      </c>
      <c r="C1163">
        <f t="shared" si="74"/>
        <v>-3.2877310595790084</v>
      </c>
      <c r="D1163">
        <f t="shared" si="75"/>
        <v>-537.03391621895503</v>
      </c>
      <c r="R1163">
        <f t="shared" si="72"/>
        <v>1.161</v>
      </c>
      <c r="S1163">
        <f t="shared" si="73"/>
        <v>-3.2877310595790084</v>
      </c>
    </row>
    <row r="1164" spans="1:19" x14ac:dyDescent="0.3">
      <c r="A1164">
        <v>1.1619999999999999</v>
      </c>
      <c r="B1164">
        <f>Uo*COS(2*PI()*Wn*Sheet2!A1164) + (Vo/Wn - (Po*(w/Wn))/(K*(1-(w/Wn)^2)))*SIN(2*PI()*Wn*Sheet2!A1164) +(Po*SIN(2*PI()*w*Sheet2!A1164))/(K*(1-(w/Wn)^2))</f>
        <v>-10.998683997227252</v>
      </c>
      <c r="C1164">
        <f t="shared" si="74"/>
        <v>-3.3959420076973097</v>
      </c>
      <c r="D1164">
        <f t="shared" si="75"/>
        <v>-554.70961663137837</v>
      </c>
      <c r="R1164">
        <f t="shared" si="72"/>
        <v>1.1619999999999999</v>
      </c>
      <c r="S1164">
        <f t="shared" si="73"/>
        <v>-3.3959420076973097</v>
      </c>
    </row>
    <row r="1165" spans="1:19" x14ac:dyDescent="0.3">
      <c r="A1165">
        <v>1.163</v>
      </c>
      <c r="B1165">
        <f>Uo*COS(2*PI()*Wn*Sheet2!A1165) + (Vo/Wn - (Po*(w/Wn))/(K*(1-(w/Wn)^2)))*SIN(2*PI()*Wn*Sheet2!A1165) +(Po*SIN(2*PI()*w*Sheet2!A1165))/(K*(1-(w/Wn)^2))</f>
        <v>-11.298791350629827</v>
      </c>
      <c r="C1165">
        <f t="shared" si="74"/>
        <v>-3.5028491588997381</v>
      </c>
      <c r="D1165">
        <f t="shared" si="75"/>
        <v>-572.17234854029664</v>
      </c>
      <c r="R1165">
        <f t="shared" si="72"/>
        <v>1.163</v>
      </c>
      <c r="S1165">
        <f t="shared" si="73"/>
        <v>-3.5028491588997381</v>
      </c>
    </row>
    <row r="1166" spans="1:19" x14ac:dyDescent="0.3">
      <c r="A1166">
        <v>1.1639999999999999</v>
      </c>
      <c r="B1166">
        <f>Uo*COS(2*PI()*Wn*Sheet2!A1166) + (Vo/Wn - (Po*(w/Wn))/(K*(1-(w/Wn)^2)))*SIN(2*PI()*Wn*Sheet2!A1166) +(Po*SIN(2*PI()*w*Sheet2!A1166))/(K*(1-(w/Wn)^2))</f>
        <v>-11.595207605905436</v>
      </c>
      <c r="C1166">
        <f t="shared" si="74"/>
        <v>-3.6084199746435117</v>
      </c>
      <c r="D1166">
        <f t="shared" si="75"/>
        <v>-589.41679694252332</v>
      </c>
      <c r="R1166">
        <f t="shared" si="72"/>
        <v>1.1639999999999999</v>
      </c>
      <c r="S1166">
        <f t="shared" si="73"/>
        <v>-3.6084199746435117</v>
      </c>
    </row>
    <row r="1167" spans="1:19" x14ac:dyDescent="0.3">
      <c r="A1167">
        <v>1.165</v>
      </c>
      <c r="B1167">
        <f>Uo*COS(2*PI()*Wn*Sheet2!A1167) + (Vo/Wn - (Po*(w/Wn))/(K*(1-(w/Wn)^2)))*SIN(2*PI()*Wn*Sheet2!A1167) +(Po*SIN(2*PI()*w*Sheet2!A1167))/(K*(1-(w/Wn)^2))</f>
        <v>-11.887835929556758</v>
      </c>
      <c r="C1167">
        <f t="shared" si="74"/>
        <v>-3.7126224113056989</v>
      </c>
      <c r="D1167">
        <f t="shared" si="75"/>
        <v>-606.4377276774776</v>
      </c>
      <c r="R1167">
        <f t="shared" si="72"/>
        <v>1.165</v>
      </c>
      <c r="S1167">
        <f t="shared" si="73"/>
        <v>-3.7126224113056989</v>
      </c>
    </row>
    <row r="1168" spans="1:19" x14ac:dyDescent="0.3">
      <c r="A1168">
        <v>1.1659999999999999</v>
      </c>
      <c r="B1168">
        <f>Uo*COS(2*PI()*Wn*Sheet2!A1168) + (Vo/Wn - (Po*(w/Wn))/(K*(1-(w/Wn)^2)))*SIN(2*PI()*Wn*Sheet2!A1168) +(Po*SIN(2*PI()*w*Sheet2!A1168))/(K*(1-(w/Wn)^2))</f>
        <v>-12.176580725530574</v>
      </c>
      <c r="C1168">
        <f t="shared" si="74"/>
        <v>-3.8154249297477634</v>
      </c>
      <c r="D1168">
        <f t="shared" si="75"/>
        <v>-623.22998898950311</v>
      </c>
      <c r="R1168">
        <f t="shared" si="72"/>
        <v>1.1659999999999999</v>
      </c>
      <c r="S1168">
        <f t="shared" si="73"/>
        <v>-3.8154249297477634</v>
      </c>
    </row>
    <row r="1169" spans="1:19" x14ac:dyDescent="0.3">
      <c r="A1169">
        <v>1.167</v>
      </c>
      <c r="B1169">
        <f>Uo*COS(2*PI()*Wn*Sheet2!A1169) + (Vo/Wn - (Po*(w/Wn))/(K*(1-(w/Wn)^2)))*SIN(2*PI()*Wn*Sheet2!A1169) +(Po*SIN(2*PI()*w*Sheet2!A1169))/(K*(1-(w/Wn)^2))</f>
        <v>-12.461347666447862</v>
      </c>
      <c r="C1169">
        <f t="shared" si="74"/>
        <v>-3.9167965046987385</v>
      </c>
      <c r="D1169">
        <f t="shared" si="75"/>
        <v>-639.78851306056151</v>
      </c>
      <c r="R1169">
        <f t="shared" si="72"/>
        <v>1.167</v>
      </c>
      <c r="S1169">
        <f t="shared" si="73"/>
        <v>-3.9167965046987385</v>
      </c>
    </row>
    <row r="1170" spans="1:19" x14ac:dyDescent="0.3">
      <c r="A1170">
        <v>1.1679999999999999</v>
      </c>
      <c r="B1170">
        <f>Uo*COS(2*PI()*Wn*Sheet2!A1170) + (Vo/Wn - (Po*(w/Wn))/(K*(1-(w/Wn)^2)))*SIN(2*PI()*Wn*Sheet2!A1170) +(Po*SIN(2*PI()*w*Sheet2!A1170))/(K*(1-(w/Wn)^2))</f>
        <v>-12.742043724418155</v>
      </c>
      <c r="C1170">
        <f t="shared" si="74"/>
        <v>-4.0167066339532669</v>
      </c>
      <c r="D1170">
        <f t="shared" si="75"/>
        <v>-656.10831751268483</v>
      </c>
      <c r="R1170">
        <f t="shared" si="72"/>
        <v>1.1679999999999999</v>
      </c>
      <c r="S1170">
        <f t="shared" si="73"/>
        <v>-4.0167066339532669</v>
      </c>
    </row>
    <row r="1171" spans="1:19" x14ac:dyDescent="0.3">
      <c r="A1171">
        <v>1.169</v>
      </c>
      <c r="B1171">
        <f>Uo*COS(2*PI()*Wn*Sheet2!A1171) + (Vo/Wn - (Po*(w/Wn))/(K*(1-(w/Wn)^2)))*SIN(2*PI()*Wn*Sheet2!A1171) +(Po*SIN(2*PI()*w*Sheet2!A1171))/(K*(1-(w/Wn)^2))</f>
        <v>-13.018577201430659</v>
      </c>
      <c r="C1171">
        <f t="shared" si="74"/>
        <v>-4.1151253473827687</v>
      </c>
      <c r="D1171">
        <f t="shared" si="75"/>
        <v>-672.18450687990276</v>
      </c>
      <c r="R1171">
        <f t="shared" si="72"/>
        <v>1.169</v>
      </c>
      <c r="S1171">
        <f t="shared" si="73"/>
        <v>-4.1151253473827687</v>
      </c>
    </row>
    <row r="1172" spans="1:19" x14ac:dyDescent="0.3">
      <c r="A1172">
        <v>1.17</v>
      </c>
      <c r="B1172">
        <f>Uo*COS(2*PI()*Wn*Sheet2!A1172) + (Vo/Wn - (Po*(w/Wn))/(K*(1-(w/Wn)^2)))*SIN(2*PI()*Wn*Sheet2!A1172) +(Po*SIN(2*PI()*w*Sheet2!A1172))/(K*(1-(w/Wn)^2))</f>
        <v>-13.290857759309436</v>
      </c>
      <c r="C1172">
        <f t="shared" si="74"/>
        <v>-4.2120232157561404</v>
      </c>
      <c r="D1172">
        <f t="shared" si="75"/>
        <v>-688.01227404905922</v>
      </c>
      <c r="R1172">
        <f t="shared" si="72"/>
        <v>1.17</v>
      </c>
      <c r="S1172">
        <f t="shared" si="73"/>
        <v>-4.2120232157561404</v>
      </c>
    </row>
    <row r="1173" spans="1:19" x14ac:dyDescent="0.3">
      <c r="A1173">
        <v>1.171</v>
      </c>
      <c r="B1173">
        <f>Uo*COS(2*PI()*Wn*Sheet2!A1173) + (Vo/Wn - (Po*(w/Wn))/(K*(1-(w/Wn)^2)))*SIN(2*PI()*Wn*Sheet2!A1173) +(Po*SIN(2*PI()*w*Sheet2!A1173))/(K*(1-(w/Wn)^2))</f>
        <v>-13.558796449225827</v>
      </c>
      <c r="C1173">
        <f t="shared" si="74"/>
        <v>-4.3073713593685161</v>
      </c>
      <c r="D1173">
        <f t="shared" si="75"/>
        <v>-703.58690166927533</v>
      </c>
      <c r="R1173">
        <f t="shared" si="72"/>
        <v>1.171</v>
      </c>
      <c r="S1173">
        <f t="shared" si="73"/>
        <v>-4.3073713593685161</v>
      </c>
    </row>
    <row r="1174" spans="1:19" x14ac:dyDescent="0.3">
      <c r="A1174">
        <v>1.1719999999999999</v>
      </c>
      <c r="B1174">
        <f>Uo*COS(2*PI()*Wn*Sheet2!A1174) + (Vo/Wn - (Po*(w/Wn))/(K*(1-(w/Wn)^2)))*SIN(2*PI()*Wn*Sheet2!A1174) +(Po*SIN(2*PI()*w*Sheet2!A1174))/(K*(1-(w/Wn)^2))</f>
        <v>-13.822305740755773</v>
      </c>
      <c r="C1174">
        <f t="shared" si="74"/>
        <v>-4.4011414564746447</v>
      </c>
      <c r="D1174">
        <f t="shared" si="75"/>
        <v>-718.90376352949829</v>
      </c>
      <c r="R1174">
        <f t="shared" si="72"/>
        <v>1.1719999999999999</v>
      </c>
      <c r="S1174">
        <f t="shared" si="73"/>
        <v>-4.4011414564746447</v>
      </c>
    </row>
    <row r="1175" spans="1:19" x14ac:dyDescent="0.3">
      <c r="A1175">
        <v>1.173</v>
      </c>
      <c r="B1175">
        <f>Uo*COS(2*PI()*Wn*Sheet2!A1175) + (Vo/Wn - (Po*(w/Wn))/(K*(1-(w/Wn)^2)))*SIN(2*PI()*Wn*Sheet2!A1175) +(Po*SIN(2*PI()*w*Sheet2!A1175))/(K*(1-(w/Wn)^2))</f>
        <v>-14.081299550474967</v>
      </c>
      <c r="C1175">
        <f t="shared" si="74"/>
        <v>-4.4933057515253605</v>
      </c>
      <c r="D1175">
        <f t="shared" si="75"/>
        <v>-733.95832590388636</v>
      </c>
      <c r="R1175">
        <f t="shared" si="72"/>
        <v>1.173</v>
      </c>
      <c r="S1175">
        <f t="shared" si="73"/>
        <v>-4.4933057515253605</v>
      </c>
    </row>
    <row r="1176" spans="1:19" x14ac:dyDescent="0.3">
      <c r="A1176">
        <v>1.1739999999999999</v>
      </c>
      <c r="B1176">
        <f>Uo*COS(2*PI()*Wn*Sheet2!A1176) + (Vo/Wn - (Po*(w/Wn))/(K*(1-(w/Wn)^2)))*SIN(2*PI()*Wn*Sheet2!A1176) +(Po*SIN(2*PI()*w*Sheet2!A1176))/(K*(1-(w/Wn)^2))</f>
        <v>-14.335693270079915</v>
      </c>
      <c r="C1176">
        <f t="shared" si="74"/>
        <v>-4.5838370632038767</v>
      </c>
      <c r="D1176">
        <f t="shared" si="75"/>
        <v>-748.74614886449615</v>
      </c>
      <c r="R1176">
        <f t="shared" si="72"/>
        <v>1.1739999999999999</v>
      </c>
      <c r="S1176">
        <f t="shared" si="73"/>
        <v>-4.5838370632038767</v>
      </c>
    </row>
    <row r="1177" spans="1:19" x14ac:dyDescent="0.3">
      <c r="A1177">
        <v>1.175</v>
      </c>
      <c r="B1177">
        <f>Uo*COS(2*PI()*Wn*Sheet2!A1177) + (Vo/Wn - (Po*(w/Wn))/(K*(1-(w/Wn)^2)))*SIN(2*PI()*Wn*Sheet2!A1177) +(Po*SIN(2*PI()*w*Sheet2!A1177))/(K*(1-(w/Wn)^2))</f>
        <v>-14.585403794028476</v>
      </c>
      <c r="C1177">
        <f t="shared" si="74"/>
        <v>-4.6727087922606518</v>
      </c>
      <c r="D1177">
        <f t="shared" si="75"/>
        <v>-763.26288756106737</v>
      </c>
      <c r="R1177">
        <f t="shared" si="72"/>
        <v>1.175</v>
      </c>
      <c r="S1177">
        <f t="shared" si="73"/>
        <v>-4.6727087922606518</v>
      </c>
    </row>
    <row r="1178" spans="1:19" x14ac:dyDescent="0.3">
      <c r="A1178">
        <v>1.1759999999999999</v>
      </c>
      <c r="B1178">
        <f>Uo*COS(2*PI()*Wn*Sheet2!A1178) + (Vo/Wn - (Po*(w/Wn))/(K*(1-(w/Wn)^2)))*SIN(2*PI()*Wn*Sheet2!A1178) +(Po*SIN(2*PI()*w*Sheet2!A1178))/(K*(1-(w/Wn)^2))</f>
        <v>-14.830349546688328</v>
      </c>
      <c r="C1178">
        <f t="shared" si="74"/>
        <v>-4.7598949291437016</v>
      </c>
      <c r="D1178">
        <f t="shared" si="75"/>
        <v>-777.5042934673952</v>
      </c>
      <c r="R1178">
        <f t="shared" si="72"/>
        <v>1.1759999999999999</v>
      </c>
      <c r="S1178">
        <f t="shared" si="73"/>
        <v>-4.7598949291437016</v>
      </c>
    </row>
    <row r="1179" spans="1:19" x14ac:dyDescent="0.3">
      <c r="A1179">
        <v>1.177</v>
      </c>
      <c r="B1179">
        <f>Uo*COS(2*PI()*Wn*Sheet2!A1179) + (Vo/Wn - (Po*(w/Wn))/(K*(1-(w/Wn)^2)))*SIN(2*PI()*Wn*Sheet2!A1179) +(Po*SIN(2*PI()*w*Sheet2!A1179))/(K*(1-(w/Wn)^2))</f>
        <v>-15.070450508986761</v>
      </c>
      <c r="C1179">
        <f t="shared" si="74"/>
        <v>-4.845370061423079</v>
      </c>
      <c r="D1179">
        <f t="shared" si="75"/>
        <v>-791.46621559408072</v>
      </c>
      <c r="R1179">
        <f t="shared" si="72"/>
        <v>1.177</v>
      </c>
      <c r="S1179">
        <f t="shared" si="73"/>
        <v>-4.845370061423079</v>
      </c>
    </row>
    <row r="1180" spans="1:19" x14ac:dyDescent="0.3">
      <c r="A1180">
        <v>1.1779999999999999</v>
      </c>
      <c r="B1180">
        <f>Uo*COS(2*PI()*Wn*Sheet2!A1180) + (Vo/Wn - (Po*(w/Wn))/(K*(1-(w/Wn)^2)))*SIN(2*PI()*Wn*Sheet2!A1180) +(Po*SIN(2*PI()*w*Sheet2!A1180))/(K*(1-(w/Wn)^2))</f>
        <v>-15.305628244550691</v>
      </c>
      <c r="C1180">
        <f t="shared" si="74"/>
        <v>-4.9291093810065814</v>
      </c>
      <c r="D1180">
        <f t="shared" si="75"/>
        <v>-805.14460166717924</v>
      </c>
      <c r="R1180">
        <f t="shared" si="72"/>
        <v>1.1779999999999999</v>
      </c>
      <c r="S1180">
        <f t="shared" si="73"/>
        <v>-4.9291093810065814</v>
      </c>
    </row>
    <row r="1181" spans="1:19" x14ac:dyDescent="0.3">
      <c r="A1181">
        <v>1.179</v>
      </c>
      <c r="B1181">
        <f>Uo*COS(2*PI()*Wn*Sheet2!A1181) + (Vo/Wn - (Po*(w/Wn))/(K*(1-(w/Wn)^2)))*SIN(2*PI()*Wn*Sheet2!A1181) +(Po*SIN(2*PI()*w*Sheet2!A1181))/(K*(1-(w/Wn)^2))</f>
        <v>-15.535805925330878</v>
      </c>
      <c r="C1181">
        <f t="shared" si="74"/>
        <v>-5.0110886911456332</v>
      </c>
      <c r="D1181">
        <f t="shared" si="75"/>
        <v>-818.53549927257541</v>
      </c>
      <c r="R1181">
        <f t="shared" si="72"/>
        <v>1.179</v>
      </c>
      <c r="S1181">
        <f t="shared" si="73"/>
        <v>-5.0110886911456332</v>
      </c>
    </row>
    <row r="1182" spans="1:19" x14ac:dyDescent="0.3">
      <c r="A1182">
        <v>1.18</v>
      </c>
      <c r="B1182">
        <f>Uo*COS(2*PI()*Wn*Sheet2!A1182) + (Vo/Wn - (Po*(w/Wn))/(K*(1-(w/Wn)^2)))*SIN(2*PI()*Wn*Sheet2!A1182) +(Po*SIN(2*PI()*w*Sheet2!A1182))/(K*(1-(w/Wn)^2))</f>
        <v>-15.76090835669973</v>
      </c>
      <c r="C1182">
        <f t="shared" si="74"/>
        <v>-5.0912844132286272</v>
      </c>
      <c r="D1182">
        <f t="shared" si="75"/>
        <v>-831.6350569656405</v>
      </c>
      <c r="R1182">
        <f t="shared" si="72"/>
        <v>1.18</v>
      </c>
      <c r="S1182">
        <f t="shared" si="73"/>
        <v>-5.0912844132286272</v>
      </c>
    </row>
    <row r="1183" spans="1:19" x14ac:dyDescent="0.3">
      <c r="A1183">
        <v>1.181</v>
      </c>
      <c r="B1183">
        <f>Uo*COS(2*PI()*Wn*Sheet2!A1183) + (Vo/Wn - (Po*(w/Wn))/(K*(1-(w/Wn)^2)))*SIN(2*PI()*Wn*Sheet2!A1183) +(Po*SIN(2*PI()*w*Sheet2!A1183))/(K*(1-(w/Wn)^2))</f>
        <v>-15.980862002016469</v>
      </c>
      <c r="C1183">
        <f t="shared" si="74"/>
        <v>-5.1696735933605868</v>
      </c>
      <c r="D1183">
        <f t="shared" si="75"/>
        <v>-844.43952534598611</v>
      </c>
      <c r="R1183">
        <f t="shared" si="72"/>
        <v>1.181</v>
      </c>
      <c r="S1183">
        <f t="shared" si="73"/>
        <v>-5.1696735933605868</v>
      </c>
    </row>
    <row r="1184" spans="1:19" x14ac:dyDescent="0.3">
      <c r="A1184">
        <v>1.1819999999999999</v>
      </c>
      <c r="B1184">
        <f>Uo*COS(2*PI()*Wn*Sheet2!A1184) + (Vo/Wn - (Po*(w/Wn))/(K*(1-(w/Wn)^2)))*SIN(2*PI()*Wn*Sheet2!A1184) +(Po*SIN(2*PI()*w*Sheet2!A1184))/(K*(1-(w/Wn)^2))</f>
        <v>-16.195595006649526</v>
      </c>
      <c r="C1184">
        <f t="shared" si="74"/>
        <v>-5.2462339087266301</v>
      </c>
      <c r="D1184">
        <f t="shared" si="75"/>
        <v>-856.9452580969031</v>
      </c>
      <c r="R1184">
        <f t="shared" si="72"/>
        <v>1.1819999999999999</v>
      </c>
      <c r="S1184">
        <f t="shared" si="73"/>
        <v>-5.2462339087266301</v>
      </c>
    </row>
    <row r="1185" spans="1:19" x14ac:dyDescent="0.3">
      <c r="A1185">
        <v>1.1830000000000001</v>
      </c>
      <c r="B1185">
        <f>Uo*COS(2*PI()*Wn*Sheet2!A1185) + (Vo/Wn - (Po*(w/Wn))/(K*(1-(w/Wn)^2)))*SIN(2*PI()*Wn*Sheet2!A1185) +(Po*SIN(2*PI()*w*Sheet2!A1185))/(K*(1-(w/Wn)^2))</f>
        <v>-16.405037221450581</v>
      </c>
      <c r="C1185">
        <f t="shared" si="74"/>
        <v>-5.3209436737384115</v>
      </c>
      <c r="D1185">
        <f t="shared" si="75"/>
        <v>-869.14871298935179</v>
      </c>
      <c r="R1185">
        <f t="shared" si="72"/>
        <v>1.1830000000000001</v>
      </c>
      <c r="S1185">
        <f t="shared" si="73"/>
        <v>-5.3209436737384115</v>
      </c>
    </row>
    <row r="1186" spans="1:19" x14ac:dyDescent="0.3">
      <c r="A1186">
        <v>1.1839999999999999</v>
      </c>
      <c r="B1186">
        <f>Uo*COS(2*PI()*Wn*Sheet2!A1186) + (Vo/Wn - (Po*(w/Wn))/(K*(1-(w/Wn)^2)))*SIN(2*PI()*Wn*Sheet2!A1186) +(Po*SIN(2*PI()*w*Sheet2!A1186))/(K*(1-(w/Wn)^2))</f>
        <v>-16.60912022567058</v>
      </c>
      <c r="C1186">
        <f t="shared" si="74"/>
        <v>-5.3937818459611062</v>
      </c>
      <c r="D1186">
        <f t="shared" si="75"/>
        <v>-881.04645285010349</v>
      </c>
      <c r="R1186">
        <f t="shared" si="72"/>
        <v>1.1839999999999999</v>
      </c>
      <c r="S1186">
        <f t="shared" si="73"/>
        <v>-5.3937818459611062</v>
      </c>
    </row>
    <row r="1187" spans="1:19" x14ac:dyDescent="0.3">
      <c r="A1187">
        <v>1.1850000000000001</v>
      </c>
      <c r="B1187">
        <f>Uo*COS(2*PI()*Wn*Sheet2!A1187) + (Vo/Wn - (Po*(w/Wn))/(K*(1-(w/Wn)^2)))*SIN(2*PI()*Wn*Sheet2!A1187) +(Po*SIN(2*PI()*w*Sheet2!A1187))/(K*(1-(w/Wn)^2))</f>
        <v>-16.807777349311756</v>
      </c>
      <c r="C1187">
        <f t="shared" si="74"/>
        <v>-5.4647280318200604</v>
      </c>
      <c r="D1187">
        <f t="shared" si="75"/>
        <v>-892.63514649389276</v>
      </c>
      <c r="R1187">
        <f t="shared" si="72"/>
        <v>1.1850000000000001</v>
      </c>
      <c r="S1187">
        <f t="shared" si="73"/>
        <v>-5.4647280318200604</v>
      </c>
    </row>
    <row r="1188" spans="1:19" x14ac:dyDescent="0.3">
      <c r="A1188">
        <v>1.1859999999999999</v>
      </c>
      <c r="B1188">
        <f>Uo*COS(2*PI()*Wn*Sheet2!A1188) + (Vo/Wn - (Po*(w/Wn))/(K*(1-(w/Wn)^2)))*SIN(2*PI()*Wn*Sheet2!A1188) +(Po*SIN(2*PI()*w*Sheet2!A1188))/(K*(1-(w/Wn)^2))</f>
        <v>-17.000943694907271</v>
      </c>
      <c r="C1188">
        <f t="shared" si="74"/>
        <v>-5.5337624920851711</v>
      </c>
      <c r="D1188">
        <f t="shared" si="75"/>
        <v>-903.91156961926288</v>
      </c>
      <c r="R1188">
        <f t="shared" si="72"/>
        <v>1.1859999999999999</v>
      </c>
      <c r="S1188">
        <f t="shared" si="73"/>
        <v>-5.5337624920851711</v>
      </c>
    </row>
    <row r="1189" spans="1:19" x14ac:dyDescent="0.3">
      <c r="A1189">
        <v>1.1870000000000001</v>
      </c>
      <c r="B1189">
        <f>Uo*COS(2*PI()*Wn*Sheet2!A1189) + (Vo/Wn - (Po*(w/Wn))/(K*(1-(w/Wn)^2)))*SIN(2*PI()*Wn*Sheet2!A1189) +(Po*SIN(2*PI()*w*Sheet2!A1189))/(K*(1-(w/Wn)^2))</f>
        <v>-17.188556158722051</v>
      </c>
      <c r="C1189">
        <f t="shared" si="74"/>
        <v>-5.6008661471318879</v>
      </c>
      <c r="D1189">
        <f t="shared" si="75"/>
        <v>-914.8726056679227</v>
      </c>
      <c r="R1189">
        <f t="shared" si="72"/>
        <v>1.1870000000000001</v>
      </c>
      <c r="S1189">
        <f t="shared" si="73"/>
        <v>-5.6008661471318879</v>
      </c>
    </row>
    <row r="1190" spans="1:19" x14ac:dyDescent="0.3">
      <c r="A1190">
        <v>1.1879999999999999</v>
      </c>
      <c r="B1190">
        <f>Uo*COS(2*PI()*Wn*Sheet2!A1190) + (Vo/Wn - (Po*(w/Wn))/(K*(1-(w/Wn)^2)))*SIN(2*PI()*Wn*Sheet2!A1190) +(Po*SIN(2*PI()*w*Sheet2!A1190))/(K*(1-(w/Wn)^2))</f>
        <v>-17.370553451367439</v>
      </c>
      <c r="C1190">
        <f t="shared" si="74"/>
        <v>-5.6660205819773477</v>
      </c>
      <c r="D1190">
        <f t="shared" si="75"/>
        <v>-925.51524664737394</v>
      </c>
      <c r="R1190">
        <f t="shared" si="72"/>
        <v>1.1879999999999999</v>
      </c>
      <c r="S1190">
        <f t="shared" si="73"/>
        <v>-5.6660205819773477</v>
      </c>
    </row>
    <row r="1191" spans="1:19" x14ac:dyDescent="0.3">
      <c r="A1191">
        <v>1.1890000000000001</v>
      </c>
      <c r="B1191">
        <f>Uo*COS(2*PI()*Wn*Sheet2!A1191) + (Vo/Wn - (Po*(w/Wn))/(K*(1-(w/Wn)^2)))*SIN(2*PI()*Wn*Sheet2!A1191) +(Po*SIN(2*PI()*w*Sheet2!A1191))/(K*(1-(w/Wn)^2))</f>
        <v>-17.546876117823441</v>
      </c>
      <c r="C1191">
        <f t="shared" si="74"/>
        <v>-5.729208051090608</v>
      </c>
      <c r="D1191">
        <f t="shared" si="75"/>
        <v>-935.83659391663741</v>
      </c>
      <c r="R1191">
        <f t="shared" si="72"/>
        <v>1.1890000000000001</v>
      </c>
      <c r="S1191">
        <f t="shared" si="73"/>
        <v>-5.729208051090608</v>
      </c>
    </row>
    <row r="1192" spans="1:19" x14ac:dyDescent="0.3">
      <c r="A1192">
        <v>1.19</v>
      </c>
      <c r="B1192">
        <f>Uo*COS(2*PI()*Wn*Sheet2!A1192) + (Vo/Wn - (Po*(w/Wn))/(K*(1-(w/Wn)^2)))*SIN(2*PI()*Wn*Sheet2!A1192) +(Po*SIN(2*PI()*w*Sheet2!A1192))/(K*(1-(w/Wn)^2))</f>
        <v>-17.717466556861424</v>
      </c>
      <c r="C1192">
        <f t="shared" si="74"/>
        <v>-5.7904114829755846</v>
      </c>
      <c r="D1192">
        <f t="shared" si="75"/>
        <v>-945.83385893485263</v>
      </c>
      <c r="R1192">
        <f t="shared" si="72"/>
        <v>1.19</v>
      </c>
      <c r="S1192">
        <f t="shared" si="73"/>
        <v>-5.7904114829755846</v>
      </c>
    </row>
    <row r="1193" spans="1:19" x14ac:dyDescent="0.3">
      <c r="A1193">
        <v>1.1910000000000001</v>
      </c>
      <c r="B1193">
        <f>Uo*COS(2*PI()*Wn*Sheet2!A1193) + (Vo/Wn - (Po*(w/Wn))/(K*(1-(w/Wn)^2)))*SIN(2*PI()*Wn*Sheet2!A1193) +(Po*SIN(2*PI()*w*Sheet2!A1193))/(K*(1-(w/Wn)^2))</f>
        <v>-17.882269039861391</v>
      </c>
      <c r="C1193">
        <f t="shared" si="74"/>
        <v>-5.8496144845257705</v>
      </c>
      <c r="D1193">
        <f t="shared" si="75"/>
        <v>-955.50436397259875</v>
      </c>
      <c r="R1193">
        <f t="shared" si="72"/>
        <v>1.1910000000000001</v>
      </c>
      <c r="S1193">
        <f t="shared" si="73"/>
        <v>-5.8496144845257705</v>
      </c>
    </row>
    <row r="1194" spans="1:19" x14ac:dyDescent="0.3">
      <c r="A1194">
        <v>1.1919999999999999</v>
      </c>
      <c r="B1194">
        <f>Uo*COS(2*PI()*Wn*Sheet2!A1194) + (Vo/Wn - (Po*(w/Wn))/(K*(1-(w/Wn)^2)))*SIN(2*PI()*Wn*Sheet2!A1194) +(Po*SIN(2*PI()*w*Sheet2!A1194))/(K*(1-(w/Wn)^2))</f>
        <v>-18.041229729017317</v>
      </c>
      <c r="C1194">
        <f t="shared" si="74"/>
        <v>-5.9068013451496189</v>
      </c>
      <c r="D1194">
        <f t="shared" si="75"/>
        <v>-964.84554278575433</v>
      </c>
      <c r="R1194">
        <f t="shared" si="72"/>
        <v>1.1919999999999999</v>
      </c>
      <c r="S1194">
        <f t="shared" si="73"/>
        <v>-5.9068013451496189</v>
      </c>
    </row>
    <row r="1195" spans="1:19" x14ac:dyDescent="0.3">
      <c r="A1195">
        <v>1.1930000000000001</v>
      </c>
      <c r="B1195">
        <f>Uo*COS(2*PI()*Wn*Sheet2!A1195) + (Vo/Wn - (Po*(w/Wn))/(K*(1-(w/Wn)^2)))*SIN(2*PI()*Wn*Sheet2!A1195) +(Po*SIN(2*PI()*w*Sheet2!A1195))/(K*(1-(w/Wn)^2))</f>
        <v>-18.194296694925125</v>
      </c>
      <c r="C1195">
        <f t="shared" si="74"/>
        <v>-5.9619570406658156</v>
      </c>
      <c r="D1195">
        <f t="shared" si="75"/>
        <v>-973.85494125177001</v>
      </c>
      <c r="R1195">
        <f t="shared" si="72"/>
        <v>1.1930000000000001</v>
      </c>
      <c r="S1195">
        <f t="shared" si="73"/>
        <v>-5.9619570406658156</v>
      </c>
    </row>
    <row r="1196" spans="1:19" x14ac:dyDescent="0.3">
      <c r="A1196">
        <v>1.194</v>
      </c>
      <c r="B1196">
        <f>Uo*COS(2*PI()*Wn*Sheet2!A1196) + (Vo/Wn - (Po*(w/Wn))/(K*(1-(w/Wn)^2)))*SIN(2*PI()*Wn*Sheet2!A1196) +(Po*SIN(2*PI()*w*Sheet2!A1196))/(K*(1-(w/Wn)^2))</f>
        <v>-18.341419933546899</v>
      </c>
      <c r="C1196">
        <f t="shared" si="74"/>
        <v>-6.0150672369673952</v>
      </c>
      <c r="D1196">
        <f t="shared" si="75"/>
        <v>-982.53021796818336</v>
      </c>
      <c r="R1196">
        <f t="shared" si="72"/>
        <v>1.194</v>
      </c>
      <c r="S1196">
        <f t="shared" si="73"/>
        <v>-6.0150672369673952</v>
      </c>
    </row>
    <row r="1197" spans="1:19" x14ac:dyDescent="0.3">
      <c r="A1197">
        <v>1.1950000000000001</v>
      </c>
      <c r="B1197">
        <f>Uo*COS(2*PI()*Wn*Sheet2!A1197) + (Vo/Wn - (Po*(w/Wn))/(K*(1-(w/Wn)^2)))*SIN(2*PI()*Wn*Sheet2!A1197) +(Po*SIN(2*PI()*w*Sheet2!A1197))/(K*(1-(w/Wn)^2))</f>
        <v>-18.482551382546291</v>
      </c>
      <c r="C1197">
        <f t="shared" si="74"/>
        <v>-6.0661182934540321</v>
      </c>
      <c r="D1197">
        <f t="shared" si="75"/>
        <v>-990.86914481326551</v>
      </c>
      <c r="R1197">
        <f t="shared" si="72"/>
        <v>1.1950000000000001</v>
      </c>
      <c r="S1197">
        <f t="shared" si="73"/>
        <v>-6.0661182934540321</v>
      </c>
    </row>
    <row r="1198" spans="1:19" x14ac:dyDescent="0.3">
      <c r="A1198">
        <v>1.196</v>
      </c>
      <c r="B1198">
        <f>Uo*COS(2*PI()*Wn*Sheet2!A1198) + (Vo/Wn - (Po*(w/Wn))/(K*(1-(w/Wn)^2)))*SIN(2*PI()*Wn*Sheet2!A1198) +(Po*SIN(2*PI()*w*Sheet2!A1198))/(K*(1-(w/Wn)^2))</f>
        <v>-18.617644936989464</v>
      </c>
      <c r="C1198">
        <f t="shared" si="74"/>
        <v>-6.1150972662317695</v>
      </c>
      <c r="D1198">
        <f t="shared" si="75"/>
        <v>-998.86960746868056</v>
      </c>
      <c r="R1198">
        <f t="shared" si="72"/>
        <v>1.196</v>
      </c>
      <c r="S1198">
        <f t="shared" si="73"/>
        <v>-6.1150972662317695</v>
      </c>
    </row>
    <row r="1199" spans="1:19" x14ac:dyDescent="0.3">
      <c r="A1199">
        <v>1.1970000000000001</v>
      </c>
      <c r="B1199">
        <f>Uo*COS(2*PI()*Wn*Sheet2!A1199) + (Vo/Wn - (Po*(w/Wn))/(K*(1-(w/Wn)^2)))*SIN(2*PI()*Wn*Sheet2!A1199) +(Po*SIN(2*PI()*w*Sheet2!A1199))/(K*(1-(w/Wn)^2))</f>
        <v>-18.746656464406875</v>
      </c>
      <c r="C1199">
        <f t="shared" si="74"/>
        <v>-6.1619919110796504</v>
      </c>
      <c r="D1199">
        <f t="shared" si="75"/>
        <v>-1006.5296059040694</v>
      </c>
      <c r="R1199">
        <f t="shared" si="72"/>
        <v>1.1970000000000001</v>
      </c>
      <c r="S1199">
        <f t="shared" si="73"/>
        <v>-6.1619919110796504</v>
      </c>
    </row>
    <row r="1200" spans="1:19" x14ac:dyDescent="0.3">
      <c r="A1200">
        <v>1.198</v>
      </c>
      <c r="B1200">
        <f>Uo*COS(2*PI()*Wn*Sheet2!A1200) + (Vo/Wn - (Po*(w/Wn))/(K*(1-(w/Wn)^2)))*SIN(2*PI()*Wn*Sheet2!A1200) +(Po*SIN(2*PI()*w*Sheet2!A1200))/(K*(1-(w/Wn)^2))</f>
        <v>-18.869543819210271</v>
      </c>
      <c r="C1200">
        <f t="shared" si="74"/>
        <v>-6.2067906861824875</v>
      </c>
      <c r="D1200">
        <f t="shared" si="75"/>
        <v>-1013.8472548234337</v>
      </c>
      <c r="R1200">
        <f t="shared" si="72"/>
        <v>1.198</v>
      </c>
      <c r="S1200">
        <f t="shared" si="73"/>
        <v>-6.2067906861824875</v>
      </c>
    </row>
    <row r="1201" spans="1:19" x14ac:dyDescent="0.3">
      <c r="A1201">
        <v>1.1990000000000001</v>
      </c>
      <c r="B1201">
        <f>Uo*COS(2*PI()*Wn*Sheet2!A1201) + (Vo/Wn - (Po*(w/Wn))/(K*(1-(w/Wn)^2)))*SIN(2*PI()*Wn*Sheet2!A1201) +(Po*SIN(2*PI()*w*Sheet2!A1201))/(K*(1-(w/Wn)^2))</f>
        <v>-18.986266856461139</v>
      </c>
      <c r="C1201">
        <f t="shared" si="74"/>
        <v>-6.2494827546296401</v>
      </c>
      <c r="D1201">
        <f t="shared" si="75"/>
        <v>-1020.8207840732981</v>
      </c>
      <c r="R1201">
        <f t="shared" si="72"/>
        <v>1.1990000000000001</v>
      </c>
      <c r="S1201">
        <f t="shared" si="73"/>
        <v>-6.2494827546296401</v>
      </c>
    </row>
    <row r="1202" spans="1:19" x14ac:dyDescent="0.3">
      <c r="A1202">
        <v>1.2</v>
      </c>
      <c r="B1202">
        <f>Uo*COS(2*PI()*Wn*Sheet2!A1202) + (Vo/Wn - (Po*(w/Wn))/(K*(1-(w/Wn)^2)))*SIN(2*PI()*Wn*Sheet2!A1202) +(Po*SIN(2*PI()*w*Sheet2!A1202))/(K*(1-(w/Wn)^2))</f>
        <v>-19.096787444984948</v>
      </c>
      <c r="C1202">
        <f t="shared" si="74"/>
        <v>-6.2900579866789688</v>
      </c>
      <c r="D1202">
        <f t="shared" si="75"/>
        <v>-1027.4485390125158</v>
      </c>
      <c r="R1202">
        <f t="shared" si="72"/>
        <v>1.2</v>
      </c>
      <c r="S1202">
        <f t="shared" si="73"/>
        <v>-6.2900579866789688</v>
      </c>
    </row>
    <row r="1203" spans="1:19" x14ac:dyDescent="0.3">
      <c r="A1203">
        <v>1.2010000000000001</v>
      </c>
      <c r="B1203">
        <f>Uo*COS(2*PI()*Wn*Sheet2!A1203) + (Vo/Wn - (Po*(w/Wn))/(K*(1-(w/Wn)^2)))*SIN(2*PI()*Wn*Sheet2!A1203) +(Po*SIN(2*PI()*w*Sheet2!A1203))/(K*(1-(w/Wn)^2))</f>
        <v>-19.20106947982816</v>
      </c>
      <c r="C1203">
        <f t="shared" si="74"/>
        <v>-6.3285069617861049</v>
      </c>
      <c r="D1203">
        <f t="shared" si="75"/>
        <v>-1033.7289808437386</v>
      </c>
      <c r="R1203">
        <f t="shared" si="72"/>
        <v>1.2010000000000001</v>
      </c>
      <c r="S1203">
        <f t="shared" si="73"/>
        <v>-6.3285069617861049</v>
      </c>
    </row>
    <row r="1204" spans="1:19" x14ac:dyDescent="0.3">
      <c r="A1204">
        <v>1.202</v>
      </c>
      <c r="B1204">
        <f>Uo*COS(2*PI()*Wn*Sheet2!A1204) + (Vo/Wn - (Po*(w/Wn))/(K*(1-(w/Wn)^2)))*SIN(2*PI()*Wn*Sheet2!A1204) +(Po*SIN(2*PI()*w*Sheet2!A1204))/(K*(1-(w/Wn)^2))</f>
        <v>-19.299078894052794</v>
      </c>
      <c r="C1204">
        <f t="shared" si="74"/>
        <v>-6.3648209703984433</v>
      </c>
      <c r="D1204">
        <f t="shared" si="75"/>
        <v>-1039.6606869064572</v>
      </c>
      <c r="R1204">
        <f t="shared" si="72"/>
        <v>1.202</v>
      </c>
      <c r="S1204">
        <f t="shared" si="73"/>
        <v>-6.3648209703984433</v>
      </c>
    </row>
    <row r="1205" spans="1:19" x14ac:dyDescent="0.3">
      <c r="A1205">
        <v>1.2030000000000001</v>
      </c>
      <c r="B1205">
        <f>Uo*COS(2*PI()*Wn*Sheet2!A1205) + (Vo/Wn - (Po*(w/Wn))/(K*(1-(w/Wn)^2)))*SIN(2*PI()*Wn*Sheet2!A1205) +(Po*SIN(2*PI()*w*Sheet2!A1205))/(K*(1-(w/Wn)^2))</f>
        <v>-19.390783669865701</v>
      </c>
      <c r="C1205">
        <f t="shared" si="74"/>
        <v>-6.3989920155139579</v>
      </c>
      <c r="D1205">
        <f t="shared" si="75"/>
        <v>-1045.242350931625</v>
      </c>
      <c r="R1205">
        <f t="shared" si="72"/>
        <v>1.2030000000000001</v>
      </c>
      <c r="S1205">
        <f t="shared" si="73"/>
        <v>-6.3989920155139579</v>
      </c>
    </row>
    <row r="1206" spans="1:19" x14ac:dyDescent="0.3">
      <c r="A1206">
        <v>1.204</v>
      </c>
      <c r="B1206">
        <f>Uo*COS(2*PI()*Wn*Sheet2!A1206) + (Vo/Wn - (Po*(w/Wn))/(K*(1-(w/Wn)^2)))*SIN(2*PI()*Wn*Sheet2!A1206) +(Po*SIN(2*PI()*w*Sheet2!A1206))/(K*(1-(w/Wn)^2))</f>
        <v>-19.476153849077864</v>
      </c>
      <c r="C1206">
        <f t="shared" si="74"/>
        <v>-6.4310128140044798</v>
      </c>
      <c r="D1206">
        <f t="shared" si="75"/>
        <v>-1050.4727832578096</v>
      </c>
      <c r="R1206">
        <f t="shared" si="72"/>
        <v>1.204</v>
      </c>
      <c r="S1206">
        <f t="shared" si="73"/>
        <v>-6.4310128140044798</v>
      </c>
    </row>
    <row r="1207" spans="1:19" x14ac:dyDescent="0.3">
      <c r="A1207">
        <v>1.2050000000000001</v>
      </c>
      <c r="B1207">
        <f>Uo*COS(2*PI()*Wn*Sheet2!A1207) + (Vo/Wn - (Po*(w/Wn))/(K*(1-(w/Wn)^2)))*SIN(2*PI()*Wn*Sheet2!A1207) +(Po*SIN(2*PI()*w*Sheet2!A1207))/(K*(1-(w/Wn)^2))</f>
        <v>-19.555161542891412</v>
      </c>
      <c r="C1207">
        <f t="shared" si="74"/>
        <v>-6.4608767977037527</v>
      </c>
      <c r="D1207">
        <f t="shared" si="75"/>
        <v>-1055.3509110089199</v>
      </c>
      <c r="R1207">
        <f t="shared" si="72"/>
        <v>1.2050000000000001</v>
      </c>
      <c r="S1207">
        <f t="shared" si="73"/>
        <v>-6.4608767977037527</v>
      </c>
    </row>
    <row r="1208" spans="1:19" x14ac:dyDescent="0.3">
      <c r="A1208">
        <v>1.206</v>
      </c>
      <c r="B1208">
        <f>Uo*COS(2*PI()*Wn*Sheet2!A1208) + (Vo/Wn - (Po*(w/Wn))/(K*(1-(w/Wn)^2)))*SIN(2*PI()*Wn*Sheet2!A1208) +(Po*SIN(2*PI()*w*Sheet2!A1208))/(K*(1-(w/Wn)^2))</f>
        <v>-19.627780941010172</v>
      </c>
      <c r="C1208">
        <f t="shared" si="74"/>
        <v>-6.4885781142600312</v>
      </c>
      <c r="D1208">
        <f t="shared" si="75"/>
        <v>-1059.8757782334744</v>
      </c>
      <c r="R1208">
        <f t="shared" si="72"/>
        <v>1.206</v>
      </c>
      <c r="S1208">
        <f t="shared" si="73"/>
        <v>-6.4885781142600312</v>
      </c>
    </row>
    <row r="1209" spans="1:19" x14ac:dyDescent="0.3">
      <c r="A1209">
        <v>1.2070000000000001</v>
      </c>
      <c r="B1209">
        <f>Uo*COS(2*PI()*Wn*Sheet2!A1209) + (Vo/Wn - (Po*(w/Wn))/(K*(1-(w/Wn)^2)))*SIN(2*PI()*Wn*Sheet2!A1209) +(Po*SIN(2*PI()*w*Sheet2!A1209))/(K*(1-(w/Wn)^2))</f>
        <v>-19.693988320071586</v>
      </c>
      <c r="C1209">
        <f t="shared" si="74"/>
        <v>-6.5141116277536408</v>
      </c>
      <c r="D1209">
        <f t="shared" si="75"/>
        <v>-1064.0465460054766</v>
      </c>
      <c r="R1209">
        <f t="shared" si="72"/>
        <v>1.2070000000000001</v>
      </c>
      <c r="S1209">
        <f t="shared" si="73"/>
        <v>-6.5141116277536408</v>
      </c>
    </row>
    <row r="1210" spans="1:19" x14ac:dyDescent="0.3">
      <c r="A1210">
        <v>1.208</v>
      </c>
      <c r="B1210">
        <f>Uo*COS(2*PI()*Wn*Sheet2!A1210) + (Vo/Wn - (Po*(w/Wn))/(K*(1-(w/Wn)^2)))*SIN(2*PI()*Wn*Sheet2!A1210) +(Po*SIN(2*PI()*w*Sheet2!A1210))/(K*(1-(w/Wn)^2))</f>
        <v>-19.753762051396464</v>
      </c>
      <c r="C1210">
        <f t="shared" si="74"/>
        <v>-6.5374729190794563</v>
      </c>
      <c r="D1210">
        <f t="shared" si="75"/>
        <v>-1067.8624924868902</v>
      </c>
      <c r="R1210">
        <f t="shared" si="72"/>
        <v>1.208</v>
      </c>
      <c r="S1210">
        <f t="shared" si="73"/>
        <v>-6.5374729190794563</v>
      </c>
    </row>
    <row r="1211" spans="1:19" x14ac:dyDescent="0.3">
      <c r="A1211">
        <v>1.2090000000000001</v>
      </c>
      <c r="B1211">
        <f>Uo*COS(2*PI()*Wn*Sheet2!A1211) + (Vo/Wn - (Po*(w/Wn))/(K*(1-(w/Wn)^2)))*SIN(2*PI()*Wn*Sheet2!A1211) +(Po*SIN(2*PI()*w*Sheet2!A1211))/(K*(1-(w/Wn)^2))</f>
        <v>-19.807082608054838</v>
      </c>
      <c r="C1211">
        <f t="shared" si="74"/>
        <v>-6.5586582860948184</v>
      </c>
      <c r="D1211">
        <f t="shared" si="75"/>
        <v>-1071.3230129518008</v>
      </c>
      <c r="R1211">
        <f t="shared" si="72"/>
        <v>1.2090000000000001</v>
      </c>
      <c r="S1211">
        <f t="shared" si="73"/>
        <v>-6.5586582860948184</v>
      </c>
    </row>
    <row r="1212" spans="1:19" x14ac:dyDescent="0.3">
      <c r="A1212">
        <v>1.21</v>
      </c>
      <c r="B1212">
        <f>Uo*COS(2*PI()*Wn*Sheet2!A1212) + (Vo/Wn - (Po*(w/Wn))/(K*(1-(w/Wn)^2)))*SIN(2*PI()*Wn*Sheet2!A1212) +(Po*SIN(2*PI()*w*Sheet2!A1212))/(K*(1-(w/Wn)^2))</f>
        <v>-19.853932571244904</v>
      </c>
      <c r="C1212">
        <f t="shared" si="74"/>
        <v>-6.5776647435331483</v>
      </c>
      <c r="D1212">
        <f t="shared" si="75"/>
        <v>-1074.4276197723059</v>
      </c>
      <c r="R1212">
        <f t="shared" si="72"/>
        <v>1.21</v>
      </c>
      <c r="S1212">
        <f t="shared" si="73"/>
        <v>-6.5776647435331483</v>
      </c>
    </row>
    <row r="1213" spans="1:19" x14ac:dyDescent="0.3">
      <c r="A1213">
        <v>1.2110000000000001</v>
      </c>
      <c r="B1213">
        <f>Uo*COS(2*PI()*Wn*Sheet2!A1213) + (Vo/Wn - (Po*(w/Wn))/(K*(1-(w/Wn)^2)))*SIN(2*PI()*Wn*Sheet2!A1213) +(Po*SIN(2*PI()*w*Sheet2!A1213))/(K*(1-(w/Wn)^2))</f>
        <v>-19.894296635983537</v>
      </c>
      <c r="C1213">
        <f t="shared" si="74"/>
        <v>-6.5944900226837735</v>
      </c>
      <c r="D1213">
        <f t="shared" si="75"/>
        <v>-1077.1759423662149</v>
      </c>
      <c r="R1213">
        <f t="shared" si="72"/>
        <v>1.2110000000000001</v>
      </c>
      <c r="S1213">
        <f t="shared" si="73"/>
        <v>-6.5944900226837735</v>
      </c>
    </row>
    <row r="1214" spans="1:19" x14ac:dyDescent="0.3">
      <c r="A1214">
        <v>1.212</v>
      </c>
      <c r="B1214">
        <f>Uo*COS(2*PI()*Wn*Sheet2!A1214) + (Vo/Wn - (Po*(w/Wn))/(K*(1-(w/Wn)^2)))*SIN(2*PI()*Wn*Sheet2!A1214) +(Po*SIN(2*PI()*w*Sheet2!A1214))/(K*(1-(w/Wn)^2))</f>
        <v>-19.928161616106006</v>
      </c>
      <c r="C1214">
        <f t="shared" si="74"/>
        <v>-6.6091325708383728</v>
      </c>
      <c r="D1214">
        <f t="shared" si="75"/>
        <v>-1079.5677271066297</v>
      </c>
      <c r="R1214">
        <f t="shared" si="72"/>
        <v>1.212</v>
      </c>
      <c r="S1214">
        <f t="shared" si="73"/>
        <v>-6.6091325708383728</v>
      </c>
    </row>
    <row r="1215" spans="1:19" x14ac:dyDescent="0.3">
      <c r="A1215">
        <v>1.2130000000000001</v>
      </c>
      <c r="B1215">
        <f>Uo*COS(2*PI()*Wn*Sheet2!A1215) + (Vo/Wn - (Po*(w/Wn))/(K*(1-(w/Wn)^2)))*SIN(2*PI()*Wn*Sheet2!A1215) +(Po*SIN(2*PI()*w*Sheet2!A1215))/(K*(1-(w/Wn)^2))</f>
        <v>-19.955516448573732</v>
      </c>
      <c r="C1215">
        <f t="shared" si="74"/>
        <v>-6.6215915505048386</v>
      </c>
      <c r="D1215">
        <f t="shared" si="75"/>
        <v>-1081.6028371935331</v>
      </c>
      <c r="R1215">
        <f t="shared" si="72"/>
        <v>1.2130000000000001</v>
      </c>
      <c r="S1215">
        <f t="shared" si="73"/>
        <v>-6.6215915505048386</v>
      </c>
    </row>
    <row r="1216" spans="1:19" x14ac:dyDescent="0.3">
      <c r="A1216">
        <v>1.214</v>
      </c>
      <c r="B1216">
        <f>Uo*COS(2*PI()*Wn*Sheet2!A1216) + (Vo/Wn - (Po*(w/Wn))/(K*(1-(w/Wn)^2)))*SIN(2*PI()*Wn*Sheet2!A1216) +(Po*SIN(2*PI()*w*Sheet2!A1216))/(K*(1-(w/Wn)^2))</f>
        <v>-19.976352197088325</v>
      </c>
      <c r="C1216">
        <f t="shared" si="74"/>
        <v>-6.6318668383890245</v>
      </c>
      <c r="D1216">
        <f t="shared" si="75"/>
        <v>-1083.2812524874616</v>
      </c>
      <c r="R1216">
        <f t="shared" si="72"/>
        <v>1.214</v>
      </c>
      <c r="S1216">
        <f t="shared" si="73"/>
        <v>-6.6318668383890245</v>
      </c>
    </row>
    <row r="1217" spans="1:19" x14ac:dyDescent="0.3">
      <c r="A1217">
        <v>1.2150000000000001</v>
      </c>
      <c r="B1217">
        <f>Uo*COS(2*PI()*Wn*Sheet2!A1217) + (Vo/Wn - (Po*(w/Wn))/(K*(1-(w/Wn)^2)))*SIN(2*PI()*Wn*Sheet2!A1217) +(Po*SIN(2*PI()*w*Sheet2!A1217))/(K*(1-(w/Wn)^2))</f>
        <v>-19.99066205501093</v>
      </c>
      <c r="C1217">
        <f t="shared" si="74"/>
        <v>-6.6399590241453135</v>
      </c>
      <c r="D1217">
        <f t="shared" si="75"/>
        <v>-1084.6030693054188</v>
      </c>
      <c r="R1217">
        <f t="shared" ref="R1217:R1280" si="76">A1217</f>
        <v>1.2150000000000001</v>
      </c>
      <c r="S1217">
        <f t="shared" ref="S1217:S1280" si="77">C1217</f>
        <v>-6.6399590241453135</v>
      </c>
    </row>
    <row r="1218" spans="1:19" x14ac:dyDescent="0.3">
      <c r="A1218">
        <v>1.216</v>
      </c>
      <c r="B1218">
        <f>Uo*COS(2*PI()*Wn*Sheet2!A1218) + (Vo/Wn - (Po*(w/Wn))/(K*(1-(w/Wn)^2)))*SIN(2*PI()*Wn*Sheet2!A1218) +(Po*SIN(2*PI()*w*Sheet2!A1218))/(K*(1-(w/Wn)^2))</f>
        <v>-19.998441347585796</v>
      </c>
      <c r="C1218">
        <f t="shared" ref="C1218:C1281" si="78">EXP(-zeta*Wn*A1218*2*PI())*($H$1*COS(wnD*2*PI()*A1218) + $H$2*SIN(wnD*2*PI()*A1218)) + $H$3*SIN(w*2*PI()*A1218) + $H$4*COS(w*2*PI()*A1218)</f>
        <v>-6.6458694088966705</v>
      </c>
      <c r="D1218">
        <f t="shared" ref="D1218:D1281" si="79">K*C1218</f>
        <v>-1085.5685001791314</v>
      </c>
      <c r="R1218">
        <f t="shared" si="76"/>
        <v>1.216</v>
      </c>
      <c r="S1218">
        <f t="shared" si="77"/>
        <v>-6.6458694088966705</v>
      </c>
    </row>
    <row r="1219" spans="1:19" x14ac:dyDescent="0.3">
      <c r="A1219">
        <v>1.2170000000000001</v>
      </c>
      <c r="B1219">
        <f>Uo*COS(2*PI()*Wn*Sheet2!A1219) + (Vo/Wn - (Po*(w/Wn))/(K*(1-(w/Wn)^2)))*SIN(2*PI()*Wn*Sheet2!A1219) +(Po*SIN(2*PI()*w*Sheet2!A1219))/(K*(1-(w/Wn)^2))</f>
        <v>-19.999687533467458</v>
      </c>
      <c r="C1219">
        <f t="shared" si="78"/>
        <v>-6.6496000035251992</v>
      </c>
      <c r="D1219">
        <f t="shared" si="79"/>
        <v>-1086.177873575823</v>
      </c>
      <c r="R1219">
        <f t="shared" si="76"/>
        <v>1.2170000000000001</v>
      </c>
      <c r="S1219">
        <f t="shared" si="77"/>
        <v>-6.6496000035251992</v>
      </c>
    </row>
    <row r="1220" spans="1:19" x14ac:dyDescent="0.3">
      <c r="A1220">
        <v>1.218</v>
      </c>
      <c r="B1220">
        <f>Uo*COS(2*PI()*Wn*Sheet2!A1220) + (Vo/Wn - (Po*(w/Wn))/(K*(1-(w/Wn)^2)))*SIN(2*PI()*Wn*Sheet2!A1220) +(Po*SIN(2*PI()*w*Sheet2!A1220))/(K*(1-(w/Wn)^2))</f>
        <v>-19.994400205550914</v>
      </c>
      <c r="C1220">
        <f t="shared" si="78"/>
        <v>-6.6511535267341211</v>
      </c>
      <c r="D1220">
        <f t="shared" si="79"/>
        <v>-1086.4316335816463</v>
      </c>
      <c r="R1220">
        <f t="shared" si="76"/>
        <v>1.218</v>
      </c>
      <c r="S1220">
        <f t="shared" si="77"/>
        <v>-6.6511535267341211</v>
      </c>
    </row>
    <row r="1221" spans="1:19" x14ac:dyDescent="0.3">
      <c r="A1221">
        <v>1.2190000000000001</v>
      </c>
      <c r="B1221">
        <f>Uo*COS(2*PI()*Wn*Sheet2!A1221) + (Vo/Wn - (Po*(w/Wn))/(K*(1-(w/Wn)^2)))*SIN(2*PI()*Wn*Sheet2!A1221) +(Po*SIN(2*PI()*w*Sheet2!A1221))/(K*(1-(w/Wn)^2))</f>
        <v>-19.982581091104649</v>
      </c>
      <c r="C1221">
        <f t="shared" si="78"/>
        <v>-6.6505334028822309</v>
      </c>
      <c r="D1221">
        <f t="shared" si="79"/>
        <v>-1086.3303395479538</v>
      </c>
      <c r="R1221">
        <f t="shared" si="76"/>
        <v>1.2190000000000001</v>
      </c>
      <c r="S1221">
        <f t="shared" si="77"/>
        <v>-6.6505334028822309</v>
      </c>
    </row>
    <row r="1222" spans="1:19" x14ac:dyDescent="0.3">
      <c r="A1222">
        <v>1.22</v>
      </c>
      <c r="B1222">
        <f>Uo*COS(2*PI()*Wn*Sheet2!A1222) + (Vo/Wn - (Po*(w/Wn))/(K*(1-(w/Wn)^2)))*SIN(2*PI()*Wn*Sheet2!A1222) +(Po*SIN(2*PI()*w*Sheet2!A1222))/(K*(1-(w/Wn)^2))</f>
        <v>-19.964234051206354</v>
      </c>
      <c r="C1222">
        <f t="shared" si="78"/>
        <v>-6.6477437595919424</v>
      </c>
      <c r="D1222">
        <f t="shared" si="79"/>
        <v>-1085.8746657005834</v>
      </c>
      <c r="R1222">
        <f t="shared" si="76"/>
        <v>1.22</v>
      </c>
      <c r="S1222">
        <f t="shared" si="77"/>
        <v>-6.6477437595919424</v>
      </c>
    </row>
    <row r="1223" spans="1:19" x14ac:dyDescent="0.3">
      <c r="A1223">
        <v>1.2210000000000001</v>
      </c>
      <c r="B1223">
        <f>Uo*COS(2*PI()*Wn*Sheet2!A1223) + (Vo/Wn - (Po*(w/Wn))/(K*(1-(w/Wn)^2)))*SIN(2*PI()*Wn*Sheet2!A1223) +(Po*SIN(2*PI()*w*Sheet2!A1223))/(K*(1-(w/Wn)^2))</f>
        <v>-19.939365079481576</v>
      </c>
      <c r="C1223">
        <f t="shared" si="78"/>
        <v>-6.6427894251321167</v>
      </c>
      <c r="D1223">
        <f t="shared" si="79"/>
        <v>-1085.0654007123578</v>
      </c>
      <c r="R1223">
        <f t="shared" si="76"/>
        <v>1.2210000000000001</v>
      </c>
      <c r="S1223">
        <f t="shared" si="77"/>
        <v>-6.6427894251321167</v>
      </c>
    </row>
    <row r="1224" spans="1:19" x14ac:dyDescent="0.3">
      <c r="A1224">
        <v>1.222</v>
      </c>
      <c r="B1224">
        <f>Uo*COS(2*PI()*Wn*Sheet2!A1224) + (Vo/Wn - (Po*(w/Wn))/(K*(1-(w/Wn)^2)))*SIN(2*PI()*Wn*Sheet2!A1224) +(Po*SIN(2*PI()*w*Sheet2!A1224))/(K*(1-(w/Wn)^2))</f>
        <v>-19.907982300145751</v>
      </c>
      <c r="C1224">
        <f t="shared" si="78"/>
        <v>-6.635675925576952</v>
      </c>
      <c r="D1224">
        <f t="shared" si="79"/>
        <v>-1083.9034472390038</v>
      </c>
      <c r="R1224">
        <f t="shared" si="76"/>
        <v>1.222</v>
      </c>
      <c r="S1224">
        <f t="shared" si="77"/>
        <v>-6.635675925576952</v>
      </c>
    </row>
    <row r="1225" spans="1:19" x14ac:dyDescent="0.3">
      <c r="A1225">
        <v>1.2230000000000001</v>
      </c>
      <c r="B1225">
        <f>Uo*COS(2*PI()*Wn*Sheet2!A1225) + (Vo/Wn - (Po*(w/Wn))/(K*(1-(w/Wn)^2)))*SIN(2*PI()*Wn*Sheet2!A1225) +(Po*SIN(2*PI()*w*Sheet2!A1225))/(K*(1-(w/Wn)^2))</f>
        <v>-19.870095965350135</v>
      </c>
      <c r="C1225">
        <f t="shared" si="78"/>
        <v>-6.6264094817422219</v>
      </c>
      <c r="D1225">
        <f t="shared" si="79"/>
        <v>-1082.3898214187018</v>
      </c>
      <c r="R1225">
        <f t="shared" si="76"/>
        <v>1.2230000000000001</v>
      </c>
      <c r="S1225">
        <f t="shared" si="77"/>
        <v>-6.6264094817422219</v>
      </c>
    </row>
    <row r="1226" spans="1:19" x14ac:dyDescent="0.3">
      <c r="A1226">
        <v>1.224</v>
      </c>
      <c r="B1226">
        <f>Uo*COS(2*PI()*Wn*Sheet2!A1226) + (Vo/Wn - (Po*(w/Wn))/(K*(1-(w/Wn)^2)))*SIN(2*PI()*Wn*Sheet2!A1226) +(Po*SIN(2*PI()*w*Sheet2!A1226))/(K*(1-(w/Wn)^2))</f>
        <v>-19.825718451832653</v>
      </c>
      <c r="C1226">
        <f t="shared" si="78"/>
        <v>-6.6149970059003333</v>
      </c>
      <c r="D1226">
        <f t="shared" si="79"/>
        <v>-1080.5256523355079</v>
      </c>
      <c r="R1226">
        <f t="shared" si="76"/>
        <v>1.224</v>
      </c>
      <c r="S1226">
        <f t="shared" si="77"/>
        <v>-6.6149970059003333</v>
      </c>
    </row>
    <row r="1227" spans="1:19" x14ac:dyDescent="0.3">
      <c r="A1227">
        <v>1.2250000000000001</v>
      </c>
      <c r="B1227">
        <f>Uo*COS(2*PI()*Wn*Sheet2!A1227) + (Vo/Wn - (Po*(w/Wn))/(K*(1-(w/Wn)^2)))*SIN(2*PI()*Wn*Sheet2!A1227) +(Po*SIN(2*PI()*w*Sheet2!A1227))/(K*(1-(w/Wn)^2))</f>
        <v>-19.774864256874636</v>
      </c>
      <c r="C1227">
        <f t="shared" si="78"/>
        <v>-6.6014460982755772</v>
      </c>
      <c r="D1227">
        <f t="shared" si="79"/>
        <v>-1078.3121814468714</v>
      </c>
      <c r="R1227">
        <f t="shared" si="76"/>
        <v>1.2250000000000001</v>
      </c>
      <c r="S1227">
        <f t="shared" si="77"/>
        <v>-6.6014460982755772</v>
      </c>
    </row>
    <row r="1228" spans="1:19" x14ac:dyDescent="0.3">
      <c r="A1228">
        <v>1.226</v>
      </c>
      <c r="B1228">
        <f>Uo*COS(2*PI()*Wn*Sheet2!A1228) + (Vo/Wn - (Po*(w/Wn))/(K*(1-(w/Wn)^2)))*SIN(2*PI()*Wn*Sheet2!A1228) +(Po*SIN(2*PI()*w*Sheet2!A1228))/(K*(1-(w/Wn)^2))</f>
        <v>-19.71754999356488</v>
      </c>
      <c r="C1228">
        <f t="shared" si="78"/>
        <v>-6.5857650433212456</v>
      </c>
      <c r="D1228">
        <f t="shared" si="79"/>
        <v>-1075.7507619755208</v>
      </c>
      <c r="R1228">
        <f t="shared" si="76"/>
        <v>1.226</v>
      </c>
      <c r="S1228">
        <f t="shared" si="77"/>
        <v>-6.5857650433212456</v>
      </c>
    </row>
    <row r="1229" spans="1:19" x14ac:dyDescent="0.3">
      <c r="A1229">
        <v>1.2270000000000001</v>
      </c>
      <c r="B1229">
        <f>Uo*COS(2*PI()*Wn*Sheet2!A1229) + (Vo/Wn - (Po*(w/Wn))/(K*(1-(w/Wn)^2)))*SIN(2*PI()*Wn*Sheet2!A1229) +(Po*SIN(2*PI()*w*Sheet2!A1229))/(K*(1-(w/Wn)^2))</f>
        <v>-19.653794385372404</v>
      </c>
      <c r="C1229">
        <f t="shared" si="78"/>
        <v>-6.5679628057800672</v>
      </c>
      <c r="D1229">
        <f t="shared" si="79"/>
        <v>-1072.8428582659567</v>
      </c>
      <c r="R1229">
        <f t="shared" si="76"/>
        <v>1.2270000000000001</v>
      </c>
      <c r="S1229">
        <f t="shared" si="77"/>
        <v>-6.5679628057800672</v>
      </c>
    </row>
    <row r="1230" spans="1:19" x14ac:dyDescent="0.3">
      <c r="A1230">
        <v>1.228</v>
      </c>
      <c r="B1230">
        <f>Uo*COS(2*PI()*Wn*Sheet2!A1230) + (Vo/Wn - (Po*(w/Wn))/(K*(1-(w/Wn)^2)))*SIN(2*PI()*Wn*Sheet2!A1230) +(Po*SIN(2*PI()*w*Sheet2!A1230))/(K*(1-(w/Wn)^2))</f>
        <v>-19.583618260029898</v>
      </c>
      <c r="C1230">
        <f t="shared" si="78"/>
        <v>-6.5480490265297862</v>
      </c>
      <c r="D1230">
        <f t="shared" si="79"/>
        <v>-1069.5900451058476</v>
      </c>
      <c r="R1230">
        <f t="shared" si="76"/>
        <v>1.228</v>
      </c>
      <c r="S1230">
        <f t="shared" si="77"/>
        <v>-6.5480490265297862</v>
      </c>
    </row>
    <row r="1231" spans="1:19" x14ac:dyDescent="0.3">
      <c r="A1231">
        <v>1.2290000000000001</v>
      </c>
      <c r="B1231">
        <f>Uo*COS(2*PI()*Wn*Sheet2!A1231) + (Vo/Wn - (Po*(w/Wn))/(K*(1-(w/Wn)^2)))*SIN(2*PI()*Wn*Sheet2!A1231) +(Po*SIN(2*PI()*w*Sheet2!A1231))/(K*(1-(w/Wn)^2))</f>
        <v>-19.507044542729677</v>
      </c>
      <c r="C1231">
        <f t="shared" si="78"/>
        <v>-6.5260340182155225</v>
      </c>
      <c r="D1231">
        <f t="shared" si="79"/>
        <v>-1065.9940070125992</v>
      </c>
      <c r="R1231">
        <f t="shared" si="76"/>
        <v>1.2290000000000001</v>
      </c>
      <c r="S1231">
        <f t="shared" si="77"/>
        <v>-6.5260340182155225</v>
      </c>
    </row>
    <row r="1232" spans="1:19" x14ac:dyDescent="0.3">
      <c r="A1232">
        <v>1.23</v>
      </c>
      <c r="B1232">
        <f>Uo*COS(2*PI()*Wn*Sheet2!A1232) + (Vo/Wn - (Po*(w/Wn))/(K*(1-(w/Wn)^2)))*SIN(2*PI()*Wn*Sheet2!A1232) +(Po*SIN(2*PI()*w*Sheet2!A1232))/(K*(1-(w/Wn)^2))</f>
        <v>-19.424098248634518</v>
      </c>
      <c r="C1232">
        <f t="shared" si="78"/>
        <v>-6.5019287606708005</v>
      </c>
      <c r="D1232">
        <f t="shared" si="79"/>
        <v>-1062.0565374854029</v>
      </c>
      <c r="R1232">
        <f t="shared" si="76"/>
        <v>1.23</v>
      </c>
      <c r="S1232">
        <f t="shared" si="77"/>
        <v>-6.5019287606708005</v>
      </c>
    </row>
    <row r="1233" spans="1:19" x14ac:dyDescent="0.3">
      <c r="A1233">
        <v>1.2310000000000001</v>
      </c>
      <c r="B1233">
        <f>Uo*COS(2*PI()*Wn*Sheet2!A1233) + (Vo/Wn - (Po*(w/Wn))/(K*(1-(w/Wn)^2)))*SIN(2*PI()*Wn*Sheet2!A1233) +(Po*SIN(2*PI()*w*Sheet2!A1233))/(K*(1-(w/Wn)^2))</f>
        <v>-19.334806474705584</v>
      </c>
      <c r="C1233">
        <f t="shared" si="78"/>
        <v>-6.475744896129024</v>
      </c>
      <c r="D1233">
        <f t="shared" si="79"/>
        <v>-1057.7795382230554</v>
      </c>
      <c r="R1233">
        <f t="shared" si="76"/>
        <v>1.2310000000000001</v>
      </c>
      <c r="S1233">
        <f t="shared" si="77"/>
        <v>-6.475744896129024</v>
      </c>
    </row>
    <row r="1234" spans="1:19" x14ac:dyDescent="0.3">
      <c r="A1234">
        <v>1.232</v>
      </c>
      <c r="B1234">
        <f>Uo*COS(2*PI()*Wn*Sheet2!A1234) + (Vo/Wn - (Po*(w/Wn))/(K*(1-(w/Wn)^2)))*SIN(2*PI()*Wn*Sheet2!A1234) +(Po*SIN(2*PI()*w*Sheet2!A1234))/(K*(1-(w/Wn)^2))</f>
        <v>-19.239198390850511</v>
      </c>
      <c r="C1234">
        <f t="shared" si="78"/>
        <v>-6.4474947242274956</v>
      </c>
      <c r="D1234">
        <f t="shared" si="79"/>
        <v>-1053.1650183078896</v>
      </c>
      <c r="R1234">
        <f t="shared" si="76"/>
        <v>1.232</v>
      </c>
      <c r="S1234">
        <f t="shared" si="77"/>
        <v>-6.4474947242274956</v>
      </c>
    </row>
    <row r="1235" spans="1:19" x14ac:dyDescent="0.3">
      <c r="A1235">
        <v>1.2330000000000001</v>
      </c>
      <c r="B1235">
        <f>Uo*COS(2*PI()*Wn*Sheet2!A1235) + (Vo/Wn - (Po*(w/Wn))/(K*(1-(w/Wn)^2)))*SIN(2*PI()*Wn*Sheet2!A1235) +(Po*SIN(2*PI()*w*Sheet2!A1235))/(K*(1-(w/Wn)^2))</f>
        <v>-19.137305230393945</v>
      </c>
      <c r="C1235">
        <f t="shared" si="78"/>
        <v>-6.4171911968057618</v>
      </c>
      <c r="D1235">
        <f t="shared" si="79"/>
        <v>-1048.2150933561127</v>
      </c>
      <c r="R1235">
        <f t="shared" si="76"/>
        <v>1.2330000000000001</v>
      </c>
      <c r="S1235">
        <f t="shared" si="77"/>
        <v>-6.4171911968057618</v>
      </c>
    </row>
    <row r="1236" spans="1:19" x14ac:dyDescent="0.3">
      <c r="A1236">
        <v>1.234</v>
      </c>
      <c r="B1236">
        <f>Uo*COS(2*PI()*Wn*Sheet2!A1236) + (Vo/Wn - (Po*(w/Wn))/(K*(1-(w/Wn)^2)))*SIN(2*PI()*Wn*Sheet2!A1236) +(Po*SIN(2*PI()*w*Sheet2!A1236))/(K*(1-(w/Wn)^2))</f>
        <v>-19.029160279874485</v>
      </c>
      <c r="C1236">
        <f t="shared" si="78"/>
        <v>-6.3848479125006348</v>
      </c>
      <c r="D1236">
        <f t="shared" si="79"/>
        <v>-1042.9319846349299</v>
      </c>
      <c r="R1236">
        <f t="shared" si="76"/>
        <v>1.234</v>
      </c>
      <c r="S1236">
        <f t="shared" si="77"/>
        <v>-6.3848479125006348</v>
      </c>
    </row>
    <row r="1237" spans="1:19" x14ac:dyDescent="0.3">
      <c r="A1237">
        <v>1.2350000000000001</v>
      </c>
      <c r="B1237">
        <f>Uo*COS(2*PI()*Wn*Sheet2!A1237) + (Vo/Wn - (Po*(w/Wn))/(K*(1-(w/Wn)^2)))*SIN(2*PI()*Wn*Sheet2!A1237) +(Po*SIN(2*PI()*w*Sheet2!A1237))/(K*(1-(w/Wn)^2))</f>
        <v>-18.914798868170358</v>
      </c>
      <c r="C1237">
        <f t="shared" si="78"/>
        <v>-6.3504791111397259</v>
      </c>
      <c r="D1237">
        <f t="shared" si="79"/>
        <v>-1037.3180181467574</v>
      </c>
      <c r="R1237">
        <f t="shared" si="76"/>
        <v>1.2350000000000001</v>
      </c>
      <c r="S1237">
        <f t="shared" si="77"/>
        <v>-6.3504791111397259</v>
      </c>
    </row>
    <row r="1238" spans="1:19" x14ac:dyDescent="0.3">
      <c r="A1238">
        <v>1.236</v>
      </c>
      <c r="B1238">
        <f>Uo*COS(2*PI()*Wn*Sheet2!A1238) + (Vo/Wn - (Po*(w/Wn))/(K*(1-(w/Wn)^2)))*SIN(2*PI()*Wn*Sheet2!A1238) +(Po*SIN(2*PI()*w*Sheet2!A1238))/(K*(1-(w/Wn)^2))</f>
        <v>-18.794258354958387</v>
      </c>
      <c r="C1238">
        <f t="shared" si="78"/>
        <v>-6.3140996679359418</v>
      </c>
      <c r="D1238">
        <f t="shared" si="79"/>
        <v>-1031.3756236809234</v>
      </c>
      <c r="R1238">
        <f t="shared" si="76"/>
        <v>1.236</v>
      </c>
      <c r="S1238">
        <f t="shared" si="77"/>
        <v>-6.3140996679359418</v>
      </c>
    </row>
    <row r="1239" spans="1:19" x14ac:dyDescent="0.3">
      <c r="A1239">
        <v>1.2370000000000001</v>
      </c>
      <c r="B1239">
        <f>Uo*COS(2*PI()*Wn*Sheet2!A1239) + (Vo/Wn - (Po*(w/Wn))/(K*(1-(w/Wn)^2)))*SIN(2*PI()*Wn*Sheet2!A1239) +(Po*SIN(2*PI()*w*Sheet2!A1239))/(K*(1-(w/Wn)^2))</f>
        <v>-18.667578118509013</v>
      </c>
      <c r="C1239">
        <f t="shared" si="78"/>
        <v>-6.275725087484969</v>
      </c>
      <c r="D1239">
        <f t="shared" si="79"/>
        <v>-1025.1073338331873</v>
      </c>
      <c r="R1239">
        <f t="shared" si="76"/>
        <v>1.2370000000000001</v>
      </c>
      <c r="S1239">
        <f t="shared" si="77"/>
        <v>-6.275725087484969</v>
      </c>
    </row>
    <row r="1240" spans="1:19" x14ac:dyDescent="0.3">
      <c r="A1240">
        <v>1.238</v>
      </c>
      <c r="B1240">
        <f>Uo*COS(2*PI()*Wn*Sheet2!A1240) + (Vo/Wn - (Po*(w/Wn))/(K*(1-(w/Wn)^2)))*SIN(2*PI()*Wn*Sheet2!A1240) +(Po*SIN(2*PI()*w*Sheet2!A1240))/(K*(1-(w/Wn)^2))</f>
        <v>-18.534799542822501</v>
      </c>
      <c r="C1240">
        <f t="shared" si="78"/>
        <v>-6.2353714975683285</v>
      </c>
      <c r="D1240">
        <f t="shared" si="79"/>
        <v>-1018.5157829935021</v>
      </c>
      <c r="R1240">
        <f t="shared" si="76"/>
        <v>1.238</v>
      </c>
      <c r="S1240">
        <f t="shared" si="77"/>
        <v>-6.2353714975683285</v>
      </c>
    </row>
    <row r="1241" spans="1:19" x14ac:dyDescent="0.3">
      <c r="A1241">
        <v>1.2390000000000001</v>
      </c>
      <c r="B1241">
        <f>Uo*COS(2*PI()*Wn*Sheet2!A1241) + (Vo/Wn - (Po*(w/Wn))/(K*(1-(w/Wn)^2)))*SIN(2*PI()*Wn*Sheet2!A1241) +(Po*SIN(2*PI()*w*Sheet2!A1241))/(K*(1-(w/Wn)^2))</f>
        <v>-18.395966004109297</v>
      </c>
      <c r="C1241">
        <f t="shared" si="78"/>
        <v>-6.1930556427640422</v>
      </c>
      <c r="D1241">
        <f t="shared" si="79"/>
        <v>-1011.6037063023483</v>
      </c>
      <c r="R1241">
        <f t="shared" si="76"/>
        <v>1.2390000000000001</v>
      </c>
      <c r="S1241">
        <f t="shared" si="77"/>
        <v>-6.1930556427640422</v>
      </c>
    </row>
    <row r="1242" spans="1:19" x14ac:dyDescent="0.3">
      <c r="A1242">
        <v>1.24</v>
      </c>
      <c r="B1242">
        <f>Uo*COS(2*PI()*Wn*Sheet2!A1242) + (Vo/Wn - (Po*(w/Wn))/(K*(1-(w/Wn)^2)))*SIN(2*PI()*Wn*Sheet2!A1242) +(Po*SIN(2*PI()*w*Sheet2!A1242))/(K*(1-(w/Wn)^2))</f>
        <v>-18.251122856620118</v>
      </c>
      <c r="C1242">
        <f t="shared" si="78"/>
        <v>-6.1487948778677053</v>
      </c>
      <c r="D1242">
        <f t="shared" si="79"/>
        <v>-1004.3739385761006</v>
      </c>
      <c r="R1242">
        <f t="shared" si="76"/>
        <v>1.24</v>
      </c>
      <c r="S1242">
        <f t="shared" si="77"/>
        <v>-6.1487948778677053</v>
      </c>
    </row>
    <row r="1243" spans="1:19" x14ac:dyDescent="0.3">
      <c r="A1243">
        <v>1.2410000000000001</v>
      </c>
      <c r="B1243">
        <f>Uo*COS(2*PI()*Wn*Sheet2!A1243) + (Vo/Wn - (Po*(w/Wn))/(K*(1-(w/Wn)^2)))*SIN(2*PI()*Wn*Sheet2!A1243) +(Po*SIN(2*PI()*w*Sheet2!A1243))/(K*(1-(w/Wn)^2))</f>
        <v>-18.100317417829235</v>
      </c>
      <c r="C1243">
        <f t="shared" si="78"/>
        <v>-6.1026071611260821</v>
      </c>
      <c r="D1243">
        <f t="shared" si="79"/>
        <v>-996.82941320177099</v>
      </c>
      <c r="R1243">
        <f t="shared" si="76"/>
        <v>1.2410000000000001</v>
      </c>
      <c r="S1243">
        <f t="shared" si="77"/>
        <v>-6.1026071611260821</v>
      </c>
    </row>
    <row r="1244" spans="1:19" x14ac:dyDescent="0.3">
      <c r="A1244">
        <v>1.242</v>
      </c>
      <c r="B1244">
        <f>Uo*COS(2*PI()*Wn*Sheet2!A1244) + (Vo/Wn - (Po*(w/Wn))/(K*(1-(w/Wn)^2)))*SIN(2*PI()*Wn*Sheet2!A1244) +(Po*SIN(2*PI()*w*Sheet2!A1244))/(K*(1-(w/Wn)^2))</f>
        <v>-17.943598952977183</v>
      </c>
      <c r="C1244">
        <f t="shared" si="78"/>
        <v>-6.0545110472861738</v>
      </c>
      <c r="D1244">
        <f t="shared" si="79"/>
        <v>-988.9731610016089</v>
      </c>
      <c r="R1244">
        <f t="shared" si="76"/>
        <v>1.242</v>
      </c>
      <c r="S1244">
        <f t="shared" si="77"/>
        <v>-6.0545110472861738</v>
      </c>
    </row>
    <row r="1245" spans="1:19" x14ac:dyDescent="0.3">
      <c r="A1245">
        <v>1.2430000000000001</v>
      </c>
      <c r="B1245">
        <f>Uo*COS(2*PI()*Wn*Sheet2!A1245) + (Vo/Wn - (Po*(w/Wn))/(K*(1-(w/Wn)^2)))*SIN(2*PI()*Wn*Sheet2!A1245) +(Po*SIN(2*PI()*w*Sheet2!A1245))/(K*(1-(w/Wn)^2))</f>
        <v>-17.781018658976389</v>
      </c>
      <c r="C1245">
        <f t="shared" si="78"/>
        <v>-6.0045256804619438</v>
      </c>
      <c r="D1245">
        <f t="shared" si="79"/>
        <v>-980.80830906791857</v>
      </c>
      <c r="R1245">
        <f t="shared" si="76"/>
        <v>1.2430000000000001</v>
      </c>
      <c r="S1245">
        <f t="shared" si="77"/>
        <v>-6.0045256804619438</v>
      </c>
    </row>
    <row r="1246" spans="1:19" x14ac:dyDescent="0.3">
      <c r="A1246">
        <v>1.244</v>
      </c>
      <c r="B1246">
        <f>Uo*COS(2*PI()*Wn*Sheet2!A1246) + (Vo/Wn - (Po*(w/Wn))/(K*(1-(w/Wn)^2)))*SIN(2*PI()*Wn*Sheet2!A1246) +(Po*SIN(2*PI()*w*Sheet2!A1246))/(K*(1-(w/Wn)^2))</f>
        <v>-17.612629647686454</v>
      </c>
      <c r="C1246">
        <f t="shared" si="78"/>
        <v>-5.9526707868217459</v>
      </c>
      <c r="D1246">
        <f t="shared" si="79"/>
        <v>-972.33807956858766</v>
      </c>
      <c r="R1246">
        <f t="shared" si="76"/>
        <v>1.244</v>
      </c>
      <c r="S1246">
        <f t="shared" si="77"/>
        <v>-5.9526707868217459</v>
      </c>
    </row>
    <row r="1247" spans="1:19" x14ac:dyDescent="0.3">
      <c r="A1247">
        <v>1.2450000000000001</v>
      </c>
      <c r="B1247">
        <f>Uo*COS(2*PI()*Wn*Sheet2!A1247) + (Vo/Wn - (Po*(w/Wn))/(K*(1-(w/Wn)^2)))*SIN(2*PI()*Wn*Sheet2!A1247) +(Po*SIN(2*PI()*w*Sheet2!A1247))/(K*(1-(w/Wn)^2))</f>
        <v>-17.438486928563105</v>
      </c>
      <c r="C1247">
        <f t="shared" si="78"/>
        <v>-5.8989666670987848</v>
      </c>
      <c r="D1247">
        <f t="shared" si="79"/>
        <v>-963.56578852370922</v>
      </c>
      <c r="R1247">
        <f t="shared" si="76"/>
        <v>1.2450000000000001</v>
      </c>
      <c r="S1247">
        <f t="shared" si="77"/>
        <v>-5.8989666670987848</v>
      </c>
    </row>
    <row r="1248" spans="1:19" x14ac:dyDescent="0.3">
      <c r="A1248">
        <v>1.246</v>
      </c>
      <c r="B1248">
        <f>Uo*COS(2*PI()*Wn*Sheet2!A1248) + (Vo/Wn - (Po*(w/Wn))/(K*(1-(w/Wn)^2)))*SIN(2*PI()*Wn*Sheet2!A1248) +(Po*SIN(2*PI()*w*Sheet2!A1248))/(K*(1-(w/Wn)^2))</f>
        <v>-17.25864739068815</v>
      </c>
      <c r="C1248">
        <f t="shared" si="78"/>
        <v>-5.843434188927823</v>
      </c>
      <c r="D1248">
        <f t="shared" si="79"/>
        <v>-954.49484455382321</v>
      </c>
      <c r="R1248">
        <f t="shared" si="76"/>
        <v>1.246</v>
      </c>
      <c r="S1248">
        <f t="shared" si="77"/>
        <v>-5.843434188927823</v>
      </c>
    </row>
    <row r="1249" spans="1:19" x14ac:dyDescent="0.3">
      <c r="A1249">
        <v>1.2470000000000001</v>
      </c>
      <c r="B1249">
        <f>Uo*COS(2*PI()*Wn*Sheet2!A1249) + (Vo/Wn - (Po*(w/Wn))/(K*(1-(w/Wn)^2)))*SIN(2*PI()*Wn*Sheet2!A1249) +(Po*SIN(2*PI()*w*Sheet2!A1249))/(K*(1-(w/Wn)^2))</f>
        <v>-17.073169784184504</v>
      </c>
      <c r="C1249">
        <f t="shared" si="78"/>
        <v>-5.786094779010428</v>
      </c>
      <c r="D1249">
        <f t="shared" si="79"/>
        <v>-945.12874760014915</v>
      </c>
      <c r="R1249">
        <f t="shared" si="76"/>
        <v>1.2470000000000001</v>
      </c>
      <c r="S1249">
        <f t="shared" si="77"/>
        <v>-5.786094779010428</v>
      </c>
    </row>
    <row r="1250" spans="1:19" x14ac:dyDescent="0.3">
      <c r="A1250">
        <v>1.248</v>
      </c>
      <c r="B1250">
        <f>Uo*COS(2*PI()*Wn*Sheet2!A1250) + (Vo/Wn - (Po*(w/Wn))/(K*(1-(w/Wn)^2)))*SIN(2*PI()*Wn*Sheet2!A1250) +(Po*SIN(2*PI()*w*Sheet2!A1250))/(K*(1-(w/Wn)^2))</f>
        <v>-16.88211470102399</v>
      </c>
      <c r="C1250">
        <f t="shared" si="78"/>
        <v>-5.7269704151121443</v>
      </c>
      <c r="D1250">
        <f t="shared" si="79"/>
        <v>-935.47108761736581</v>
      </c>
      <c r="R1250">
        <f t="shared" si="76"/>
        <v>1.248</v>
      </c>
      <c r="S1250">
        <f t="shared" si="77"/>
        <v>-5.7269704151121443</v>
      </c>
    </row>
    <row r="1251" spans="1:19" x14ac:dyDescent="0.3">
      <c r="A1251">
        <v>1.2490000000000001</v>
      </c>
      <c r="B1251">
        <f>Uo*COS(2*PI()*Wn*Sheet2!A1251) + (Vo/Wn - (Po*(w/Wn))/(K*(1-(w/Wn)^2)))*SIN(2*PI()*Wn*Sheet2!A1251) +(Po*SIN(2*PI()*w*Sheet2!A1251))/(K*(1-(w/Wn)^2))</f>
        <v>-16.685544555232681</v>
      </c>
      <c r="C1251">
        <f t="shared" si="78"/>
        <v>-5.6660836178939977</v>
      </c>
      <c r="D1251">
        <f t="shared" si="79"/>
        <v>-925.52554323932975</v>
      </c>
      <c r="R1251">
        <f t="shared" si="76"/>
        <v>1.2490000000000001</v>
      </c>
      <c r="S1251">
        <f t="shared" si="77"/>
        <v>-5.6660836178939977</v>
      </c>
    </row>
    <row r="1252" spans="1:19" x14ac:dyDescent="0.3">
      <c r="A1252">
        <v>1.25</v>
      </c>
      <c r="B1252">
        <f>Uo*COS(2*PI()*Wn*Sheet2!A1252) + (Vo/Wn - (Po*(w/Wn))/(K*(1-(w/Wn)^2)))*SIN(2*PI()*Wn*Sheet2!A1252) +(Po*SIN(2*PI()*w*Sheet2!A1252))/(K*(1-(w/Wn)^2))</f>
        <v>-16.48352356250194</v>
      </c>
      <c r="C1252">
        <f t="shared" si="78"/>
        <v>-5.6034574425818642</v>
      </c>
      <c r="D1252">
        <f t="shared" si="79"/>
        <v>-915.29588041830914</v>
      </c>
      <c r="R1252">
        <f t="shared" si="76"/>
        <v>1.25</v>
      </c>
      <c r="S1252">
        <f t="shared" si="77"/>
        <v>-5.6034574425818642</v>
      </c>
    </row>
    <row r="1253" spans="1:19" x14ac:dyDescent="0.3">
      <c r="A1253">
        <v>1.2509999999999999</v>
      </c>
      <c r="B1253">
        <f>Uo*COS(2*PI()*Wn*Sheet2!A1253) + (Vo/Wn - (Po*(w/Wn))/(K*(1-(w/Wn)^2)))*SIN(2*PI()*Wn*Sheet2!A1253) +(Po*SIN(2*PI()*w*Sheet2!A1253))/(K*(1-(w/Wn)^2))</f>
        <v>-16.276117719209992</v>
      </c>
      <c r="C1253">
        <f t="shared" si="78"/>
        <v>-5.5391154704761103</v>
      </c>
      <c r="D1253">
        <f t="shared" si="79"/>
        <v>-904.78595103812791</v>
      </c>
      <c r="R1253">
        <f t="shared" si="76"/>
        <v>1.2509999999999999</v>
      </c>
      <c r="S1253">
        <f t="shared" si="77"/>
        <v>-5.5391154704761103</v>
      </c>
    </row>
    <row r="1254" spans="1:19" x14ac:dyDescent="0.3">
      <c r="A1254">
        <v>1.252</v>
      </c>
      <c r="B1254">
        <f>Uo*COS(2*PI()*Wn*Sheet2!A1254) + (Vo/Wn - (Po*(w/Wn))/(K*(1-(w/Wn)^2)))*SIN(2*PI()*Wn*Sheet2!A1254) +(Po*SIN(2*PI()*w*Sheet2!A1254))/(K*(1-(w/Wn)^2))</f>
        <v>-16.063394780862307</v>
      </c>
      <c r="C1254">
        <f t="shared" si="78"/>
        <v>-5.4730818003050468</v>
      </c>
      <c r="D1254">
        <f t="shared" si="79"/>
        <v>-893.99969150179652</v>
      </c>
      <c r="R1254">
        <f t="shared" si="76"/>
        <v>1.252</v>
      </c>
      <c r="S1254">
        <f t="shared" si="77"/>
        <v>-5.4730818003050468</v>
      </c>
    </row>
    <row r="1255" spans="1:19" x14ac:dyDescent="0.3">
      <c r="A1255">
        <v>1.2529999999999999</v>
      </c>
      <c r="B1255">
        <f>Uo*COS(2*PI()*Wn*Sheet2!A1255) + (Vo/Wn - (Po*(w/Wn))/(K*(1-(w/Wn)^2)))*SIN(2*PI()*Wn*Sheet2!A1255) +(Po*SIN(2*PI()*w*Sheet2!A1255))/(K*(1-(w/Wn)^2))</f>
        <v>-15.84542423995736</v>
      </c>
      <c r="C1255">
        <f t="shared" si="78"/>
        <v>-5.4053810394251141</v>
      </c>
      <c r="D1255">
        <f t="shared" si="79"/>
        <v>-882.9411212941078</v>
      </c>
      <c r="R1255">
        <f t="shared" si="76"/>
        <v>1.2529999999999999</v>
      </c>
      <c r="S1255">
        <f t="shared" si="77"/>
        <v>-5.4053810394251141</v>
      </c>
    </row>
    <row r="1256" spans="1:19" x14ac:dyDescent="0.3">
      <c r="A1256">
        <v>1.254</v>
      </c>
      <c r="B1256">
        <f>Uo*COS(2*PI()*Wn*Sheet2!A1256) + (Vo/Wn - (Po*(w/Wn))/(K*(1-(w/Wn)^2)))*SIN(2*PI()*Wn*Sheet2!A1256) +(Po*SIN(2*PI()*w*Sheet2!A1256))/(K*(1-(w/Wn)^2))</f>
        <v>-15.622277303284299</v>
      </c>
      <c r="C1256">
        <f t="shared" si="78"/>
        <v>-5.336038294870753</v>
      </c>
      <c r="D1256">
        <f t="shared" si="79"/>
        <v>-871.61434151967956</v>
      </c>
      <c r="R1256">
        <f t="shared" si="76"/>
        <v>1.254</v>
      </c>
      <c r="S1256">
        <f t="shared" si="77"/>
        <v>-5.336038294870753</v>
      </c>
    </row>
    <row r="1257" spans="1:19" x14ac:dyDescent="0.3">
      <c r="A1257">
        <v>1.2549999999999999</v>
      </c>
      <c r="B1257">
        <f>Uo*COS(2*PI()*Wn*Sheet2!A1257) + (Vo/Wn - (Po*(w/Wn))/(K*(1-(w/Wn)^2)))*SIN(2*PI()*Wn*Sheet2!A1257) +(Po*SIN(2*PI()*w*Sheet2!A1257))/(K*(1-(w/Wn)^2))</f>
        <v>-15.394026868661649</v>
      </c>
      <c r="C1257">
        <f t="shared" si="78"/>
        <v>-5.2650791642576866</v>
      </c>
      <c r="D1257">
        <f t="shared" si="79"/>
        <v>-860.02353341705236</v>
      </c>
      <c r="R1257">
        <f t="shared" si="76"/>
        <v>1.2549999999999999</v>
      </c>
      <c r="S1257">
        <f t="shared" si="77"/>
        <v>-5.2650791642576866</v>
      </c>
    </row>
    <row r="1258" spans="1:19" x14ac:dyDescent="0.3">
      <c r="A1258">
        <v>1.256</v>
      </c>
      <c r="B1258">
        <f>Uo*COS(2*PI()*Wn*Sheet2!A1258) + (Vo/Wn - (Po*(w/Wn))/(K*(1-(w/Wn)^2)))*SIN(2*PI()*Wn*Sheet2!A1258) +(Po*SIN(2*PI()*w*Sheet2!A1258))/(K*(1-(w/Wn)^2))</f>
        <v>-15.160747501122477</v>
      </c>
      <c r="C1258">
        <f t="shared" si="78"/>
        <v>-5.1925297265421602</v>
      </c>
      <c r="D1258">
        <f t="shared" si="79"/>
        <v>-848.17295684925932</v>
      </c>
      <c r="R1258">
        <f t="shared" si="76"/>
        <v>1.256</v>
      </c>
      <c r="S1258">
        <f t="shared" si="77"/>
        <v>-5.1925297265421602</v>
      </c>
    </row>
    <row r="1259" spans="1:19" x14ac:dyDescent="0.3">
      <c r="A1259">
        <v>1.2569999999999999</v>
      </c>
      <c r="B1259">
        <f>Uo*COS(2*PI()*Wn*Sheet2!A1259) + (Vo/Wn - (Po*(w/Wn))/(K*(1-(w/Wn)^2)))*SIN(2*PI()*Wn*Sheet2!A1259) +(Po*SIN(2*PI()*w*Sheet2!A1259))/(K*(1-(w/Wn)^2))</f>
        <v>-14.922515408555876</v>
      </c>
      <c r="C1259">
        <f t="shared" si="78"/>
        <v>-5.1184165326400519</v>
      </c>
      <c r="D1259">
        <f t="shared" si="79"/>
        <v>-836.06694877150608</v>
      </c>
      <c r="R1259">
        <f t="shared" si="76"/>
        <v>1.2569999999999999</v>
      </c>
      <c r="S1259">
        <f t="shared" si="77"/>
        <v>-5.1184165326400519</v>
      </c>
    </row>
    <row r="1260" spans="1:19" x14ac:dyDescent="0.3">
      <c r="A1260">
        <v>1.258</v>
      </c>
      <c r="B1260">
        <f>Uo*COS(2*PI()*Wn*Sheet2!A1260) + (Vo/Wn - (Po*(w/Wn))/(K*(1-(w/Wn)^2)))*SIN(2*PI()*Wn*Sheet2!A1260) +(Po*SIN(2*PI()*w*Sheet2!A1260))/(K*(1-(w/Wn)^2))</f>
        <v>-14.679408416810755</v>
      </c>
      <c r="C1260">
        <f t="shared" si="78"/>
        <v>-5.0427665959086054</v>
      </c>
      <c r="D1260">
        <f t="shared" si="79"/>
        <v>-823.70992167641054</v>
      </c>
      <c r="R1260">
        <f t="shared" si="76"/>
        <v>1.258</v>
      </c>
      <c r="S1260">
        <f t="shared" si="77"/>
        <v>-5.0427665959086054</v>
      </c>
    </row>
    <row r="1261" spans="1:19" x14ac:dyDescent="0.3">
      <c r="A1261">
        <v>1.2589999999999999</v>
      </c>
      <c r="B1261">
        <f>Uo*COS(2*PI()*Wn*Sheet2!A1261) + (Vo/Wn - (Po*(w/Wn))/(K*(1-(w/Wn)^2)))*SIN(2*PI()*Wn*Sheet2!A1261) +(Po*SIN(2*PI()*w*Sheet2!A1261))/(K*(1-(w/Wn)^2))</f>
        <v>-14.431505944272285</v>
      </c>
      <c r="C1261">
        <f t="shared" si="78"/>
        <v>-4.9656073824947491</v>
      </c>
      <c r="D1261">
        <f t="shared" si="79"/>
        <v>-811.10636201745126</v>
      </c>
      <c r="R1261">
        <f t="shared" si="76"/>
        <v>1.2589999999999999</v>
      </c>
      <c r="S1261">
        <f t="shared" si="77"/>
        <v>-4.9656073824947491</v>
      </c>
    </row>
    <row r="1262" spans="1:19" x14ac:dyDescent="0.3">
      <c r="A1262">
        <v>1.26</v>
      </c>
      <c r="B1262">
        <f>Uo*COS(2*PI()*Wn*Sheet2!A1262) + (Vo/Wn - (Po*(w/Wn))/(K*(1-(w/Wn)^2)))*SIN(2*PI()*Wn*Sheet2!A1262) +(Po*SIN(2*PI()*w*Sheet2!A1262))/(K*(1-(w/Wn)^2))</f>
        <v>-14.17888897591687</v>
      </c>
      <c r="C1262">
        <f t="shared" si="78"/>
        <v>-4.8869668015527212</v>
      </c>
      <c r="D1262">
        <f t="shared" si="79"/>
        <v>-798.26082861106647</v>
      </c>
      <c r="R1262">
        <f t="shared" si="76"/>
        <v>1.26</v>
      </c>
      <c r="S1262">
        <f t="shared" si="77"/>
        <v>-4.8869668015527212</v>
      </c>
    </row>
    <row r="1263" spans="1:19" x14ac:dyDescent="0.3">
      <c r="A1263">
        <v>1.2609999999999999</v>
      </c>
      <c r="B1263">
        <f>Uo*COS(2*PI()*Wn*Sheet2!A1263) + (Vo/Wn - (Po*(w/Wn))/(K*(1-(w/Wn)^2)))*SIN(2*PI()*Wn*Sheet2!A1263) +(Po*SIN(2*PI()*w*Sheet2!A1263))/(K*(1-(w/Wn)^2))</f>
        <v>-13.921640036856397</v>
      </c>
      <c r="C1263">
        <f t="shared" si="78"/>
        <v>-4.8068731953350623</v>
      </c>
      <c r="D1263">
        <f t="shared" si="79"/>
        <v>-785.17795101806894</v>
      </c>
      <c r="R1263">
        <f t="shared" si="76"/>
        <v>1.2609999999999999</v>
      </c>
      <c r="S1263">
        <f t="shared" si="77"/>
        <v>-4.8068731953350623</v>
      </c>
    </row>
    <row r="1264" spans="1:19" x14ac:dyDescent="0.3">
      <c r="A1264">
        <v>1.262</v>
      </c>
      <c r="B1264">
        <f>Uo*COS(2*PI()*Wn*Sheet2!A1264) + (Vo/Wn - (Po*(w/Wn))/(K*(1-(w/Wn)^2)))*SIN(2*PI()*Wn*Sheet2!A1264) +(Po*SIN(2*PI()*w*Sheet2!A1264))/(K*(1-(w/Wn)^2))</f>
        <v>-13.65984316537827</v>
      </c>
      <c r="C1264">
        <f t="shared" si="78"/>
        <v>-4.725355329159842</v>
      </c>
      <c r="D1264">
        <f t="shared" si="79"/>
        <v>-771.86242790484414</v>
      </c>
      <c r="R1264">
        <f t="shared" si="76"/>
        <v>1.262</v>
      </c>
      <c r="S1264">
        <f t="shared" si="77"/>
        <v>-4.725355329159842</v>
      </c>
    </row>
    <row r="1265" spans="1:19" x14ac:dyDescent="0.3">
      <c r="A1265">
        <v>1.2629999999999999</v>
      </c>
      <c r="B1265">
        <f>Uo*COS(2*PI()*Wn*Sheet2!A1265) + (Vo/Wn - (Po*(w/Wn))/(K*(1-(w/Wn)^2)))*SIN(2*PI()*Wn*Sheet2!A1265) +(Po*SIN(2*PI()*w*Sheet2!A1265))/(K*(1-(w/Wn)^2))</f>
        <v>-13.393583885492415</v>
      </c>
      <c r="C1265">
        <f t="shared" si="78"/>
        <v>-4.6424423812582836</v>
      </c>
      <c r="D1265">
        <f t="shared" si="79"/>
        <v>-758.3190253850122</v>
      </c>
      <c r="R1265">
        <f t="shared" si="76"/>
        <v>1.2629999999999999</v>
      </c>
      <c r="S1265">
        <f t="shared" si="77"/>
        <v>-4.6424423812582836</v>
      </c>
    </row>
    <row r="1266" spans="1:19" x14ac:dyDescent="0.3">
      <c r="A1266">
        <v>1.264</v>
      </c>
      <c r="B1266">
        <f>Uo*COS(2*PI()*Wn*Sheet2!A1266) + (Vo/Wn - (Po*(w/Wn))/(K*(1-(w/Wn)^2)))*SIN(2*PI()*Wn*Sheet2!A1266) +(Po*SIN(2*PI()*w*Sheet2!A1266))/(K*(1-(w/Wn)^2))</f>
        <v>-13.122949178991625</v>
      </c>
      <c r="C1266">
        <f t="shared" si="78"/>
        <v>-4.5581639325055869</v>
      </c>
      <c r="D1266">
        <f t="shared" si="79"/>
        <v>-744.55257534201064</v>
      </c>
      <c r="R1266">
        <f t="shared" si="76"/>
        <v>1.264</v>
      </c>
      <c r="S1266">
        <f t="shared" si="77"/>
        <v>-4.5581639325055869</v>
      </c>
    </row>
    <row r="1267" spans="1:19" x14ac:dyDescent="0.3">
      <c r="A1267">
        <v>1.2649999999999999</v>
      </c>
      <c r="B1267">
        <f>Uo*COS(2*PI()*Wn*Sheet2!A1267) + (Vo/Wn - (Po*(w/Wn))/(K*(1-(w/Wn)^2)))*SIN(2*PI()*Wn*Sheet2!A1267) +(Po*SIN(2*PI()*w*Sheet2!A1267))/(K*(1-(w/Wn)^2))</f>
        <v>-12.8480274570368</v>
      </c>
      <c r="C1267">
        <f t="shared" si="78"/>
        <v>-4.4725499560392006</v>
      </c>
      <c r="D1267">
        <f t="shared" si="79"/>
        <v>-730.56797373329255</v>
      </c>
      <c r="R1267">
        <f t="shared" si="76"/>
        <v>1.2649999999999999</v>
      </c>
      <c r="S1267">
        <f t="shared" si="77"/>
        <v>-4.4725499560392006</v>
      </c>
    </row>
    <row r="1268" spans="1:19" x14ac:dyDescent="0.3">
      <c r="A1268">
        <v>1.266</v>
      </c>
      <c r="B1268">
        <f>Uo*COS(2*PI()*Wn*Sheet2!A1268) + (Vo/Wn - (Po*(w/Wn))/(K*(1-(w/Wn)^2)))*SIN(2*PI()*Wn*Sheet2!A1268) +(Po*SIN(2*PI()*w*Sheet2!A1268))/(K*(1-(w/Wn)^2))</f>
        <v>-12.568908531274065</v>
      </c>
      <c r="C1268">
        <f t="shared" si="78"/>
        <v>-4.3856308067674652</v>
      </c>
      <c r="D1268">
        <f t="shared" si="79"/>
        <v>-716.37017887661807</v>
      </c>
      <c r="R1268">
        <f t="shared" si="76"/>
        <v>1.266</v>
      </c>
      <c r="S1268">
        <f t="shared" si="77"/>
        <v>-4.3856308067674652</v>
      </c>
    </row>
    <row r="1269" spans="1:19" x14ac:dyDescent="0.3">
      <c r="A1269">
        <v>1.2669999999999999</v>
      </c>
      <c r="B1269">
        <f>Uo*COS(2*PI()*Wn*Sheet2!A1269) + (Vo/Wn - (Po*(w/Wn))/(K*(1-(w/Wn)^2)))*SIN(2*PI()*Wn*Sheet2!A1269) +(Po*SIN(2*PI()*w*Sheet2!A1269))/(K*(1-(w/Wn)^2))</f>
        <v>-12.285683584495811</v>
      </c>
      <c r="C1269">
        <f t="shared" si="78"/>
        <v>-4.297437210773027</v>
      </c>
      <c r="D1269">
        <f t="shared" si="79"/>
        <v>-701.96420971915586</v>
      </c>
      <c r="R1269">
        <f t="shared" si="76"/>
        <v>1.2669999999999999</v>
      </c>
      <c r="S1269">
        <f t="shared" si="77"/>
        <v>-4.297437210773027</v>
      </c>
    </row>
    <row r="1270" spans="1:19" x14ac:dyDescent="0.3">
      <c r="A1270">
        <v>1.268</v>
      </c>
      <c r="B1270">
        <f>Uo*COS(2*PI()*Wn*Sheet2!A1270) + (Vo/Wn - (Po*(w/Wn))/(K*(1-(w/Wn)^2)))*SIN(2*PI()*Wn*Sheet2!A1270) +(Po*SIN(2*PI()*w*Sheet2!A1270))/(K*(1-(w/Wn)^2))</f>
        <v>-11.998445140852343</v>
      </c>
      <c r="C1270">
        <f t="shared" si="78"/>
        <v>-4.2080002546138022</v>
      </c>
      <c r="D1270">
        <f t="shared" si="79"/>
        <v>-687.35514408985171</v>
      </c>
      <c r="R1270">
        <f t="shared" si="76"/>
        <v>1.268</v>
      </c>
      <c r="S1270">
        <f t="shared" si="77"/>
        <v>-4.2080002546138022</v>
      </c>
    </row>
    <row r="1271" spans="1:19" x14ac:dyDescent="0.3">
      <c r="A1271">
        <v>1.2689999999999999</v>
      </c>
      <c r="B1271">
        <f>Uo*COS(2*PI()*Wn*Sheet2!A1271) + (Vo/Wn - (Po*(w/Wn))/(K*(1-(w/Wn)^2)))*SIN(2*PI()*Wn*Sheet2!A1271) +(Po*SIN(2*PI()*w*Sheet2!A1271))/(K*(1-(w/Wn)^2))</f>
        <v>-11.707287035626599</v>
      </c>
      <c r="C1271">
        <f t="shared" si="78"/>
        <v>-4.11735137452599</v>
      </c>
      <c r="D1271">
        <f t="shared" si="79"/>
        <v>-672.54811693579552</v>
      </c>
      <c r="R1271">
        <f t="shared" si="76"/>
        <v>1.2689999999999999</v>
      </c>
      <c r="S1271">
        <f t="shared" si="77"/>
        <v>-4.11735137452599</v>
      </c>
    </row>
    <row r="1272" spans="1:19" x14ac:dyDescent="0.3">
      <c r="A1272">
        <v>1.27</v>
      </c>
      <c r="B1272">
        <f>Uo*COS(2*PI()*Wn*Sheet2!A1272) + (Vo/Wn - (Po*(w/Wn))/(K*(1-(w/Wn)^2)))*SIN(2*PI()*Wn*Sheet2!A1272) +(Po*SIN(2*PI()*w*Sheet2!A1272))/(K*(1-(w/Wn)^2))</f>
        <v>-11.412304384579272</v>
      </c>
      <c r="C1272">
        <f t="shared" si="78"/>
        <v>-4.0255223455320666</v>
      </c>
      <c r="D1272">
        <f t="shared" si="79"/>
        <v>-657.54831854306894</v>
      </c>
      <c r="R1272">
        <f t="shared" si="76"/>
        <v>1.27</v>
      </c>
      <c r="S1272">
        <f t="shared" si="77"/>
        <v>-4.0255223455320666</v>
      </c>
    </row>
    <row r="1273" spans="1:19" x14ac:dyDescent="0.3">
      <c r="A1273">
        <v>1.2709999999999999</v>
      </c>
      <c r="B1273">
        <f>Uo*COS(2*PI()*Wn*Sheet2!A1273) + (Vo/Wn - (Po*(w/Wn))/(K*(1-(w/Wn)^2)))*SIN(2*PI()*Wn*Sheet2!A1273) +(Po*SIN(2*PI()*w*Sheet2!A1273))/(K*(1-(w/Wn)^2))</f>
        <v>-11.113593552877125</v>
      </c>
      <c r="C1273">
        <f t="shared" si="78"/>
        <v>-3.9325452704583173</v>
      </c>
      <c r="D1273">
        <f t="shared" si="79"/>
        <v>-642.36099274281526</v>
      </c>
      <c r="R1273">
        <f t="shared" si="76"/>
        <v>1.2709999999999999</v>
      </c>
      <c r="S1273">
        <f t="shared" si="77"/>
        <v>-3.9325452704583173</v>
      </c>
    </row>
    <row r="1274" spans="1:19" x14ac:dyDescent="0.3">
      <c r="A1274">
        <v>1.272</v>
      </c>
      <c r="B1274">
        <f>Uo*COS(2*PI()*Wn*Sheet2!A1274) + (Vo/Wn - (Po*(w/Wn))/(K*(1-(w/Wn)^2)))*SIN(2*PI()*Wn*Sheet2!A1274) +(Po*SIN(2*PI()*w*Sheet2!A1274))/(K*(1-(w/Wn)^2))</f>
        <v>-10.811252123611638</v>
      </c>
      <c r="C1274">
        <f t="shared" si="78"/>
        <v>-3.8384525688647808</v>
      </c>
      <c r="D1274">
        <f t="shared" si="79"/>
        <v>-626.99143510300371</v>
      </c>
      <c r="R1274">
        <f t="shared" si="76"/>
        <v>1.272</v>
      </c>
      <c r="S1274">
        <f t="shared" si="77"/>
        <v>-3.8384525688647808</v>
      </c>
    </row>
    <row r="1275" spans="1:19" x14ac:dyDescent="0.3">
      <c r="A1275">
        <v>1.2729999999999999</v>
      </c>
      <c r="B1275">
        <f>Uo*COS(2*PI()*Wn*Sheet2!A1275) + (Vo/Wn - (Po*(w/Wn))/(K*(1-(w/Wn)^2)))*SIN(2*PI()*Wn*Sheet2!A1275) +(Po*SIN(2*PI()*w*Sheet2!A1275))/(K*(1-(w/Wn)^2))</f>
        <v>-10.505378865921029</v>
      </c>
      <c r="C1275">
        <f t="shared" si="78"/>
        <v>-3.7432769658921536</v>
      </c>
      <c r="D1275">
        <f t="shared" si="79"/>
        <v>-611.44499110662787</v>
      </c>
      <c r="R1275">
        <f t="shared" si="76"/>
        <v>1.2729999999999999</v>
      </c>
      <c r="S1275">
        <f t="shared" si="77"/>
        <v>-3.7432769658921536</v>
      </c>
    </row>
    <row r="1276" spans="1:19" x14ac:dyDescent="0.3">
      <c r="A1276">
        <v>1.274</v>
      </c>
      <c r="B1276">
        <f>Uo*COS(2*PI()*Wn*Sheet2!A1276) + (Vo/Wn - (Po*(w/Wn))/(K*(1-(w/Wn)^2)))*SIN(2*PI()*Wn*Sheet2!A1276) +(Po*SIN(2*PI()*w*Sheet2!A1276))/(K*(1-(w/Wn)^2))</f>
        <v>-10.196073702723849</v>
      </c>
      <c r="C1276">
        <f t="shared" si="78"/>
        <v>-3.6470514810288139</v>
      </c>
      <c r="D1276">
        <f t="shared" si="79"/>
        <v>-595.72705431685768</v>
      </c>
      <c r="R1276">
        <f t="shared" si="76"/>
        <v>1.274</v>
      </c>
      <c r="S1276">
        <f t="shared" si="77"/>
        <v>-3.6470514810288139</v>
      </c>
    </row>
    <row r="1277" spans="1:19" x14ac:dyDescent="0.3">
      <c r="A1277">
        <v>1.2749999999999999</v>
      </c>
      <c r="B1277">
        <f>Uo*COS(2*PI()*Wn*Sheet2!A1277) + (Vo/Wn - (Po*(w/Wn))/(K*(1-(w/Wn)^2)))*SIN(2*PI()*Wn*Sheet2!A1277) +(Po*SIN(2*PI()*w*Sheet2!A1277))/(K*(1-(w/Wn)^2))</f>
        <v>-9.8834376780763193</v>
      </c>
      <c r="C1277">
        <f t="shared" si="78"/>
        <v>-3.5498094168022791</v>
      </c>
      <c r="D1277">
        <f t="shared" si="79"/>
        <v>-579.84306452984686</v>
      </c>
      <c r="R1277">
        <f t="shared" si="76"/>
        <v>1.2749999999999999</v>
      </c>
      <c r="S1277">
        <f t="shared" si="77"/>
        <v>-3.5498094168022791</v>
      </c>
    </row>
    <row r="1278" spans="1:19" x14ac:dyDescent="0.3">
      <c r="A1278">
        <v>1.276</v>
      </c>
      <c r="B1278">
        <f>Uo*COS(2*PI()*Wn*Sheet2!A1278) + (Vo/Wn - (Po*(w/Wn))/(K*(1-(w/Wn)^2)))*SIN(2*PI()*Wn*Sheet2!A1278) +(Po*SIN(2*PI()*w*Sheet2!A1278))/(K*(1-(w/Wn)^2))</f>
        <v>-9.567572924163068</v>
      </c>
      <c r="C1278">
        <f t="shared" si="78"/>
        <v>-3.451584347398565</v>
      </c>
      <c r="D1278">
        <f t="shared" si="79"/>
        <v>-563.79850591576428</v>
      </c>
      <c r="R1278">
        <f t="shared" si="76"/>
        <v>1.276</v>
      </c>
      <c r="S1278">
        <f t="shared" si="77"/>
        <v>-3.451584347398565</v>
      </c>
    </row>
    <row r="1279" spans="1:19" x14ac:dyDescent="0.3">
      <c r="A1279">
        <v>1.2769999999999999</v>
      </c>
      <c r="B1279">
        <f>Uo*COS(2*PI()*Wn*Sheet2!A1279) + (Vo/Wn - (Po*(w/Wn))/(K*(1-(w/Wn)^2)))*SIN(2*PI()*Wn*Sheet2!A1279) +(Po*SIN(2*PI()*w*Sheet2!A1279))/(K*(1-(w/Wn)^2))</f>
        <v>-9.248582627932743</v>
      </c>
      <c r="C1279">
        <f t="shared" si="78"/>
        <v>-3.3524101072135686</v>
      </c>
      <c r="D1279">
        <f t="shared" si="79"/>
        <v>-547.59890514872109</v>
      </c>
      <c r="R1279">
        <f t="shared" si="76"/>
        <v>1.2769999999999999</v>
      </c>
      <c r="S1279">
        <f t="shared" si="77"/>
        <v>-3.3524101072135686</v>
      </c>
    </row>
    <row r="1280" spans="1:19" x14ac:dyDescent="0.3">
      <c r="A1280">
        <v>1.278</v>
      </c>
      <c r="B1280">
        <f>Uo*COS(2*PI()*Wn*Sheet2!A1280) + (Vo/Wn - (Po*(w/Wn))/(K*(1-(w/Wn)^2)))*SIN(2*PI()*Wn*Sheet2!A1280) +(Po*SIN(2*PI()*w*Sheet2!A1280))/(K*(1-(w/Wn)^2))</f>
        <v>-8.9265709973884562</v>
      </c>
      <c r="C1280">
        <f t="shared" si="78"/>
        <v>-3.2523207793399909</v>
      </c>
      <c r="D1280">
        <f t="shared" si="79"/>
        <v>-531.24982952616904</v>
      </c>
      <c r="R1280">
        <f t="shared" si="76"/>
        <v>1.278</v>
      </c>
      <c r="S1280">
        <f t="shared" si="77"/>
        <v>-3.2523207793399909</v>
      </c>
    </row>
    <row r="1281" spans="1:19" x14ac:dyDescent="0.3">
      <c r="A1281">
        <v>1.2789999999999999</v>
      </c>
      <c r="B1281">
        <f>Uo*COS(2*PI()*Wn*Sheet2!A1281) + (Vo/Wn - (Po*(w/Wn))/(K*(1-(w/Wn)^2)))*SIN(2*PI()*Wn*Sheet2!A1281) +(Po*SIN(2*PI()*w*Sheet2!A1281))/(K*(1-(w/Wn)^2))</f>
        <v>-8.6016432275452672</v>
      </c>
      <c r="C1281">
        <f t="shared" si="78"/>
        <v>-3.1513506839940799</v>
      </c>
      <c r="D1281">
        <f t="shared" si="79"/>
        <v>-514.7568850784686</v>
      </c>
      <c r="R1281">
        <f t="shared" ref="R1281:R1344" si="80">A1281</f>
        <v>1.2789999999999999</v>
      </c>
      <c r="S1281">
        <f t="shared" ref="S1281:S1344" si="81">C1281</f>
        <v>-3.1513506839940799</v>
      </c>
    </row>
    <row r="1282" spans="1:19" x14ac:dyDescent="0.3">
      <c r="A1282">
        <v>1.28</v>
      </c>
      <c r="B1282">
        <f>Uo*COS(2*PI()*Wn*Sheet2!A1282) + (Vo/Wn - (Po*(w/Wn))/(K*(1-(w/Wn)^2)))*SIN(2*PI()*Wn*Sheet2!A1282) +(Po*SIN(2*PI()*w*Sheet2!A1282))/(K*(1-(w/Wn)^2))</f>
        <v>-8.2739054660648783</v>
      </c>
      <c r="C1282">
        <f t="shared" ref="C1282:C1345" si="82">EXP(-zeta*Wn*A1282*2*PI())*($H$1*COS(wnD*2*PI()*A1282) + $H$2*SIN(wnD*2*PI()*A1282)) + $H$3*SIN(w*2*PI()*A1282) + $H$4*COS(w*2*PI()*A1282)</f>
        <v>-3.0495343668857542</v>
      </c>
      <c r="D1282">
        <f t="shared" ref="D1282:D1345" si="83">K*C1282</f>
        <v>-498.12571466920866</v>
      </c>
      <c r="R1282">
        <f t="shared" si="80"/>
        <v>1.28</v>
      </c>
      <c r="S1282">
        <f t="shared" si="81"/>
        <v>-3.0495343668857542</v>
      </c>
    </row>
    <row r="1283" spans="1:19" x14ac:dyDescent="0.3">
      <c r="A1283">
        <v>1.2809999999999999</v>
      </c>
      <c r="B1283">
        <f>Uo*COS(2*PI()*Wn*Sheet2!A1283) + (Vo/Wn - (Po*(w/Wn))/(K*(1-(w/Wn)^2)))*SIN(2*PI()*Wn*Sheet2!A1283) +(Po*SIN(2*PI()*w*Sheet2!A1283))/(K*(1-(w/Wn)^2))</f>
        <v>-7.9434647785794805</v>
      </c>
      <c r="C1283">
        <f t="shared" si="82"/>
        <v>-2.9469065875362577</v>
      </c>
      <c r="D1283">
        <f t="shared" si="83"/>
        <v>-481.36199608695568</v>
      </c>
      <c r="R1283">
        <f t="shared" si="80"/>
        <v>1.2809999999999999</v>
      </c>
      <c r="S1283">
        <f t="shared" si="81"/>
        <v>-2.9469065875362577</v>
      </c>
    </row>
    <row r="1284" spans="1:19" x14ac:dyDescent="0.3">
      <c r="A1284">
        <v>1.282</v>
      </c>
      <c r="B1284">
        <f>Uo*COS(2*PI()*Wn*Sheet2!A1284) + (Vo/Wn - (Po*(w/Wn))/(K*(1-(w/Wn)^2)))*SIN(2*PI()*Wn*Sheet2!A1284) +(Po*SIN(2*PI()*w*Sheet2!A1284))/(K*(1-(w/Wn)^2))</f>
        <v>-7.6104291137150861</v>
      </c>
      <c r="C1284">
        <f t="shared" si="82"/>
        <v>-2.843502307546919</v>
      </c>
      <c r="D1284">
        <f t="shared" si="83"/>
        <v>-464.47144012901595</v>
      </c>
      <c r="R1284">
        <f t="shared" si="80"/>
        <v>1.282</v>
      </c>
      <c r="S1284">
        <f t="shared" si="81"/>
        <v>-2.843502307546919</v>
      </c>
    </row>
    <row r="1285" spans="1:19" x14ac:dyDescent="0.3">
      <c r="A1285">
        <v>1.2829999999999999</v>
      </c>
      <c r="B1285">
        <f>Uo*COS(2*PI()*Wn*Sheet2!A1285) + (Vo/Wn - (Po*(w/Wn))/(K*(1-(w/Wn)^2)))*SIN(2*PI()*Wn*Sheet2!A1285) +(Po*SIN(2*PI()*w*Sheet2!A1285))/(K*(1-(w/Wn)^2))</f>
        <v>-7.2749072678270377</v>
      </c>
      <c r="C1285">
        <f t="shared" si="82"/>
        <v>-2.7393566788233459</v>
      </c>
      <c r="D1285">
        <f t="shared" si="83"/>
        <v>-447.45978867791837</v>
      </c>
      <c r="R1285">
        <f t="shared" si="80"/>
        <v>1.2829999999999999</v>
      </c>
      <c r="S1285">
        <f t="shared" si="81"/>
        <v>-2.7393566788233459</v>
      </c>
    </row>
    <row r="1286" spans="1:19" x14ac:dyDescent="0.3">
      <c r="A1286">
        <v>1.284</v>
      </c>
      <c r="B1286">
        <f>Uo*COS(2*PI()*Wn*Sheet2!A1286) + (Vo/Wn - (Po*(w/Wn))/(K*(1-(w/Wn)^2)))*SIN(2*PI()*Wn*Sheet2!A1286) +(Po*SIN(2*PI()*w*Sheet2!A1286))/(K*(1-(w/Wn)^2))</f>
        <v>-6.9370088494582047</v>
      </c>
      <c r="C1286">
        <f t="shared" si="82"/>
        <v>-2.6345050317586458</v>
      </c>
      <c r="D1286">
        <f t="shared" si="83"/>
        <v>-430.33281277120477</v>
      </c>
      <c r="R1286">
        <f t="shared" si="80"/>
        <v>1.284</v>
      </c>
      <c r="S1286">
        <f t="shared" si="81"/>
        <v>-2.6345050317586458</v>
      </c>
    </row>
    <row r="1287" spans="1:19" x14ac:dyDescent="0.3">
      <c r="A1287">
        <v>1.2849999999999999</v>
      </c>
      <c r="B1287">
        <f>Uo*COS(2*PI()*Wn*Sheet2!A1287) + (Vo/Wn - (Po*(w/Wn))/(K*(1-(w/Wn)^2)))*SIN(2*PI()*Wn*Sheet2!A1287) +(Po*SIN(2*PI()*w*Sheet2!A1287))/(K*(1-(w/Wn)^2))</f>
        <v>-6.5968442435322414</v>
      </c>
      <c r="C1287">
        <f t="shared" si="82"/>
        <v>-2.5289828633798539</v>
      </c>
      <c r="D1287">
        <f t="shared" si="83"/>
        <v>-413.09631066520984</v>
      </c>
      <c r="R1287">
        <f t="shared" si="80"/>
        <v>1.2849999999999999</v>
      </c>
      <c r="S1287">
        <f t="shared" si="81"/>
        <v>-2.5289828633798539</v>
      </c>
    </row>
    <row r="1288" spans="1:19" x14ac:dyDescent="0.3">
      <c r="A1288">
        <v>1.286</v>
      </c>
      <c r="B1288">
        <f>Uo*COS(2*PI()*Wn*Sheet2!A1288) + (Vo/Wn - (Po*(w/Wn))/(K*(1-(w/Wn)^2)))*SIN(2*PI()*Wn*Sheet2!A1288) +(Po*SIN(2*PI()*w*Sheet2!A1288))/(K*(1-(w/Wn)^2))</f>
        <v>-6.2545245752924821</v>
      </c>
      <c r="C1288">
        <f t="shared" si="82"/>
        <v>-2.4228258254611563</v>
      </c>
      <c r="D1288">
        <f t="shared" si="83"/>
        <v>-395.75610589341733</v>
      </c>
      <c r="R1288">
        <f t="shared" si="80"/>
        <v>1.286</v>
      </c>
      <c r="S1288">
        <f t="shared" si="81"/>
        <v>-2.4228258254611563</v>
      </c>
    </row>
    <row r="1289" spans="1:19" x14ac:dyDescent="0.3">
      <c r="A1289">
        <v>1.2869999999999999</v>
      </c>
      <c r="B1289">
        <f>Uo*COS(2*PI()*Wn*Sheet2!A1289) + (Vo/Wn - (Po*(w/Wn))/(K*(1-(w/Wn)^2)))*SIN(2*PI()*Wn*Sheet2!A1289) +(Po*SIN(2*PI()*w*Sheet2!A1289))/(K*(1-(w/Wn)^2))</f>
        <v>-5.9101616740000669</v>
      </c>
      <c r="C1289">
        <f t="shared" si="82"/>
        <v>-2.316069712608396</v>
      </c>
      <c r="D1289">
        <f t="shared" si="83"/>
        <v>-378.31804532012586</v>
      </c>
      <c r="R1289">
        <f t="shared" si="80"/>
        <v>1.2869999999999999</v>
      </c>
      <c r="S1289">
        <f t="shared" si="81"/>
        <v>-2.316069712608396</v>
      </c>
    </row>
    <row r="1290" spans="1:19" x14ac:dyDescent="0.3">
      <c r="A1290">
        <v>1.288</v>
      </c>
      <c r="B1290">
        <f>Uo*COS(2*PI()*Wn*Sheet2!A1290) + (Vo/Wn - (Po*(w/Wn))/(K*(1-(w/Wn)^2)))*SIN(2*PI()*Wn*Sheet2!A1290) +(Po*SIN(2*PI()*w*Sheet2!A1290))/(K*(1-(w/Wn)^2))</f>
        <v>-5.5638680364006587</v>
      </c>
      <c r="C1290">
        <f t="shared" si="82"/>
        <v>-2.2087504503180519</v>
      </c>
      <c r="D1290">
        <f t="shared" si="83"/>
        <v>-360.78799718994435</v>
      </c>
      <c r="R1290">
        <f t="shared" si="80"/>
        <v>1.288</v>
      </c>
      <c r="S1290">
        <f t="shared" si="81"/>
        <v>-2.2087504503180519</v>
      </c>
    </row>
    <row r="1291" spans="1:19" x14ac:dyDescent="0.3">
      <c r="A1291">
        <v>1.2889999999999999</v>
      </c>
      <c r="B1291">
        <f>Uo*COS(2*PI()*Wn*Sheet2!A1291) + (Vo/Wn - (Po*(w/Wn))/(K*(1-(w/Wn)^2)))*SIN(2*PI()*Wn*Sheet2!A1291) +(Po*SIN(2*PI()*w*Sheet2!A1291))/(K*(1-(w/Wn)^2))</f>
        <v>-5.2157567899748623</v>
      </c>
      <c r="C1291">
        <f t="shared" si="82"/>
        <v>-2.100904083015589</v>
      </c>
      <c r="D1291">
        <f t="shared" si="83"/>
        <v>-343.17184917391842</v>
      </c>
      <c r="R1291">
        <f t="shared" si="80"/>
        <v>1.2889999999999999</v>
      </c>
      <c r="S1291">
        <f t="shared" si="81"/>
        <v>-2.100904083015589</v>
      </c>
    </row>
    <row r="1292" spans="1:19" x14ac:dyDescent="0.3">
      <c r="A1292">
        <v>1.29</v>
      </c>
      <c r="B1292">
        <f>Uo*COS(2*PI()*Wn*Sheet2!A1292) + (Vo/Wn - (Po*(w/Wn))/(K*(1-(w/Wn)^2)))*SIN(2*PI()*Wn*Sheet2!A1292) +(Po*SIN(2*PI()*w*Sheet2!A1292))/(K*(1-(w/Wn)^2))</f>
        <v>-4.8659416559808371</v>
      </c>
      <c r="C1292">
        <f t="shared" si="82"/>
        <v>-1.9925667620760572</v>
      </c>
      <c r="D1292">
        <f t="shared" si="83"/>
        <v>-325.475506412757</v>
      </c>
      <c r="R1292">
        <f t="shared" si="80"/>
        <v>1.29</v>
      </c>
      <c r="S1292">
        <f t="shared" si="81"/>
        <v>-1.9925667620760572</v>
      </c>
    </row>
    <row r="1293" spans="1:19" x14ac:dyDescent="0.3">
      <c r="A1293">
        <v>1.2909999999999999</v>
      </c>
      <c r="B1293">
        <f>Uo*COS(2*PI()*Wn*Sheet2!A1293) + (Vo/Wn - (Po*(w/Wn))/(K*(1-(w/Wn)^2)))*SIN(2*PI()*Wn*Sheet2!A1293) +(Po*SIN(2*PI()*w*Sheet2!A1293))/(K*(1-(w/Wn)^2))</f>
        <v>-4.5145369123044272</v>
      </c>
      <c r="C1293">
        <f t="shared" si="82"/>
        <v>-1.883774733831882</v>
      </c>
      <c r="D1293">
        <f t="shared" si="83"/>
        <v>-307.70488955796657</v>
      </c>
      <c r="R1293">
        <f t="shared" si="80"/>
        <v>1.2909999999999999</v>
      </c>
      <c r="S1293">
        <f t="shared" si="81"/>
        <v>-1.883774733831882</v>
      </c>
    </row>
    <row r="1294" spans="1:19" x14ac:dyDescent="0.3">
      <c r="A1294">
        <v>1.292</v>
      </c>
      <c r="B1294">
        <f>Uo*COS(2*PI()*Wn*Sheet2!A1294) + (Vo/Wn - (Po*(w/Wn))/(K*(1-(w/Wn)^2)))*SIN(2*PI()*Wn*Sheet2!A1294) +(Po*SIN(2*PI()*w*Sheet2!A1294))/(K*(1-(w/Wn)^2))</f>
        <v>-4.1616573561259509</v>
      </c>
      <c r="C1294">
        <f t="shared" si="82"/>
        <v>-1.7745643275708414</v>
      </c>
      <c r="D1294">
        <f t="shared" si="83"/>
        <v>-289.86593281138289</v>
      </c>
      <c r="R1294">
        <f t="shared" si="80"/>
        <v>1.292</v>
      </c>
      <c r="S1294">
        <f t="shared" si="81"/>
        <v>-1.7745643275708414</v>
      </c>
    </row>
    <row r="1295" spans="1:19" x14ac:dyDescent="0.3">
      <c r="A1295">
        <v>1.2929999999999999</v>
      </c>
      <c r="B1295">
        <f>Uo*COS(2*PI()*Wn*Sheet2!A1295) + (Vo/Wn - (Po*(w/Wn))/(K*(1-(w/Wn)^2)))*SIN(2*PI()*Wn*Sheet2!A1295) +(Po*SIN(2*PI()*w*Sheet2!A1295))/(K*(1-(w/Wn)^2))</f>
        <v>-3.8074182664191261</v>
      </c>
      <c r="C1295">
        <f t="shared" si="82"/>
        <v>-1.6649719435292012</v>
      </c>
      <c r="D1295">
        <f t="shared" si="83"/>
        <v>-271.9645819639112</v>
      </c>
      <c r="R1295">
        <f t="shared" si="80"/>
        <v>1.2929999999999999</v>
      </c>
      <c r="S1295">
        <f t="shared" si="81"/>
        <v>-1.6649719435292012</v>
      </c>
    </row>
    <row r="1296" spans="1:19" x14ac:dyDescent="0.3">
      <c r="A1296">
        <v>1.294</v>
      </c>
      <c r="B1296">
        <f>Uo*COS(2*PI()*Wn*Sheet2!A1296) + (Vo/Wn - (Po*(w/Wn))/(K*(1-(w/Wn)^2)))*SIN(2*PI()*Wn*Sheet2!A1296) +(Po*SIN(2*PI()*w*Sheet2!A1296))/(K*(1-(w/Wn)^2))</f>
        <v>-3.4519353662908152</v>
      </c>
      <c r="C1296">
        <f t="shared" si="82"/>
        <v>-1.555034040882822</v>
      </c>
      <c r="D1296">
        <f t="shared" si="83"/>
        <v>-254.00679243393566</v>
      </c>
      <c r="R1296">
        <f t="shared" si="80"/>
        <v>1.294</v>
      </c>
      <c r="S1296">
        <f t="shared" si="81"/>
        <v>-1.555034040882822</v>
      </c>
    </row>
    <row r="1297" spans="1:19" x14ac:dyDescent="0.3">
      <c r="A1297">
        <v>1.2949999999999999</v>
      </c>
      <c r="B1297">
        <f>Uo*COS(2*PI()*Wn*Sheet2!A1297) + (Vo/Wn - (Po*(w/Wn))/(K*(1-(w/Wn)^2)))*SIN(2*PI()*Wn*Sheet2!A1297) +(Po*SIN(2*PI()*w*Sheet2!A1297))/(K*(1-(w/Wn)^2))</f>
        <v>-3.0953247851772083</v>
      </c>
      <c r="C1297">
        <f t="shared" si="82"/>
        <v>-1.4447871257411844</v>
      </c>
      <c r="D1297">
        <f t="shared" si="83"/>
        <v>-235.99852730620537</v>
      </c>
      <c r="R1297">
        <f t="shared" si="80"/>
        <v>1.2949999999999999</v>
      </c>
      <c r="S1297">
        <f t="shared" si="81"/>
        <v>-1.4447871257411844</v>
      </c>
    </row>
    <row r="1298" spans="1:19" x14ac:dyDescent="0.3">
      <c r="A1298">
        <v>1.296</v>
      </c>
      <c r="B1298">
        <f>Uo*COS(2*PI()*Wn*Sheet2!A1298) + (Vo/Wn - (Po*(w/Wn))/(K*(1-(w/Wn)^2)))*SIN(2*PI()*Wn*Sheet2!A1298) +(Po*SIN(2*PI()*w*Sheet2!A1298))/(K*(1-(w/Wn)^2))</f>
        <v>-2.7377030209057232</v>
      </c>
      <c r="C1298">
        <f t="shared" si="82"/>
        <v>-1.3342677391472988</v>
      </c>
      <c r="D1298">
        <f t="shared" si="83"/>
        <v>-217.94575537168129</v>
      </c>
      <c r="R1298">
        <f t="shared" si="80"/>
        <v>1.296</v>
      </c>
      <c r="S1298">
        <f t="shared" si="81"/>
        <v>-1.3342677391472988</v>
      </c>
    </row>
    <row r="1299" spans="1:19" x14ac:dyDescent="0.3">
      <c r="A1299">
        <v>1.2969999999999999</v>
      </c>
      <c r="B1299">
        <f>Uo*COS(2*PI()*Wn*Sheet2!A1299) + (Vo/Wn - (Po*(w/Wn))/(K*(1-(w/Wn)^2)))*SIN(2*PI()*Wn*Sheet2!A1299) +(Po*SIN(2*PI()*w*Sheet2!A1299))/(K*(1-(w/Wn)^2))</f>
        <v>-2.3791869016383838</v>
      </c>
      <c r="C1299">
        <f t="shared" si="82"/>
        <v>-1.2235124450884551</v>
      </c>
      <c r="D1299">
        <f t="shared" si="83"/>
        <v>-199.85444916915415</v>
      </c>
      <c r="R1299">
        <f t="shared" si="80"/>
        <v>1.2969999999999999</v>
      </c>
      <c r="S1299">
        <f t="shared" si="81"/>
        <v>-1.2235124450884551</v>
      </c>
    </row>
    <row r="1300" spans="1:19" x14ac:dyDescent="0.3">
      <c r="A1300">
        <v>1.298</v>
      </c>
      <c r="B1300">
        <f>Uo*COS(2*PI()*Wn*Sheet2!A1300) + (Vo/Wn - (Po*(w/Wn))/(K*(1-(w/Wn)^2)))*SIN(2*PI()*Wn*Sheet2!A1300) +(Po*SIN(2*PI()*w*Sheet2!A1300))/(K*(1-(w/Wn)^2))</f>
        <v>-2.0198935477054651</v>
      </c>
      <c r="C1300">
        <f t="shared" si="82"/>
        <v>-1.1125578185205582</v>
      </c>
      <c r="D1300">
        <f t="shared" si="83"/>
        <v>-181.73058302908143</v>
      </c>
      <c r="R1300">
        <f t="shared" si="80"/>
        <v>1.298</v>
      </c>
      <c r="S1300">
        <f t="shared" si="81"/>
        <v>-1.1125578185205582</v>
      </c>
    </row>
    <row r="1301" spans="1:19" x14ac:dyDescent="0.3">
      <c r="A1301">
        <v>1.2989999999999999</v>
      </c>
      <c r="B1301">
        <f>Uo*COS(2*PI()*Wn*Sheet2!A1301) + (Vo/Wn - (Po*(w/Wn))/(K*(1-(w/Wn)^2)))*SIN(2*PI()*Wn*Sheet2!A1301) +(Po*SIN(2*PI()*w*Sheet2!A1301))/(K*(1-(w/Wn)^2))</f>
        <v>-1.6599403333452314</v>
      </c>
      <c r="C1301">
        <f t="shared" si="82"/>
        <v>-1.0014404334110005</v>
      </c>
      <c r="D1301">
        <f t="shared" si="83"/>
        <v>-163.58013112045217</v>
      </c>
      <c r="R1301">
        <f t="shared" si="80"/>
        <v>1.2989999999999999</v>
      </c>
      <c r="S1301">
        <f t="shared" si="81"/>
        <v>-1.0014404334110005</v>
      </c>
    </row>
    <row r="1302" spans="1:19" x14ac:dyDescent="0.3">
      <c r="A1302">
        <v>1.3</v>
      </c>
      <c r="B1302">
        <f>Uo*COS(2*PI()*Wn*Sheet2!A1302) + (Vo/Wn - (Po*(w/Wn))/(K*(1-(w/Wn)^2)))*SIN(2*PI()*Wn*Sheet2!A1302) +(Po*SIN(2*PI()*w*Sheet2!A1302))/(K*(1-(w/Wn)^2))</f>
        <v>-1.2994448483591801</v>
      </c>
      <c r="C1302">
        <f t="shared" si="82"/>
        <v>-0.89019685080295974</v>
      </c>
      <c r="D1302">
        <f t="shared" si="83"/>
        <v>-145.4090655011515</v>
      </c>
      <c r="R1302">
        <f t="shared" si="80"/>
        <v>1.3</v>
      </c>
      <c r="S1302">
        <f t="shared" si="81"/>
        <v>-0.89019685080295974</v>
      </c>
    </row>
    <row r="1303" spans="1:19" x14ac:dyDescent="0.3">
      <c r="A1303">
        <v>1.3009999999999999</v>
      </c>
      <c r="B1303">
        <f>Uo*COS(2*PI()*Wn*Sheet2!A1303) + (Vo/Wn - (Po*(w/Wn))/(K*(1-(w/Wn)^2)))*SIN(2*PI()*Wn*Sheet2!A1303) +(Po*SIN(2*PI()*w*Sheet2!A1303))/(K*(1-(w/Wn)^2))</f>
        <v>-0.93852485969870181</v>
      </c>
      <c r="C1303">
        <f t="shared" si="82"/>
        <v>-0.77886360690604162</v>
      </c>
      <c r="D1303">
        <f t="shared" si="83"/>
        <v>-127.22335417262879</v>
      </c>
      <c r="R1303">
        <f t="shared" si="80"/>
        <v>1.3009999999999999</v>
      </c>
      <c r="S1303">
        <f t="shared" si="81"/>
        <v>-0.77886360690604162</v>
      </c>
    </row>
    <row r="1304" spans="1:19" x14ac:dyDescent="0.3">
      <c r="A1304">
        <v>1.302</v>
      </c>
      <c r="B1304">
        <f>Uo*COS(2*PI()*Wn*Sheet2!A1304) + (Vo/Wn - (Po*(w/Wn))/(K*(1-(w/Wn)^2)))*SIN(2*PI()*Wn*Sheet2!A1304) +(Po*SIN(2*PI()*w*Sheet2!A1304))/(K*(1-(w/Wn)^2))</f>
        <v>-0.5772982729920314</v>
      </c>
      <c r="C1304">
        <f t="shared" si="82"/>
        <v>-0.66747720121596488</v>
      </c>
      <c r="D1304">
        <f t="shared" si="83"/>
        <v>-109.02895913930909</v>
      </c>
      <c r="R1304">
        <f t="shared" si="80"/>
        <v>1.302</v>
      </c>
      <c r="S1304">
        <f t="shared" si="81"/>
        <v>-0.66747720121596488</v>
      </c>
    </row>
    <row r="1305" spans="1:19" x14ac:dyDescent="0.3">
      <c r="A1305">
        <v>1.3029999999999999</v>
      </c>
      <c r="B1305">
        <f>Uo*COS(2*PI()*Wn*Sheet2!A1305) + (Vo/Wn - (Po*(w/Wn))/(K*(1-(w/Wn)^2)))*SIN(2*PI()*Wn*Sheet2!A1305) +(Po*SIN(2*PI()*w*Sheet2!A1305))/(K*(1-(w/Wn)^2))</f>
        <v>-0.21588309402745098</v>
      </c>
      <c r="C1305">
        <f t="shared" si="82"/>
        <v>-0.55607408466816366</v>
      </c>
      <c r="D1305">
        <f t="shared" si="83"/>
        <v>-90.831834473545456</v>
      </c>
      <c r="R1305">
        <f t="shared" si="80"/>
        <v>1.3029999999999999</v>
      </c>
      <c r="S1305">
        <f t="shared" si="81"/>
        <v>-0.55607408466816366</v>
      </c>
    </row>
    <row r="1306" spans="1:19" x14ac:dyDescent="0.3">
      <c r="A1306">
        <v>1.304</v>
      </c>
      <c r="B1306">
        <f>Uo*COS(2*PI()*Wn*Sheet2!A1306) + (Vo/Wn - (Po*(w/Wn))/(K*(1-(w/Wn)^2)))*SIN(2*PI()*Wn*Sheet2!A1306) +(Po*SIN(2*PI()*w*Sheet2!A1306))/(K*(1-(w/Wn)^2))</f>
        <v>0.14560260979778578</v>
      </c>
      <c r="C1306">
        <f t="shared" si="82"/>
        <v>-0.44469064782815065</v>
      </c>
      <c r="D1306">
        <f t="shared" si="83"/>
        <v>-72.637924386575548</v>
      </c>
      <c r="R1306">
        <f t="shared" si="80"/>
        <v>1.304</v>
      </c>
      <c r="S1306">
        <f t="shared" si="81"/>
        <v>-0.44469064782815065</v>
      </c>
    </row>
    <row r="1307" spans="1:19" x14ac:dyDescent="0.3">
      <c r="A1307">
        <v>1.3049999999999999</v>
      </c>
      <c r="B1307">
        <f>Uo*COS(2*PI()*Wn*Sheet2!A1307) + (Vo/Wn - (Po*(w/Wn))/(K*(1-(w/Wn)^2)))*SIN(2*PI()*Wn*Sheet2!A1307) +(Po*SIN(2*PI()*w*Sheet2!A1307))/(K*(1-(w/Wn)^2))</f>
        <v>0.50704074804681054</v>
      </c>
      <c r="C1307">
        <f t="shared" si="82"/>
        <v>-0.33336320912347972</v>
      </c>
      <c r="D1307">
        <f t="shared" si="83"/>
        <v>-54.453161306273365</v>
      </c>
      <c r="R1307">
        <f t="shared" si="80"/>
        <v>1.3049999999999999</v>
      </c>
      <c r="S1307">
        <f t="shared" si="81"/>
        <v>-0.33336320912347972</v>
      </c>
    </row>
    <row r="1308" spans="1:19" x14ac:dyDescent="0.3">
      <c r="A1308">
        <v>1.306</v>
      </c>
      <c r="B1308">
        <f>Uo*COS(2*PI()*Wn*Sheet2!A1308) + (Vo/Wn - (Po*(w/Wn))/(K*(1-(w/Wn)^2)))*SIN(2*PI()*Wn*Sheet2!A1308) +(Po*SIN(2*PI()*w*Sheet2!A1308))/(K*(1-(w/Wn)^2))</f>
        <v>0.86831324582187031</v>
      </c>
      <c r="C1308">
        <f t="shared" si="82"/>
        <v>-0.22212800311993347</v>
      </c>
      <c r="D1308">
        <f t="shared" si="83"/>
        <v>-36.283463962125047</v>
      </c>
      <c r="R1308">
        <f t="shared" si="80"/>
        <v>1.306</v>
      </c>
      <c r="S1308">
        <f t="shared" si="81"/>
        <v>-0.22212800311993347</v>
      </c>
    </row>
    <row r="1309" spans="1:19" x14ac:dyDescent="0.3">
      <c r="A1309">
        <v>1.3069999999999999</v>
      </c>
      <c r="B1309">
        <f>Uo*COS(2*PI()*Wn*Sheet2!A1309) + (Vo/Wn - (Po*(w/Wn))/(K*(1-(w/Wn)^2)))*SIN(2*PI()*Wn*Sheet2!A1309) +(Po*SIN(2*PI()*w*Sheet2!A1309))/(K*(1-(w/Wn)^2))</f>
        <v>1.2293020823364895</v>
      </c>
      <c r="C1309">
        <f t="shared" si="82"/>
        <v>-0.11102116884671571</v>
      </c>
      <c r="D1309">
        <f t="shared" si="83"/>
        <v>-18.134735478209144</v>
      </c>
      <c r="R1309">
        <f t="shared" si="80"/>
        <v>1.3069999999999999</v>
      </c>
      <c r="S1309">
        <f t="shared" si="81"/>
        <v>-0.11102116884671571</v>
      </c>
    </row>
    <row r="1310" spans="1:19" x14ac:dyDescent="0.3">
      <c r="A1310">
        <v>1.3080000000000001</v>
      </c>
      <c r="B1310">
        <f>Uo*COS(2*PI()*Wn*Sheet2!A1310) + (Vo/Wn - (Po*(w/Wn))/(K*(1-(w/Wn)^2)))*SIN(2*PI()*Wn*Sheet2!A1310) +(Po*SIN(2*PI()*w*Sheet2!A1310))/(K*(1-(w/Wn)^2))</f>
        <v>1.5898893294710916</v>
      </c>
      <c r="C1310">
        <f t="shared" si="82"/>
        <v>-7.8738173555984746E-5</v>
      </c>
      <c r="D1310">
        <f t="shared" si="83"/>
        <v>-1.286147465666271E-2</v>
      </c>
      <c r="R1310">
        <f t="shared" si="80"/>
        <v>1.3080000000000001</v>
      </c>
      <c r="S1310">
        <f t="shared" si="81"/>
        <v>-7.8738173555984746E-5</v>
      </c>
    </row>
    <row r="1311" spans="1:19" x14ac:dyDescent="0.3">
      <c r="A1311">
        <v>1.3089999999999999</v>
      </c>
      <c r="B1311">
        <f>Uo*COS(2*PI()*Wn*Sheet2!A1311) + (Vo/Wn - (Po*(w/Wn))/(K*(1-(w/Wn)^2)))*SIN(2*PI()*Wn*Sheet2!A1311) +(Po*SIN(2*PI()*w*Sheet2!A1311))/(K*(1-(w/Wn)^2))</f>
        <v>1.9499571902975663</v>
      </c>
      <c r="C1311">
        <f t="shared" si="82"/>
        <v>0.11066337575598065</v>
      </c>
      <c r="D1311">
        <f t="shared" si="83"/>
        <v>18.076291821708196</v>
      </c>
      <c r="R1311">
        <f t="shared" si="80"/>
        <v>1.3089999999999999</v>
      </c>
      <c r="S1311">
        <f t="shared" si="81"/>
        <v>0.11066337575598065</v>
      </c>
    </row>
    <row r="1312" spans="1:19" x14ac:dyDescent="0.3">
      <c r="A1312">
        <v>1.31</v>
      </c>
      <c r="B1312">
        <f>Uo*COS(2*PI()*Wn*Sheet2!A1312) + (Vo/Wn - (Po*(w/Wn))/(K*(1-(w/Wn)^2)))*SIN(2*PI()*Wn*Sheet2!A1312) +(Po*SIN(2*PI()*w*Sheet2!A1312))/(K*(1-(w/Wn)^2))</f>
        <v>2.3093880375614049</v>
      </c>
      <c r="C1312">
        <f t="shared" si="82"/>
        <v>0.22116939003167629</v>
      </c>
      <c r="D1312">
        <f t="shared" si="83"/>
        <v>36.126879457006972</v>
      </c>
      <c r="R1312">
        <f t="shared" si="80"/>
        <v>1.31</v>
      </c>
      <c r="S1312">
        <f t="shared" si="81"/>
        <v>0.22116939003167629</v>
      </c>
    </row>
    <row r="1313" spans="1:19" x14ac:dyDescent="0.3">
      <c r="A1313">
        <v>1.3109999999999999</v>
      </c>
      <c r="B1313">
        <f>Uo*COS(2*PI()*Wn*Sheet2!A1313) + (Vo/Wn - (Po*(w/Wn))/(K*(1-(w/Wn)^2)))*SIN(2*PI()*Wn*Sheet2!A1313) +(Po*SIN(2*PI()*w*Sheet2!A1313))/(K*(1-(w/Wn)^2))</f>
        <v>2.6680644521079833</v>
      </c>
      <c r="C1313">
        <f t="shared" si="82"/>
        <v>0.33140366342042665</v>
      </c>
      <c r="D1313">
        <f t="shared" si="83"/>
        <v>54.133079619587178</v>
      </c>
      <c r="R1313">
        <f t="shared" si="80"/>
        <v>1.3109999999999999</v>
      </c>
      <c r="S1313">
        <f t="shared" si="81"/>
        <v>0.33140366342042665</v>
      </c>
    </row>
    <row r="1314" spans="1:19" x14ac:dyDescent="0.3">
      <c r="A1314">
        <v>1.3120000000000001</v>
      </c>
      <c r="B1314">
        <f>Uo*COS(2*PI()*Wn*Sheet2!A1314) + (Vo/Wn - (Po*(w/Wn))/(K*(1-(w/Wn)^2)))*SIN(2*PI()*Wn*Sheet2!A1314) +(Po*SIN(2*PI()*w*Sheet2!A1314))/(K*(1-(w/Wn)^2))</f>
        <v>3.0258692612415694</v>
      </c>
      <c r="C1314">
        <f t="shared" si="82"/>
        <v>0.44133070774331729</v>
      </c>
      <c r="D1314">
        <f t="shared" si="83"/>
        <v>72.08909549840908</v>
      </c>
      <c r="R1314">
        <f t="shared" si="80"/>
        <v>1.3120000000000001</v>
      </c>
      <c r="S1314">
        <f t="shared" si="81"/>
        <v>0.44133070774331729</v>
      </c>
    </row>
    <row r="1315" spans="1:19" x14ac:dyDescent="0.3">
      <c r="A1315">
        <v>1.3129999999999999</v>
      </c>
      <c r="B1315">
        <f>Uo*COS(2*PI()*Wn*Sheet2!A1315) + (Vo/Wn - (Po*(w/Wn))/(K*(1-(w/Wn)^2)))*SIN(2*PI()*Wn*Sheet2!A1315) +(Po*SIN(2*PI()*w*Sheet2!A1315))/(K*(1-(w/Wn)^2))</f>
        <v>3.3826855770031061</v>
      </c>
      <c r="C1315">
        <f t="shared" si="82"/>
        <v>0.55091519918198484</v>
      </c>
      <c r="D1315">
        <f t="shared" si="83"/>
        <v>89.989157129881434</v>
      </c>
      <c r="R1315">
        <f t="shared" si="80"/>
        <v>1.3129999999999999</v>
      </c>
      <c r="S1315">
        <f t="shared" si="81"/>
        <v>0.55091519918198484</v>
      </c>
    </row>
    <row r="1316" spans="1:19" x14ac:dyDescent="0.3">
      <c r="A1316">
        <v>1.3140000000000001</v>
      </c>
      <c r="B1316">
        <f>Uo*COS(2*PI()*Wn*Sheet2!A1316) + (Vo/Wn - (Po*(w/Wn))/(K*(1-(w/Wn)^2)))*SIN(2*PI()*Wn*Sheet2!A1316) +(Po*SIN(2*PI()*w*Sheet2!A1316))/(K*(1-(w/Wn)^2))</f>
        <v>3.7383968343554081</v>
      </c>
      <c r="C1316">
        <f t="shared" si="82"/>
        <v>0.66012198951104317</v>
      </c>
      <c r="D1316">
        <f t="shared" si="83"/>
        <v>107.82752323262048</v>
      </c>
      <c r="R1316">
        <f t="shared" si="80"/>
        <v>1.3140000000000001</v>
      </c>
      <c r="S1316">
        <f t="shared" si="81"/>
        <v>0.66012198951104317</v>
      </c>
    </row>
    <row r="1317" spans="1:19" x14ac:dyDescent="0.3">
      <c r="A1317">
        <v>1.3149999999999999</v>
      </c>
      <c r="B1317">
        <f>Uo*COS(2*PI()*Wn*Sheet2!A1317) + (Vo/Wn - (Po*(w/Wn))/(K*(1-(w/Wn)^2)))*SIN(2*PI()*Wn*Sheet2!A1317) +(Po*SIN(2*PI()*w*Sheet2!A1317))/(K*(1-(w/Wn)^2))</f>
        <v>4.0928868292624374</v>
      </c>
      <c r="C1317">
        <f t="shared" si="82"/>
        <v>0.76891611725278797</v>
      </c>
      <c r="D1317">
        <f t="shared" si="83"/>
        <v>125.59848302951333</v>
      </c>
      <c r="R1317">
        <f t="shared" si="80"/>
        <v>1.3149999999999999</v>
      </c>
      <c r="S1317">
        <f t="shared" si="81"/>
        <v>0.76891611725278797</v>
      </c>
    </row>
    <row r="1318" spans="1:19" x14ac:dyDescent="0.3">
      <c r="A1318">
        <v>1.3160000000000001</v>
      </c>
      <c r="B1318">
        <f>Uo*COS(2*PI()*Wn*Sheet2!A1318) + (Vo/Wn - (Po*(w/Wn))/(K*(1-(w/Wn)^2)))*SIN(2*PI()*Wn*Sheet2!A1318) +(Po*SIN(2*PI()*w*Sheet2!A1318))/(K*(1-(w/Wn)^2))</f>
        <v>4.4460397566513512</v>
      </c>
      <c r="C1318">
        <f t="shared" si="82"/>
        <v>0.87726281875101964</v>
      </c>
      <c r="D1318">
        <f t="shared" si="83"/>
        <v>143.29635805656986</v>
      </c>
      <c r="R1318">
        <f t="shared" si="80"/>
        <v>1.3160000000000001</v>
      </c>
      <c r="S1318">
        <f t="shared" si="81"/>
        <v>0.87726281875101964</v>
      </c>
    </row>
    <row r="1319" spans="1:19" x14ac:dyDescent="0.3">
      <c r="A1319">
        <v>1.3169999999999999</v>
      </c>
      <c r="B1319">
        <f>Uo*COS(2*PI()*Wn*Sheet2!A1319) + (Vo/Wn - (Po*(w/Wn))/(K*(1-(w/Wn)^2)))*SIN(2*PI()*Wn*Sheet2!A1319) +(Po*SIN(2*PI()*w*Sheet2!A1319))/(K*(1-(w/Wn)^2))</f>
        <v>4.7977402482435139</v>
      </c>
      <c r="C1319">
        <f t="shared" si="82"/>
        <v>0.98512753916008944</v>
      </c>
      <c r="D1319">
        <f t="shared" si="83"/>
        <v>160.9155039579268</v>
      </c>
      <c r="R1319">
        <f t="shared" si="80"/>
        <v>1.3169999999999999</v>
      </c>
      <c r="S1319">
        <f t="shared" si="81"/>
        <v>0.98512753916008944</v>
      </c>
    </row>
    <row r="1320" spans="1:19" x14ac:dyDescent="0.3">
      <c r="A1320">
        <v>1.3180000000000001</v>
      </c>
      <c r="B1320">
        <f>Uo*COS(2*PI()*Wn*Sheet2!A1320) + (Vo/Wn - (Po*(w/Wn))/(K*(1-(w/Wn)^2)))*SIN(2*PI()*Wn*Sheet2!A1320) +(Po*SIN(2*PI()*w*Sheet2!A1320))/(K*(1-(w/Wn)^2))</f>
        <v>5.1478734102432391</v>
      </c>
      <c r="C1320">
        <f t="shared" si="82"/>
        <v>1.0924759433460742</v>
      </c>
      <c r="D1320">
        <f t="shared" si="83"/>
        <v>178.45031226649834</v>
      </c>
      <c r="R1320">
        <f t="shared" si="80"/>
        <v>1.3180000000000001</v>
      </c>
      <c r="S1320">
        <f t="shared" si="81"/>
        <v>1.0924759433460742</v>
      </c>
    </row>
    <row r="1321" spans="1:19" x14ac:dyDescent="0.3">
      <c r="A1321">
        <v>1.319</v>
      </c>
      <c r="B1321">
        <f>Uo*COS(2*PI()*Wn*Sheet2!A1321) + (Vo/Wn - (Po*(w/Wn))/(K*(1-(w/Wn)^2)))*SIN(2*PI()*Wn*Sheet2!A1321) +(Po*SIN(2*PI()*w*Sheet2!A1321))/(K*(1-(w/Wn)^2))</f>
        <v>5.4963248608711082</v>
      </c>
      <c r="C1321">
        <f t="shared" si="82"/>
        <v>1.1992739266964305</v>
      </c>
      <c r="D1321">
        <f t="shared" si="83"/>
        <v>195.89521216967739</v>
      </c>
      <c r="R1321">
        <f t="shared" si="80"/>
        <v>1.319</v>
      </c>
      <c r="S1321">
        <f t="shared" si="81"/>
        <v>1.1992739266964305</v>
      </c>
    </row>
    <row r="1322" spans="1:19" x14ac:dyDescent="0.3">
      <c r="A1322">
        <v>1.32</v>
      </c>
      <c r="B1322">
        <f>Uo*COS(2*PI()*Wn*Sheet2!A1322) + (Vo/Wn - (Po*(w/Wn))/(K*(1-(w/Wn)^2)))*SIN(2*PI()*Wn*Sheet2!A1322) +(Po*SIN(2*PI()*w*Sheet2!A1322))/(K*(1-(w/Wn)^2))</f>
        <v>5.8429807677307828</v>
      </c>
      <c r="C1322">
        <f t="shared" si="82"/>
        <v>1.3054876258351216</v>
      </c>
      <c r="D1322">
        <f t="shared" si="83"/>
        <v>213.2446722595964</v>
      </c>
      <c r="R1322">
        <f t="shared" si="80"/>
        <v>1.32</v>
      </c>
      <c r="S1322">
        <f t="shared" si="81"/>
        <v>1.3054876258351216</v>
      </c>
    </row>
    <row r="1323" spans="1:19" x14ac:dyDescent="0.3">
      <c r="A1323">
        <v>1.321</v>
      </c>
      <c r="B1323">
        <f>Uo*COS(2*PI()*Wn*Sheet2!A1323) + (Vo/Wn - (Po*(w/Wn))/(K*(1-(w/Wn)^2)))*SIN(2*PI()*Wn*Sheet2!A1323) +(Po*SIN(2*PI()*w*Sheet2!A1323))/(K*(1-(w/Wn)^2))</f>
        <v>6.1877278849952493</v>
      </c>
      <c r="C1323">
        <f t="shared" si="82"/>
        <v>1.411083429239318</v>
      </c>
      <c r="D1323">
        <f t="shared" si="83"/>
        <v>230.49320226731058</v>
      </c>
      <c r="R1323">
        <f t="shared" si="80"/>
        <v>1.321</v>
      </c>
      <c r="S1323">
        <f t="shared" si="81"/>
        <v>1.411083429239318</v>
      </c>
    </row>
    <row r="1324" spans="1:19" x14ac:dyDescent="0.3">
      <c r="A1324">
        <v>1.3220000000000001</v>
      </c>
      <c r="B1324">
        <f>Uo*COS(2*PI()*Wn*Sheet2!A1324) + (Vo/Wn - (Po*(w/Wn))/(K*(1-(w/Wn)^2)))*SIN(2*PI()*Wn*Sheet2!A1324) +(Po*SIN(2*PI()*w*Sheet2!A1324))/(K*(1-(w/Wn)^2))</f>
        <v>6.5304535904028658</v>
      </c>
      <c r="C1324">
        <f t="shared" si="82"/>
        <v>1.5160279877551706</v>
      </c>
      <c r="D1324">
        <f t="shared" si="83"/>
        <v>247.63535478049525</v>
      </c>
      <c r="R1324">
        <f t="shared" si="80"/>
        <v>1.3220000000000001</v>
      </c>
      <c r="S1324">
        <f t="shared" si="81"/>
        <v>1.5160279877551706</v>
      </c>
    </row>
    <row r="1325" spans="1:19" x14ac:dyDescent="0.3">
      <c r="A1325">
        <v>1.323</v>
      </c>
      <c r="B1325">
        <f>Uo*COS(2*PI()*Wn*Sheet2!A1325) + (Vo/Wn - (Po*(w/Wn))/(K*(1-(w/Wn)^2)))*SIN(2*PI()*Wn*Sheet2!A1325) +(Po*SIN(2*PI()*w*Sheet2!A1325))/(K*(1-(w/Wn)^2))</f>
        <v>6.8710459220479505</v>
      </c>
      <c r="C1325">
        <f t="shared" si="82"/>
        <v>1.6202882250084145</v>
      </c>
      <c r="D1325">
        <f t="shared" si="83"/>
        <v>264.66572694396433</v>
      </c>
      <c r="R1325">
        <f t="shared" si="80"/>
        <v>1.323</v>
      </c>
      <c r="S1325">
        <f t="shared" si="81"/>
        <v>1.6202882250084145</v>
      </c>
    </row>
    <row r="1326" spans="1:19" x14ac:dyDescent="0.3">
      <c r="A1326">
        <v>1.3240000000000001</v>
      </c>
      <c r="B1326">
        <f>Uo*COS(2*PI()*Wn*Sheet2!A1326) + (Vo/Wn - (Po*(w/Wn))/(K*(1-(w/Wn)^2)))*SIN(2*PI()*Wn*Sheet2!A1326) +(Po*SIN(2*PI()*w*Sheet2!A1326))/(K*(1-(w/Wn)^2))</f>
        <v>7.2093936149573867</v>
      </c>
      <c r="C1326">
        <f t="shared" si="82"/>
        <v>1.7238313477076819</v>
      </c>
      <c r="D1326">
        <f t="shared" si="83"/>
        <v>281.57896214266322</v>
      </c>
      <c r="R1326">
        <f t="shared" si="80"/>
        <v>1.3240000000000001</v>
      </c>
      <c r="S1326">
        <f t="shared" si="81"/>
        <v>1.7238313477076819</v>
      </c>
    </row>
    <row r="1327" spans="1:19" x14ac:dyDescent="0.3">
      <c r="A1327">
        <v>1.325</v>
      </c>
      <c r="B1327">
        <f>Uo*COS(2*PI()*Wn*Sheet2!A1327) + (Vo/Wn - (Po*(w/Wn))/(K*(1-(w/Wn)^2)))*SIN(2*PI()*Wn*Sheet2!A1327) +(Po*SIN(2*PI()*w*Sheet2!A1327))/(K*(1-(w/Wn)^2))</f>
        <v>7.5453861374380953</v>
      </c>
      <c r="C1327">
        <f t="shared" si="82"/>
        <v>1.8266248558363618</v>
      </c>
      <c r="D1327">
        <f t="shared" si="83"/>
        <v>298.36975166645681</v>
      </c>
      <c r="R1327">
        <f t="shared" si="80"/>
        <v>1.325</v>
      </c>
      <c r="S1327">
        <f t="shared" si="81"/>
        <v>1.8266248558363618</v>
      </c>
    </row>
    <row r="1328" spans="1:19" x14ac:dyDescent="0.3">
      <c r="A1328">
        <v>1.3260000000000001</v>
      </c>
      <c r="B1328">
        <f>Uo*COS(2*PI()*Wn*Sheet2!A1328) + (Vo/Wn - (Po*(w/Wn))/(K*(1-(w/Wn)^2)))*SIN(2*PI()*Wn*Sheet2!A1328) +(Po*SIN(2*PI()*w*Sheet2!A1328))/(K*(1-(w/Wn)^2))</f>
        <v>7.8789137271863998</v>
      </c>
      <c r="C1328">
        <f t="shared" si="82"/>
        <v>1.9286365527307869</v>
      </c>
      <c r="D1328">
        <f t="shared" si="83"/>
        <v>315.03283635634904</v>
      </c>
      <c r="R1328">
        <f t="shared" si="80"/>
        <v>1.3260000000000001</v>
      </c>
      <c r="S1328">
        <f t="shared" si="81"/>
        <v>1.9286365527307869</v>
      </c>
    </row>
    <row r="1329" spans="1:19" x14ac:dyDescent="0.3">
      <c r="A1329">
        <v>1.327</v>
      </c>
      <c r="B1329">
        <f>Uo*COS(2*PI()*Wn*Sheet2!A1329) + (Vo/Wn - (Po*(w/Wn))/(K*(1-(w/Wn)^2)))*SIN(2*PI()*Wn*Sheet2!A1329) +(Po*SIN(2*PI()*w*Sheet2!A1329))/(K*(1-(w/Wn)^2))</f>
        <v>8.2098674271443475</v>
      </c>
      <c r="C1329">
        <f t="shared" si="82"/>
        <v>2.0298345550406744</v>
      </c>
      <c r="D1329">
        <f t="shared" si="83"/>
        <v>331.56300823146972</v>
      </c>
      <c r="R1329">
        <f t="shared" si="80"/>
        <v>1.327</v>
      </c>
      <c r="S1329">
        <f t="shared" si="81"/>
        <v>2.0298345550406744</v>
      </c>
    </row>
    <row r="1330" spans="1:19" x14ac:dyDescent="0.3">
      <c r="A1330">
        <v>1.3280000000000001</v>
      </c>
      <c r="B1330">
        <f>Uo*COS(2*PI()*Wn*Sheet2!A1330) + (Vo/Wn - (Po*(w/Wn))/(K*(1-(w/Wn)^2)))*SIN(2*PI()*Wn*Sheet2!A1330) +(Po*SIN(2*PI()*w*Sheet2!A1330))/(K*(1-(w/Wn)^2))</f>
        <v>8.5381391210946713</v>
      </c>
      <c r="C1330">
        <f t="shared" si="82"/>
        <v>2.1301873025698561</v>
      </c>
      <c r="D1330">
        <f t="shared" si="83"/>
        <v>347.95511209650709</v>
      </c>
      <c r="R1330">
        <f t="shared" si="80"/>
        <v>1.3280000000000001</v>
      </c>
      <c r="S1330">
        <f t="shared" si="81"/>
        <v>2.1301873025698561</v>
      </c>
    </row>
    <row r="1331" spans="1:19" x14ac:dyDescent="0.3">
      <c r="A1331">
        <v>1.329</v>
      </c>
      <c r="B1331">
        <f>Uo*COS(2*PI()*Wn*Sheet2!A1331) + (Vo/Wn - (Po*(w/Wn))/(K*(1-(w/Wn)^2)))*SIN(2*PI()*Wn*Sheet2!A1331) +(Po*SIN(2*PI()*w*Sheet2!A1331))/(K*(1-(w/Wn)^2))</f>
        <v>8.8636215689796316</v>
      </c>
      <c r="C1331">
        <f t="shared" si="82"/>
        <v>2.2296635679933114</v>
      </c>
      <c r="D1331">
        <f t="shared" si="83"/>
        <v>364.20404712893497</v>
      </c>
      <c r="R1331">
        <f t="shared" si="80"/>
        <v>1.329</v>
      </c>
      <c r="S1331">
        <f t="shared" si="81"/>
        <v>2.2296635679933114</v>
      </c>
    </row>
    <row r="1332" spans="1:19" x14ac:dyDescent="0.3">
      <c r="A1332">
        <v>1.33</v>
      </c>
      <c r="B1332">
        <f>Uo*COS(2*PI()*Wn*Sheet2!A1332) + (Vo/Wn - (Po*(w/Wn))/(K*(1-(w/Wn)^2)))*SIN(2*PI()*Wn*Sheet2!A1332) +(Po*SIN(2*PI()*w*Sheet2!A1332))/(K*(1-(w/Wn)^2))</f>
        <v>9.186208441935058</v>
      </c>
      <c r="C1332">
        <f t="shared" si="82"/>
        <v>2.3282324664484597</v>
      </c>
      <c r="D1332">
        <f t="shared" si="83"/>
        <v>380.30476844570074</v>
      </c>
      <c r="R1332">
        <f t="shared" si="80"/>
        <v>1.33</v>
      </c>
      <c r="S1332">
        <f t="shared" si="81"/>
        <v>2.3282324664484597</v>
      </c>
    </row>
    <row r="1333" spans="1:19" x14ac:dyDescent="0.3">
      <c r="A1333">
        <v>1.331</v>
      </c>
      <c r="B1333">
        <f>Uo*COS(2*PI()*Wn*Sheet2!A1333) + (Vo/Wn - (Po*(w/Wn))/(K*(1-(w/Wn)^2)))*SIN(2*PI()*Wn*Sheet2!A1333) +(Po*SIN(2*PI()*w*Sheet2!A1333))/(K*(1-(w/Wn)^2))</f>
        <v>9.5057943570250494</v>
      </c>
      <c r="C1333">
        <f t="shared" si="82"/>
        <v>2.4258634649968278</v>
      </c>
      <c r="D1333">
        <f t="shared" si="83"/>
        <v>396.25228864874043</v>
      </c>
      <c r="R1333">
        <f t="shared" si="80"/>
        <v>1.331</v>
      </c>
      <c r="S1333">
        <f t="shared" si="81"/>
        <v>2.4258634649968278</v>
      </c>
    </row>
    <row r="1334" spans="1:19" x14ac:dyDescent="0.3">
      <c r="A1334">
        <v>1.3320000000000001</v>
      </c>
      <c r="B1334">
        <f>Uo*COS(2*PI()*Wn*Sheet2!A1334) + (Vo/Wn - (Po*(w/Wn))/(K*(1-(w/Wn)^2)))*SIN(2*PI()*Wn*Sheet2!A1334) +(Po*SIN(2*PI()*w*Sheet2!A1334))/(K*(1-(w/Wn)^2))</f>
        <v>9.822274911669318</v>
      </c>
      <c r="C1334">
        <f t="shared" si="82"/>
        <v>2.5225263919542948</v>
      </c>
      <c r="D1334">
        <f t="shared" si="83"/>
        <v>412.04167934902551</v>
      </c>
      <c r="R1334">
        <f t="shared" si="80"/>
        <v>1.3320000000000001</v>
      </c>
      <c r="S1334">
        <f t="shared" si="81"/>
        <v>2.5225263919542948</v>
      </c>
    </row>
    <row r="1335" spans="1:19" x14ac:dyDescent="0.3">
      <c r="A1335">
        <v>1.333</v>
      </c>
      <c r="B1335">
        <f>Uo*COS(2*PI()*Wn*Sheet2!A1335) + (Vo/Wn - (Po*(w/Wn))/(K*(1-(w/Wn)^2)))*SIN(2*PI()*Wn*Sheet2!A1335) +(Po*SIN(2*PI()*w*Sheet2!A1335))/(K*(1-(w/Wn)^2))</f>
        <v>10.13554671774888</v>
      </c>
      <c r="C1335">
        <f t="shared" si="82"/>
        <v>2.6181914460861404</v>
      </c>
      <c r="D1335">
        <f t="shared" si="83"/>
        <v>427.66807266852715</v>
      </c>
      <c r="R1335">
        <f t="shared" si="80"/>
        <v>1.333</v>
      </c>
      <c r="S1335">
        <f t="shared" si="81"/>
        <v>2.6181914460861404</v>
      </c>
    </row>
    <row r="1336" spans="1:19" x14ac:dyDescent="0.3">
      <c r="A1336">
        <v>1.3340000000000001</v>
      </c>
      <c r="B1336">
        <f>Uo*COS(2*PI()*Wn*Sheet2!A1336) + (Vo/Wn - (Po*(w/Wn))/(K*(1-(w/Wn)^2)))*SIN(2*PI()*Wn*Sheet2!A1336) +(Po*SIN(2*PI()*w*Sheet2!A1336))/(K*(1-(w/Wn)^2))</f>
        <v>10.44550743538171</v>
      </c>
      <c r="C1336">
        <f t="shared" si="82"/>
        <v>2.7128292056650083</v>
      </c>
      <c r="D1336">
        <f t="shared" si="83"/>
        <v>443.12666271978736</v>
      </c>
      <c r="R1336">
        <f t="shared" si="80"/>
        <v>1.3340000000000001</v>
      </c>
      <c r="S1336">
        <f t="shared" si="81"/>
        <v>2.7128292056650083</v>
      </c>
    </row>
    <row r="1337" spans="1:19" x14ac:dyDescent="0.3">
      <c r="A1337">
        <v>1.335</v>
      </c>
      <c r="B1337">
        <f>Uo*COS(2*PI()*Wn*Sheet2!A1337) + (Vo/Wn - (Po*(w/Wn))/(K*(1-(w/Wn)^2)))*SIN(2*PI()*Wn*Sheet2!A1337) +(Po*SIN(2*PI()*w*Sheet2!A1337))/(K*(1-(w/Wn)^2))</f>
        <v>10.75205580635436</v>
      </c>
      <c r="C1337">
        <f t="shared" si="82"/>
        <v>2.8064106373881503</v>
      </c>
      <c r="D1337">
        <f t="shared" si="83"/>
        <v>458.41270706250532</v>
      </c>
      <c r="R1337">
        <f t="shared" si="80"/>
        <v>1.335</v>
      </c>
      <c r="S1337">
        <f t="shared" si="81"/>
        <v>2.8064106373881503</v>
      </c>
    </row>
    <row r="1338" spans="1:19" x14ac:dyDescent="0.3">
      <c r="A1338">
        <v>1.3360000000000001</v>
      </c>
      <c r="B1338">
        <f>Uo*COS(2*PI()*Wn*Sheet2!A1338) + (Vo/Wn - (Po*(w/Wn))/(K*(1-(w/Wn)^2)))*SIN(2*PI()*Wn*Sheet2!A1338) +(Po*SIN(2*PI()*w*Sheet2!A1338))/(K*(1-(w/Wn)^2))</f>
        <v>11.055091687201795</v>
      </c>
      <c r="C1338">
        <f t="shared" si="82"/>
        <v>2.8989071051522779</v>
      </c>
      <c r="D1338">
        <f t="shared" si="83"/>
        <v>473.52152813686365</v>
      </c>
      <c r="R1338">
        <f t="shared" si="80"/>
        <v>1.3360000000000001</v>
      </c>
      <c r="S1338">
        <f t="shared" si="81"/>
        <v>2.8989071051522779</v>
      </c>
    </row>
    <row r="1339" spans="1:19" x14ac:dyDescent="0.3">
      <c r="A1339">
        <v>1.337</v>
      </c>
      <c r="B1339">
        <f>Uo*COS(2*PI()*Wn*Sheet2!A1339) + (Vo/Wn - (Po*(w/Wn))/(K*(1-(w/Wn)^2)))*SIN(2*PI()*Wn*Sheet2!A1339) +(Po*SIN(2*PI()*w*Sheet2!A1339))/(K*(1-(w/Wn)^2))</f>
        <v>11.354516081921748</v>
      </c>
      <c r="C1339">
        <f t="shared" si="82"/>
        <v>2.9902903786825243</v>
      </c>
      <c r="D1339">
        <f t="shared" si="83"/>
        <v>488.44851467302527</v>
      </c>
      <c r="R1339">
        <f t="shared" si="80"/>
        <v>1.337</v>
      </c>
      <c r="S1339">
        <f t="shared" si="81"/>
        <v>2.9902903786825243</v>
      </c>
    </row>
    <row r="1340" spans="1:19" x14ac:dyDescent="0.3">
      <c r="A1340">
        <v>1.3380000000000001</v>
      </c>
      <c r="B1340">
        <f>Uo*COS(2*PI()*Wn*Sheet2!A1340) + (Vo/Wn - (Po*(w/Wn))/(K*(1-(w/Wn)^2)))*SIN(2*PI()*Wn*Sheet2!A1340) +(Po*SIN(2*PI()*w*Sheet2!A1340))/(K*(1-(w/Wn)^2))</f>
        <v>11.650231174315522</v>
      </c>
      <c r="C1340">
        <f t="shared" si="82"/>
        <v>3.0805326420137669</v>
      </c>
      <c r="D1340">
        <f t="shared" si="83"/>
        <v>503.1891230765134</v>
      </c>
      <c r="R1340">
        <f t="shared" si="80"/>
        <v>1.3380000000000001</v>
      </c>
      <c r="S1340">
        <f t="shared" si="81"/>
        <v>3.0805326420137669</v>
      </c>
    </row>
    <row r="1341" spans="1:19" x14ac:dyDescent="0.3">
      <c r="A1341">
        <v>1.339</v>
      </c>
      <c r="B1341">
        <f>Uo*COS(2*PI()*Wn*Sheet2!A1341) + (Vo/Wn - (Po*(w/Wn))/(K*(1-(w/Wn)^2)))*SIN(2*PI()*Wn*Sheet2!A1341) +(Po*SIN(2*PI()*w*Sheet2!A1341))/(K*(1-(w/Wn)^2))</f>
        <v>11.942140359941828</v>
      </c>
      <c r="C1341">
        <f t="shared" si="82"/>
        <v>3.1696065018209376</v>
      </c>
      <c r="D1341">
        <f t="shared" si="83"/>
        <v>517.73887878892515</v>
      </c>
      <c r="R1341">
        <f t="shared" si="80"/>
        <v>1.339</v>
      </c>
      <c r="S1341">
        <f t="shared" si="81"/>
        <v>3.1696065018209376</v>
      </c>
    </row>
    <row r="1342" spans="1:19" x14ac:dyDescent="0.3">
      <c r="A1342">
        <v>1.34</v>
      </c>
      <c r="B1342">
        <f>Uo*COS(2*PI()*Wn*Sheet2!A1342) + (Vo/Wn - (Po*(w/Wn))/(K*(1-(w/Wn)^2)))*SIN(2*PI()*Wn*Sheet2!A1342) +(Po*SIN(2*PI()*w*Sheet2!A1342))/(K*(1-(w/Wn)^2))</f>
        <v>12.230148277676323</v>
      </c>
      <c r="C1342">
        <f t="shared" si="82"/>
        <v>3.2574849955968204</v>
      </c>
      <c r="D1342">
        <f t="shared" si="83"/>
        <v>532.09337762373207</v>
      </c>
      <c r="R1342">
        <f t="shared" si="80"/>
        <v>1.34</v>
      </c>
      <c r="S1342">
        <f t="shared" si="81"/>
        <v>3.2574849955968204</v>
      </c>
    </row>
    <row r="1343" spans="1:19" x14ac:dyDescent="0.3">
      <c r="A1343">
        <v>1.341</v>
      </c>
      <c r="B1343">
        <f>Uo*COS(2*PI()*Wn*Sheet2!A1343) + (Vo/Wn - (Po*(w/Wn))/(K*(1-(w/Wn)^2)))*SIN(2*PI()*Wn*Sheet2!A1343) +(Po*SIN(2*PI()*w*Sheet2!A1343))/(K*(1-(w/Wn)^2))</f>
        <v>12.51416084086372</v>
      </c>
      <c r="C1343">
        <f t="shared" si="82"/>
        <v>3.3441415996740771</v>
      </c>
      <c r="D1343">
        <f t="shared" si="83"/>
        <v>546.24828707663721</v>
      </c>
      <c r="R1343">
        <f t="shared" si="80"/>
        <v>1.341</v>
      </c>
      <c r="S1343">
        <f t="shared" si="81"/>
        <v>3.3441415996740771</v>
      </c>
    </row>
    <row r="1344" spans="1:19" x14ac:dyDescent="0.3">
      <c r="A1344">
        <v>1.3420000000000001</v>
      </c>
      <c r="B1344">
        <f>Uo*COS(2*PI()*Wn*Sheet2!A1344) + (Vo/Wn - (Po*(w/Wn))/(K*(1-(w/Wn)^2)))*SIN(2*PI()*Wn*Sheet2!A1344) +(Po*SIN(2*PI()*w*Sheet2!A1344))/(K*(1-(w/Wn)^2))</f>
        <v>12.794085268054495</v>
      </c>
      <c r="C1344">
        <f t="shared" si="82"/>
        <v>3.4295502370898618</v>
      </c>
      <c r="D1344">
        <f t="shared" si="83"/>
        <v>560.19934761021887</v>
      </c>
      <c r="R1344">
        <f t="shared" si="80"/>
        <v>1.3420000000000001</v>
      </c>
      <c r="S1344">
        <f t="shared" si="81"/>
        <v>3.4295502370898618</v>
      </c>
    </row>
    <row r="1345" spans="1:19" x14ac:dyDescent="0.3">
      <c r="A1345">
        <v>1.343</v>
      </c>
      <c r="B1345">
        <f>Uo*COS(2*PI()*Wn*Sheet2!A1345) + (Vo/Wn - (Po*(w/Wn))/(K*(1-(w/Wn)^2)))*SIN(2*PI()*Wn*Sheet2!A1345) +(Po*SIN(2*PI()*w*Sheet2!A1345))/(K*(1-(w/Wn)^2))</f>
        <v>13.069830113314589</v>
      </c>
      <c r="C1345">
        <f t="shared" si="82"/>
        <v>3.5136852852902272</v>
      </c>
      <c r="D1345">
        <f t="shared" si="83"/>
        <v>573.94237391240631</v>
      </c>
      <c r="R1345">
        <f t="shared" ref="R1345:R1408" si="84">A1345</f>
        <v>1.343</v>
      </c>
      <c r="S1345">
        <f t="shared" ref="S1345:S1408" si="85">C1345</f>
        <v>3.5136852852902272</v>
      </c>
    </row>
    <row r="1346" spans="1:19" x14ac:dyDescent="0.3">
      <c r="A1346">
        <v>1.3440000000000001</v>
      </c>
      <c r="B1346">
        <f>Uo*COS(2*PI()*Wn*Sheet2!A1346) + (Vo/Wn - (Po*(w/Wn))/(K*(1-(w/Wn)^2)))*SIN(2*PI()*Wn*Sheet2!A1346) +(Po*SIN(2*PI()*w*Sheet2!A1346))/(K*(1-(w/Wn)^2))</f>
        <v>13.341305296099129</v>
      </c>
      <c r="C1346">
        <f t="shared" ref="C1346:C1409" si="86">EXP(-zeta*Wn*A1346*2*PI())*($H$1*COS(wnD*2*PI()*A1346) + $H$2*SIN(wnD*2*PI()*A1346)) + $H$3*SIN(w*2*PI()*A1346) + $H$4*COS(w*2*PI()*A1346)</f>
        <v>3.5965215836724052</v>
      </c>
      <c r="D1346">
        <f t="shared" ref="D1346:D1409" si="87">K*C1346</f>
        <v>587.47325612847158</v>
      </c>
      <c r="R1346">
        <f t="shared" si="84"/>
        <v>1.3440000000000001</v>
      </c>
      <c r="S1346">
        <f t="shared" si="85"/>
        <v>3.5965215836724052</v>
      </c>
    </row>
    <row r="1347" spans="1:19" x14ac:dyDescent="0.3">
      <c r="A1347">
        <v>1.345</v>
      </c>
      <c r="B1347">
        <f>Uo*COS(2*PI()*Wn*Sheet2!A1347) + (Vo/Wn - (Po*(w/Wn))/(K*(1-(w/Wn)^2)))*SIN(2*PI()*Wn*Sheet2!A1347) +(Po*SIN(2*PI()*w*Sheet2!A1347))/(K*(1-(w/Wn)^2))</f>
        <v>13.608422130679813</v>
      </c>
      <c r="C1347">
        <f t="shared" si="86"/>
        <v>3.6780344409626125</v>
      </c>
      <c r="D1347">
        <f t="shared" si="87"/>
        <v>600.78796106615653</v>
      </c>
      <c r="R1347">
        <f t="shared" si="84"/>
        <v>1.345</v>
      </c>
      <c r="S1347">
        <f t="shared" si="85"/>
        <v>3.6780344409626125</v>
      </c>
    </row>
    <row r="1348" spans="1:19" x14ac:dyDescent="0.3">
      <c r="A1348">
        <v>1.3460000000000001</v>
      </c>
      <c r="B1348">
        <f>Uo*COS(2*PI()*Wn*Sheet2!A1348) + (Vo/Wn - (Po*(w/Wn))/(K*(1-(w/Wn)^2)))*SIN(2*PI()*Wn*Sheet2!A1348) +(Po*SIN(2*PI()*w*Sheet2!A1348))/(K*(1-(w/Wn)^2))</f>
        <v>13.871093355117152</v>
      </c>
      <c r="C1348">
        <f t="shared" si="86"/>
        <v>3.7581996424274924</v>
      </c>
      <c r="D1348">
        <f t="shared" si="87"/>
        <v>613.8825333736246</v>
      </c>
      <c r="R1348">
        <f t="shared" si="84"/>
        <v>1.3460000000000001</v>
      </c>
      <c r="S1348">
        <f t="shared" si="85"/>
        <v>3.7581996424274924</v>
      </c>
    </row>
    <row r="1349" spans="1:19" x14ac:dyDescent="0.3">
      <c r="A1349">
        <v>1.347</v>
      </c>
      <c r="B1349">
        <f>Uo*COS(2*PI()*Wn*Sheet2!A1349) + (Vo/Wn - (Po*(w/Wn))/(K*(1-(w/Wn)^2)))*SIN(2*PI()*Wn*Sheet2!A1349) +(Po*SIN(2*PI()*w*Sheet2!A1349))/(K*(1-(w/Wn)^2))</f>
        <v>14.129233159767047</v>
      </c>
      <c r="C1349">
        <f t="shared" si="86"/>
        <v>3.8369934569168569</v>
      </c>
      <c r="D1349">
        <f t="shared" si="87"/>
        <v>626.75309668985631</v>
      </c>
      <c r="R1349">
        <f t="shared" si="84"/>
        <v>1.347</v>
      </c>
      <c r="S1349">
        <f t="shared" si="85"/>
        <v>3.8369934569168569</v>
      </c>
    </row>
    <row r="1350" spans="1:19" x14ac:dyDescent="0.3">
      <c r="A1350">
        <v>1.3480000000000001</v>
      </c>
      <c r="B1350">
        <f>Uo*COS(2*PI()*Wn*Sheet2!A1350) + (Vo/Wn - (Po*(w/Wn))/(K*(1-(w/Wn)^2)))*SIN(2*PI()*Wn*Sheet2!A1350) +(Po*SIN(2*PI()*w*Sheet2!A1350))/(K*(1-(w/Wn)^2))</f>
        <v>14.382757215313271</v>
      </c>
      <c r="C1350">
        <f t="shared" si="86"/>
        <v>3.9143926437359466</v>
      </c>
      <c r="D1350">
        <f t="shared" si="87"/>
        <v>639.39585476719765</v>
      </c>
      <c r="R1350">
        <f t="shared" si="84"/>
        <v>1.3480000000000001</v>
      </c>
      <c r="S1350">
        <f t="shared" si="85"/>
        <v>3.9143926437359466</v>
      </c>
    </row>
    <row r="1351" spans="1:19" x14ac:dyDescent="0.3">
      <c r="A1351">
        <v>1.349</v>
      </c>
      <c r="B1351">
        <f>Uo*COS(2*PI()*Wn*Sheet2!A1351) + (Vo/Wn - (Po*(w/Wn))/(K*(1-(w/Wn)^2)))*SIN(2*PI()*Wn*Sheet2!A1351) +(Po*SIN(2*PI()*w*Sheet2!A1351))/(K*(1-(w/Wn)^2))</f>
        <v>14.63158270031602</v>
      </c>
      <c r="C1351">
        <f t="shared" si="86"/>
        <v>3.9903744593451407</v>
      </c>
      <c r="D1351">
        <f t="shared" si="87"/>
        <v>651.80709256572277</v>
      </c>
      <c r="R1351">
        <f t="shared" si="84"/>
        <v>1.349</v>
      </c>
      <c r="S1351">
        <f t="shared" si="85"/>
        <v>3.9903744593451407</v>
      </c>
    </row>
    <row r="1352" spans="1:19" x14ac:dyDescent="0.3">
      <c r="A1352">
        <v>1.35</v>
      </c>
      <c r="B1352">
        <f>Uo*COS(2*PI()*Wn*Sheet2!A1352) + (Vo/Wn - (Po*(w/Wn))/(K*(1-(w/Wn)^2)))*SIN(2*PI()*Wn*Sheet2!A1352) +(Po*SIN(2*PI()*w*Sheet2!A1352))/(K*(1-(w/Wn)^2))</f>
        <v>14.875628328268398</v>
      </c>
      <c r="C1352">
        <f t="shared" si="86"/>
        <v>4.0649166638854277</v>
      </c>
      <c r="D1352">
        <f t="shared" si="87"/>
        <v>663.98317731913642</v>
      </c>
      <c r="R1352">
        <f t="shared" si="84"/>
        <v>1.35</v>
      </c>
      <c r="S1352">
        <f t="shared" si="85"/>
        <v>4.0649166638854277</v>
      </c>
    </row>
    <row r="1353" spans="1:19" x14ac:dyDescent="0.3">
      <c r="A1353">
        <v>1.351</v>
      </c>
      <c r="B1353">
        <f>Uo*COS(2*PI()*Wn*Sheet2!A1353) + (Vo/Wn - (Po*(w/Wn))/(K*(1-(w/Wn)^2)))*SIN(2*PI()*Wn*Sheet2!A1353) +(Po*SIN(2*PI()*w*Sheet2!A1353))/(K*(1-(w/Wn)^2))</f>
        <v>15.114814374150956</v>
      </c>
      <c r="C1353">
        <f t="shared" si="86"/>
        <v>4.1379975275275713</v>
      </c>
      <c r="D1353">
        <f t="shared" si="87"/>
        <v>675.92055957187745</v>
      </c>
      <c r="R1353">
        <f t="shared" si="84"/>
        <v>1.351</v>
      </c>
      <c r="S1353">
        <f t="shared" si="85"/>
        <v>4.1379975275275713</v>
      </c>
    </row>
    <row r="1354" spans="1:19" x14ac:dyDescent="0.3">
      <c r="A1354">
        <v>1.3520000000000001</v>
      </c>
      <c r="B1354">
        <f>Uo*COS(2*PI()*Wn*Sheet2!A1354) + (Vo/Wn - (Po*(w/Wn))/(K*(1-(w/Wn)^2)))*SIN(2*PI()*Wn*Sheet2!A1354) +(Po*SIN(2*PI()*w*Sheet2!A1354))/(K*(1-(w/Wn)^2))</f>
        <v>15.349062700476415</v>
      </c>
      <c r="C1354">
        <f t="shared" si="86"/>
        <v>4.2095958366434134</v>
      </c>
      <c r="D1354">
        <f t="shared" si="87"/>
        <v>687.61577418716888</v>
      </c>
      <c r="R1354">
        <f t="shared" si="84"/>
        <v>1.3520000000000001</v>
      </c>
      <c r="S1354">
        <f t="shared" si="85"/>
        <v>4.2095958366434134</v>
      </c>
    </row>
    <row r="1355" spans="1:19" x14ac:dyDescent="0.3">
      <c r="A1355">
        <v>1.353</v>
      </c>
      <c r="B1355">
        <f>Uo*COS(2*PI()*Wn*Sheet2!A1355) + (Vo/Wn - (Po*(w/Wn))/(K*(1-(w/Wn)^2)))*SIN(2*PI()*Wn*Sheet2!A1355) +(Po*SIN(2*PI()*w*Sheet2!A1355))/(K*(1-(w/Wn)^2))</f>
        <v>15.578296782815503</v>
      </c>
      <c r="C1355">
        <f t="shared" si="86"/>
        <v>4.2796908997974752</v>
      </c>
      <c r="D1355">
        <f t="shared" si="87"/>
        <v>699.06544132571548</v>
      </c>
      <c r="R1355">
        <f t="shared" si="84"/>
        <v>1.353</v>
      </c>
      <c r="S1355">
        <f t="shared" si="85"/>
        <v>4.2796908997974752</v>
      </c>
    </row>
    <row r="1356" spans="1:19" x14ac:dyDescent="0.3">
      <c r="A1356">
        <v>1.3540000000000001</v>
      </c>
      <c r="B1356">
        <f>Uo*COS(2*PI()*Wn*Sheet2!A1356) + (Vo/Wn - (Po*(w/Wn))/(K*(1-(w/Wn)^2)))*SIN(2*PI()*Wn*Sheet2!A1356) +(Po*SIN(2*PI()*w*Sheet2!A1356))/(K*(1-(w/Wn)^2))</f>
        <v>15.802441734796339</v>
      </c>
      <c r="C1356">
        <f t="shared" si="86"/>
        <v>4.3482625535574666</v>
      </c>
      <c r="D1356">
        <f t="shared" si="87"/>
        <v>710.26626739482037</v>
      </c>
      <c r="R1356">
        <f t="shared" si="84"/>
        <v>1.3540000000000001</v>
      </c>
      <c r="S1356">
        <f t="shared" si="85"/>
        <v>4.3482625535574666</v>
      </c>
    </row>
    <row r="1357" spans="1:19" x14ac:dyDescent="0.3">
      <c r="A1357">
        <v>1.355</v>
      </c>
      <c r="B1357">
        <f>Uo*COS(2*PI()*Wn*Sheet2!A1357) + (Vo/Wn - (Po*(w/Wn))/(K*(1-(w/Wn)^2)))*SIN(2*PI()*Wn*Sheet2!A1357) +(Po*SIN(2*PI()*w*Sheet2!A1357))/(K*(1-(w/Wn)^2))</f>
        <v>16.021424332567967</v>
      </c>
      <c r="C1357">
        <f t="shared" si="86"/>
        <v>4.4152911681217244</v>
      </c>
      <c r="D1357">
        <f t="shared" si="87"/>
        <v>721.21504596759803</v>
      </c>
      <c r="R1357">
        <f t="shared" si="84"/>
        <v>1.355</v>
      </c>
      <c r="S1357">
        <f t="shared" si="85"/>
        <v>4.4152911681217244</v>
      </c>
    </row>
    <row r="1358" spans="1:19" x14ac:dyDescent="0.3">
      <c r="A1358">
        <v>1.3560000000000001</v>
      </c>
      <c r="B1358">
        <f>Uo*COS(2*PI()*Wn*Sheet2!A1358) + (Vo/Wn - (Po*(w/Wn))/(K*(1-(w/Wn)^2)))*SIN(2*PI()*Wn*Sheet2!A1358) +(Po*SIN(2*PI()*w*Sheet2!A1358))/(K*(1-(w/Wn)^2))</f>
        <v>16.235173038721694</v>
      </c>
      <c r="C1358">
        <f t="shared" si="86"/>
        <v>4.4807576527626356</v>
      </c>
      <c r="D1358">
        <f t="shared" si="87"/>
        <v>731.90865867212949</v>
      </c>
      <c r="R1358">
        <f t="shared" si="84"/>
        <v>1.3560000000000001</v>
      </c>
      <c r="S1358">
        <f t="shared" si="85"/>
        <v>4.4807576527626356</v>
      </c>
    </row>
    <row r="1359" spans="1:19" x14ac:dyDescent="0.3">
      <c r="A1359">
        <v>1.357</v>
      </c>
      <c r="B1359">
        <f>Uo*COS(2*PI()*Wn*Sheet2!A1359) + (Vo/Wn - (Po*(w/Wn))/(K*(1-(w/Wn)^2)))*SIN(2*PI()*Wn*Sheet2!A1359) +(Po*SIN(2*PI()*w*Sheet2!A1359))/(K*(1-(w/Wn)^2))</f>
        <v>16.44361802566041</v>
      </c>
      <c r="C1359">
        <f t="shared" si="86"/>
        <v>4.5446434610839042</v>
      </c>
      <c r="D1359">
        <f t="shared" si="87"/>
        <v>742.34407605020954</v>
      </c>
      <c r="R1359">
        <f t="shared" si="84"/>
        <v>1.357</v>
      </c>
      <c r="S1359">
        <f t="shared" si="85"/>
        <v>4.5446434610839042</v>
      </c>
    </row>
    <row r="1360" spans="1:19" x14ac:dyDescent="0.3">
      <c r="A1360">
        <v>1.3580000000000001</v>
      </c>
      <c r="B1360">
        <f>Uo*COS(2*PI()*Wn*Sheet2!A1360) + (Vo/Wn - (Po*(w/Wn))/(K*(1-(w/Wn)^2)))*SIN(2*PI()*Wn*Sheet2!A1360) +(Po*SIN(2*PI()*w*Sheet2!A1360))/(K*(1-(w/Wn)^2))</f>
        <v>16.646691198410405</v>
      </c>
      <c r="C1360">
        <f t="shared" si="86"/>
        <v>4.6069305960910274</v>
      </c>
      <c r="D1360">
        <f t="shared" si="87"/>
        <v>752.51835838558316</v>
      </c>
      <c r="R1360">
        <f t="shared" si="84"/>
        <v>1.3580000000000001</v>
      </c>
      <c r="S1360">
        <f t="shared" si="85"/>
        <v>4.6069305960910274</v>
      </c>
    </row>
    <row r="1361" spans="1:19" x14ac:dyDescent="0.3">
      <c r="A1361">
        <v>1.359</v>
      </c>
      <c r="B1361">
        <f>Uo*COS(2*PI()*Wn*Sheet2!A1361) + (Vo/Wn - (Po*(w/Wn))/(K*(1-(w/Wn)^2)))*SIN(2*PI()*Wn*Sheet2!A1361) +(Po*SIN(2*PI()*w*Sheet2!A1361))/(K*(1-(w/Wn)^2))</f>
        <v>16.8443262168663</v>
      </c>
      <c r="C1361">
        <f t="shared" si="86"/>
        <v>4.6676016150730151</v>
      </c>
      <c r="D1361">
        <f t="shared" si="87"/>
        <v>762.42865650134922</v>
      </c>
      <c r="R1361">
        <f t="shared" si="84"/>
        <v>1.359</v>
      </c>
      <c r="S1361">
        <f t="shared" si="85"/>
        <v>4.6676016150730151</v>
      </c>
    </row>
    <row r="1362" spans="1:19" x14ac:dyDescent="0.3">
      <c r="A1362">
        <v>1.36</v>
      </c>
      <c r="B1362">
        <f>Uo*COS(2*PI()*Wn*Sheet2!A1362) + (Vo/Wn - (Po*(w/Wn))/(K*(1-(w/Wn)^2)))*SIN(2*PI()*Wn*Sheet2!A1362) +(Po*SIN(2*PI()*w*Sheet2!A1362))/(K*(1-(w/Wn)^2))</f>
        <v>17.036458517463547</v>
      </c>
      <c r="C1362">
        <f t="shared" si="86"/>
        <v>4.7266396342946386</v>
      </c>
      <c r="D1362">
        <f t="shared" si="87"/>
        <v>772.07221252641489</v>
      </c>
      <c r="R1362">
        <f t="shared" si="84"/>
        <v>1.36</v>
      </c>
      <c r="S1362">
        <f t="shared" si="85"/>
        <v>4.7266396342946386</v>
      </c>
    </row>
    <row r="1363" spans="1:19" x14ac:dyDescent="0.3">
      <c r="A1363">
        <v>1.361</v>
      </c>
      <c r="B1363">
        <f>Uo*COS(2*PI()*Wn*Sheet2!A1363) + (Vo/Wn - (Po*(w/Wn))/(K*(1-(w/Wn)^2)))*SIN(2*PI()*Wn*Sheet2!A1363) +(Po*SIN(2*PI()*w*Sheet2!A1363))/(K*(1-(w/Wn)^2))</f>
        <v>17.223025334269572</v>
      </c>
      <c r="C1363">
        <f t="shared" si="86"/>
        <v>4.7840283334974716</v>
      </c>
      <c r="D1363">
        <f t="shared" si="87"/>
        <v>781.44636063071732</v>
      </c>
      <c r="R1363">
        <f t="shared" si="84"/>
        <v>1.361</v>
      </c>
      <c r="S1363">
        <f t="shared" si="85"/>
        <v>4.7840283334974716</v>
      </c>
    </row>
    <row r="1364" spans="1:19" x14ac:dyDescent="0.3">
      <c r="A1364">
        <v>1.3620000000000001</v>
      </c>
      <c r="B1364">
        <f>Uo*COS(2*PI()*Wn*Sheet2!A1364) + (Vo/Wn - (Po*(w/Wn))/(K*(1-(w/Wn)^2)))*SIN(2*PI()*Wn*Sheet2!A1364) +(Po*SIN(2*PI()*w*Sheet2!A1364))/(K*(1-(w/Wn)^2))</f>
        <v>17.403965719488639</v>
      </c>
      <c r="C1364">
        <f t="shared" si="86"/>
        <v>4.8397519602091865</v>
      </c>
      <c r="D1364">
        <f t="shared" si="87"/>
        <v>790.54852772912579</v>
      </c>
      <c r="R1364">
        <f t="shared" si="84"/>
        <v>1.3620000000000001</v>
      </c>
      <c r="S1364">
        <f t="shared" si="85"/>
        <v>4.8397519602091865</v>
      </c>
    </row>
    <row r="1365" spans="1:19" x14ac:dyDescent="0.3">
      <c r="A1365">
        <v>1.363</v>
      </c>
      <c r="B1365">
        <f>Uo*COS(2*PI()*Wn*Sheet2!A1365) + (Vo/Wn - (Po*(w/Wn))/(K*(1-(w/Wn)^2)))*SIN(2*PI()*Wn*Sheet2!A1365) +(Po*SIN(2*PI()*w*Sheet2!A1365))/(K*(1-(w/Wn)^2))</f>
        <v>17.57922056337198</v>
      </c>
      <c r="C1365">
        <f t="shared" si="86"/>
        <v>4.8937953338595017</v>
      </c>
      <c r="D1365">
        <f t="shared" si="87"/>
        <v>799.37623415375936</v>
      </c>
      <c r="R1365">
        <f t="shared" si="84"/>
        <v>1.363</v>
      </c>
      <c r="S1365">
        <f t="shared" si="85"/>
        <v>4.8937953338595017</v>
      </c>
    </row>
    <row r="1366" spans="1:19" x14ac:dyDescent="0.3">
      <c r="A1366">
        <v>1.3640000000000001</v>
      </c>
      <c r="B1366">
        <f>Uo*COS(2*PI()*Wn*Sheet2!A1366) + (Vo/Wn - (Po*(w/Wn))/(K*(1-(w/Wn)^2)))*SIN(2*PI()*Wn*Sheet2!A1366) +(Po*SIN(2*PI()*w*Sheet2!A1366))/(K*(1-(w/Wn)^2))</f>
        <v>17.74873261352823</v>
      </c>
      <c r="C1366">
        <f t="shared" si="86"/>
        <v>4.9461438497022829</v>
      </c>
      <c r="D1366">
        <f t="shared" si="87"/>
        <v>807.92709429464287</v>
      </c>
      <c r="R1366">
        <f t="shared" si="84"/>
        <v>1.3640000000000001</v>
      </c>
      <c r="S1366">
        <f t="shared" si="85"/>
        <v>4.9461438497022829</v>
      </c>
    </row>
    <row r="1367" spans="1:19" x14ac:dyDescent="0.3">
      <c r="A1367">
        <v>1.365</v>
      </c>
      <c r="B1367">
        <f>Uo*COS(2*PI()*Wn*Sheet2!A1367) + (Vo/Wn - (Po*(w/Wn))/(K*(1-(w/Wn)^2)))*SIN(2*PI()*Wn*Sheet2!A1367) +(Po*SIN(2*PI()*w*Sheet2!A1367))/(K*(1-(w/Wn)^2))</f>
        <v>17.912446493626181</v>
      </c>
      <c r="C1367">
        <f t="shared" si="86"/>
        <v>4.9967834825423347</v>
      </c>
      <c r="D1367">
        <f t="shared" si="87"/>
        <v>816.19881720845854</v>
      </c>
      <c r="R1367">
        <f t="shared" si="84"/>
        <v>1.365</v>
      </c>
      <c r="S1367">
        <f t="shared" si="85"/>
        <v>4.9967834825423347</v>
      </c>
    </row>
    <row r="1368" spans="1:19" x14ac:dyDescent="0.3">
      <c r="A1368">
        <v>1.3660000000000001</v>
      </c>
      <c r="B1368">
        <f>Uo*COS(2*PI()*Wn*Sheet2!A1368) + (Vo/Wn - (Po*(w/Wn))/(K*(1-(w/Wn)^2)))*SIN(2*PI()*Wn*Sheet2!A1368) +(Po*SIN(2*PI()*w*Sheet2!A1368))/(K*(1-(w/Wn)^2))</f>
        <v>18.07030872148561</v>
      </c>
      <c r="C1368">
        <f t="shared" si="86"/>
        <v>5.0457007902665865</v>
      </c>
      <c r="D1368">
        <f t="shared" si="87"/>
        <v>824.18920719534708</v>
      </c>
      <c r="R1368">
        <f t="shared" si="84"/>
        <v>1.3660000000000001</v>
      </c>
      <c r="S1368">
        <f t="shared" si="85"/>
        <v>5.0457007902665865</v>
      </c>
    </row>
    <row r="1369" spans="1:19" x14ac:dyDescent="0.3">
      <c r="A1369">
        <v>1.367</v>
      </c>
      <c r="B1369">
        <f>Uo*COS(2*PI()*Wn*Sheet2!A1369) + (Vo/Wn - (Po*(w/Wn))/(K*(1-(w/Wn)^2)))*SIN(2*PI()*Wn*Sheet2!A1369) +(Po*SIN(2*PI()*w*Sheet2!A1369))/(K*(1-(w/Wn)^2))</f>
        <v>18.22226772654852</v>
      </c>
      <c r="C1369">
        <f t="shared" si="86"/>
        <v>5.0928829171783603</v>
      </c>
      <c r="D1369">
        <f t="shared" si="87"/>
        <v>831.89616434354343</v>
      </c>
      <c r="R1369">
        <f t="shared" si="84"/>
        <v>1.367</v>
      </c>
      <c r="S1369">
        <f t="shared" si="85"/>
        <v>5.0928829171783603</v>
      </c>
    </row>
    <row r="1370" spans="1:19" x14ac:dyDescent="0.3">
      <c r="A1370">
        <v>1.3680000000000001</v>
      </c>
      <c r="B1370">
        <f>Uo*COS(2*PI()*Wn*Sheet2!A1370) + (Vo/Wn - (Po*(w/Wn))/(K*(1-(w/Wn)^2)))*SIN(2*PI()*Wn*Sheet2!A1370) +(Po*SIN(2*PI()*w*Sheet2!A1370))/(K*(1-(w/Wn)^2))</f>
        <v>18.368273866726639</v>
      </c>
      <c r="C1370">
        <f t="shared" si="86"/>
        <v>5.1383175971344359</v>
      </c>
      <c r="D1370">
        <f t="shared" si="87"/>
        <v>839.3176850417999</v>
      </c>
      <c r="R1370">
        <f t="shared" si="84"/>
        <v>1.3680000000000001</v>
      </c>
      <c r="S1370">
        <f t="shared" si="85"/>
        <v>5.1383175971344359</v>
      </c>
    </row>
    <row r="1371" spans="1:19" x14ac:dyDescent="0.3">
      <c r="A1371">
        <v>1.369</v>
      </c>
      <c r="B1371">
        <f>Uo*COS(2*PI()*Wn*Sheet2!A1371) + (Vo/Wn - (Po*(w/Wn))/(K*(1-(w/Wn)^2)))*SIN(2*PI()*Wn*Sheet2!A1371) +(Po*SIN(2*PI()*w*Sheet2!A1371))/(K*(1-(w/Wn)^2))</f>
        <v>18.508279444618118</v>
      </c>
      <c r="C1371">
        <f t="shared" si="86"/>
        <v>5.1819931564837889</v>
      </c>
      <c r="D1371">
        <f t="shared" si="87"/>
        <v>846.45186245941375</v>
      </c>
      <c r="R1371">
        <f t="shared" si="84"/>
        <v>1.369</v>
      </c>
      <c r="S1371">
        <f t="shared" si="85"/>
        <v>5.1819931564837889</v>
      </c>
    </row>
    <row r="1372" spans="1:19" x14ac:dyDescent="0.3">
      <c r="A1372">
        <v>1.37</v>
      </c>
      <c r="B1372">
        <f>Uo*COS(2*PI()*Wn*Sheet2!A1372) + (Vo/Wn - (Po*(w/Wn))/(K*(1-(w/Wn)^2)))*SIN(2*PI()*Wn*Sheet2!A1372) +(Po*SIN(2*PI()*w*Sheet2!A1372))/(K*(1-(w/Wn)^2))</f>
        <v>18.642238723089687</v>
      </c>
      <c r="C1372">
        <f t="shared" si="86"/>
        <v>5.223898516807874</v>
      </c>
      <c r="D1372">
        <f t="shared" si="87"/>
        <v>853.29688699383894</v>
      </c>
      <c r="R1372">
        <f t="shared" si="84"/>
        <v>1.37</v>
      </c>
      <c r="S1372">
        <f t="shared" si="85"/>
        <v>5.223898516807874</v>
      </c>
    </row>
    <row r="1373" spans="1:19" x14ac:dyDescent="0.3">
      <c r="A1373">
        <v>1.371</v>
      </c>
      <c r="B1373">
        <f>Uo*COS(2*PI()*Wn*Sheet2!A1373) + (Vo/Wn - (Po*(w/Wn))/(K*(1-(w/Wn)^2)))*SIN(2*PI()*Wn*Sheet2!A1373) +(Po*SIN(2*PI()*w*Sheet2!A1373))/(K*(1-(w/Wn)^2))</f>
        <v>18.770107940217859</v>
      </c>
      <c r="C1373">
        <f t="shared" si="86"/>
        <v>5.2640231974614942</v>
      </c>
      <c r="D1373">
        <f t="shared" si="87"/>
        <v>859.85104668572319</v>
      </c>
      <c r="R1373">
        <f t="shared" si="84"/>
        <v>1.371</v>
      </c>
      <c r="S1373">
        <f t="shared" si="85"/>
        <v>5.2640231974614942</v>
      </c>
    </row>
    <row r="1374" spans="1:19" x14ac:dyDescent="0.3">
      <c r="A1374">
        <v>1.3720000000000001</v>
      </c>
      <c r="B1374">
        <f>Uo*COS(2*PI()*Wn*Sheet2!A1374) + (Vo/Wn - (Po*(w/Wn))/(K*(1-(w/Wn)^2)))*SIN(2*PI()*Wn*Sheet2!A1374) +(Po*SIN(2*PI()*w*Sheet2!A1374))/(K*(1-(w/Wn)^2))</f>
        <v>18.891845323585375</v>
      </c>
      <c r="C1374">
        <f t="shared" si="86"/>
        <v>5.3023573179141552</v>
      </c>
      <c r="D1374">
        <f t="shared" si="87"/>
        <v>866.11272760135671</v>
      </c>
      <c r="R1374">
        <f t="shared" si="84"/>
        <v>1.3720000000000001</v>
      </c>
      <c r="S1374">
        <f t="shared" si="85"/>
        <v>5.3023573179141552</v>
      </c>
    </row>
    <row r="1375" spans="1:19" x14ac:dyDescent="0.3">
      <c r="A1375">
        <v>1.373</v>
      </c>
      <c r="B1375">
        <f>Uo*COS(2*PI()*Wn*Sheet2!A1375) + (Vo/Wn - (Po*(w/Wn))/(K*(1-(w/Wn)^2)))*SIN(2*PI()*Wn*Sheet2!A1375) +(Po*SIN(2*PI()*w*Sheet2!A1375))/(K*(1-(w/Wn)^2))</f>
        <v>19.007411103927144</v>
      </c>
      <c r="C1375">
        <f t="shared" si="86"/>
        <v>5.3388915998911219</v>
      </c>
      <c r="D1375">
        <f t="shared" si="87"/>
        <v>872.08041418240282</v>
      </c>
      <c r="R1375">
        <f t="shared" si="84"/>
        <v>1.373</v>
      </c>
      <c r="S1375">
        <f t="shared" si="85"/>
        <v>5.3388915998911219</v>
      </c>
    </row>
    <row r="1376" spans="1:19" x14ac:dyDescent="0.3">
      <c r="A1376">
        <v>1.3740000000000001</v>
      </c>
      <c r="B1376">
        <f>Uo*COS(2*PI()*Wn*Sheet2!A1376) + (Vo/Wn - (Po*(w/Wn))/(K*(1-(w/Wn)^2)))*SIN(2*PI()*Wn*Sheet2!A1376) +(Po*SIN(2*PI()*w*Sheet2!A1376))/(K*(1-(w/Wn)^2))</f>
        <v>19.116767528122352</v>
      </c>
      <c r="C1376">
        <f t="shared" si="86"/>
        <v>5.3736173693142346</v>
      </c>
      <c r="D1376">
        <f t="shared" si="87"/>
        <v>877.75268956291973</v>
      </c>
      <c r="R1376">
        <f t="shared" si="84"/>
        <v>1.3740000000000001</v>
      </c>
      <c r="S1376">
        <f t="shared" si="85"/>
        <v>5.3736173693142346</v>
      </c>
    </row>
    <row r="1377" spans="1:19" x14ac:dyDescent="0.3">
      <c r="A1377">
        <v>1.375</v>
      </c>
      <c r="B1377">
        <f>Uo*COS(2*PI()*Wn*Sheet2!A1377) + (Vo/Wn - (Po*(w/Wn))/(K*(1-(w/Wn)^2)))*SIN(2*PI()*Wn*Sheet2!A1377) +(Po*SIN(2*PI()*w*Sheet2!A1377))/(K*(1-(w/Wn)^2))</f>
        <v>19.219878871527484</v>
      </c>
      <c r="C1377">
        <f t="shared" si="86"/>
        <v>5.40652655804187</v>
      </c>
      <c r="D1377">
        <f t="shared" si="87"/>
        <v>883.12823585357455</v>
      </c>
      <c r="R1377">
        <f t="shared" si="84"/>
        <v>1.375</v>
      </c>
      <c r="S1377">
        <f t="shared" si="85"/>
        <v>5.40652655804187</v>
      </c>
    </row>
    <row r="1378" spans="1:19" x14ac:dyDescent="0.3">
      <c r="A1378">
        <v>1.3759999999999999</v>
      </c>
      <c r="B1378">
        <f>Uo*COS(2*PI()*Wn*Sheet2!A1378) + (Vo/Wn - (Po*(w/Wn))/(K*(1-(w/Wn)^2)))*SIN(2*PI()*Wn*Sheet2!A1378) +(Po*SIN(2*PI()*w*Sheet2!A1378))/(K*(1-(w/Wn)^2))</f>
        <v>19.316711449647091</v>
      </c>
      <c r="C1378">
        <f t="shared" si="86"/>
        <v>5.4376117054080959</v>
      </c>
      <c r="D1378">
        <f t="shared" si="87"/>
        <v>888.20583439305642</v>
      </c>
      <c r="R1378">
        <f t="shared" si="84"/>
        <v>1.3759999999999999</v>
      </c>
      <c r="S1378">
        <f t="shared" si="85"/>
        <v>5.4376117054080959</v>
      </c>
    </row>
    <row r="1379" spans="1:19" x14ac:dyDescent="0.3">
      <c r="A1379">
        <v>1.377</v>
      </c>
      <c r="B1379">
        <f>Uo*COS(2*PI()*Wn*Sheet2!A1379) + (Vo/Wn - (Po*(w/Wn))/(K*(1-(w/Wn)^2)))*SIN(2*PI()*Wn*Sheet2!A1379) +(Po*SIN(2*PI()*w*Sheet2!A1379))/(K*(1-(w/Wn)^2))</f>
        <v>19.407233629137686</v>
      </c>
      <c r="C1379">
        <f t="shared" si="86"/>
        <v>5.4668659595607352</v>
      </c>
      <c r="D1379">
        <f t="shared" si="87"/>
        <v>892.98436596664203</v>
      </c>
      <c r="R1379">
        <f t="shared" si="84"/>
        <v>1.377</v>
      </c>
      <c r="S1379">
        <f t="shared" si="85"/>
        <v>5.4668659595607352</v>
      </c>
    </row>
    <row r="1380" spans="1:19" x14ac:dyDescent="0.3">
      <c r="A1380">
        <v>1.3779999999999999</v>
      </c>
      <c r="B1380">
        <f>Uo*COS(2*PI()*Wn*Sheet2!A1380) + (Vo/Wn - (Po*(w/Wn))/(K*(1-(w/Wn)^2)))*SIN(2*PI()*Wn*Sheet2!A1380) +(Po*SIN(2*PI()*w*Sheet2!A1380))/(K*(1-(w/Wn)^2))</f>
        <v>19.491415838141791</v>
      </c>
      <c r="C1380">
        <f t="shared" si="86"/>
        <v>5.4942830785982455</v>
      </c>
      <c r="D1380">
        <f t="shared" si="87"/>
        <v>897.46281099189935</v>
      </c>
      <c r="R1380">
        <f t="shared" si="84"/>
        <v>1.3779999999999999</v>
      </c>
      <c r="S1380">
        <f t="shared" si="85"/>
        <v>5.4942830785982455</v>
      </c>
    </row>
    <row r="1381" spans="1:19" x14ac:dyDescent="0.3">
      <c r="A1381">
        <v>1.379</v>
      </c>
      <c r="B1381">
        <f>Uo*COS(2*PI()*Wn*Sheet2!A1381) + (Vo/Wn - (Po*(w/Wn))/(K*(1-(w/Wn)^2)))*SIN(2*PI()*Wn*Sheet2!A1381) +(Po*SIN(2*PI()*w*Sheet2!A1381))/(K*(1-(w/Wn)^2))</f>
        <v>19.569230575948577</v>
      </c>
      <c r="C1381">
        <f t="shared" si="86"/>
        <v>5.5198574315055904</v>
      </c>
      <c r="D1381">
        <f t="shared" si="87"/>
        <v>901.64024967155694</v>
      </c>
      <c r="R1381">
        <f t="shared" si="84"/>
        <v>1.379</v>
      </c>
      <c r="S1381">
        <f t="shared" si="85"/>
        <v>5.5198574315055904</v>
      </c>
    </row>
    <row r="1382" spans="1:19" x14ac:dyDescent="0.3">
      <c r="A1382">
        <v>1.38</v>
      </c>
      <c r="B1382">
        <f>Uo*COS(2*PI()*Wn*Sheet2!A1382) + (Vo/Wn - (Po*(w/Wn))/(K*(1-(w/Wn)^2)))*SIN(2*PI()*Wn*Sheet2!A1382) +(Po*SIN(2*PI()*w*Sheet2!A1382))/(K*(1-(w/Wn)^2))</f>
        <v>19.640652421977695</v>
      </c>
      <c r="C1382">
        <f t="shared" si="86"/>
        <v>5.5435839988889191</v>
      </c>
      <c r="D1382">
        <f t="shared" si="87"/>
        <v>905.51586211351059</v>
      </c>
      <c r="R1382">
        <f t="shared" si="84"/>
        <v>1.38</v>
      </c>
      <c r="S1382">
        <f t="shared" si="85"/>
        <v>5.5435839988889191</v>
      </c>
    </row>
    <row r="1383" spans="1:19" x14ac:dyDescent="0.3">
      <c r="A1383">
        <v>1.381</v>
      </c>
      <c r="B1383">
        <f>Uo*COS(2*PI()*Wn*Sheet2!A1383) + (Vo/Wn - (Po*(w/Wn))/(K*(1-(w/Wn)^2)))*SIN(2*PI()*Wn*Sheet2!A1383) +(Po*SIN(2*PI()*w*Sheet2!A1383))/(K*(1-(w/Wn)^2))</f>
        <v>19.705658044083837</v>
      </c>
      <c r="C1383">
        <f t="shared" si="86"/>
        <v>5.5654583735094034</v>
      </c>
      <c r="D1383">
        <f t="shared" si="87"/>
        <v>909.08892841802265</v>
      </c>
      <c r="R1383">
        <f t="shared" si="84"/>
        <v>1.381</v>
      </c>
      <c r="S1383">
        <f t="shared" si="85"/>
        <v>5.5654583735094034</v>
      </c>
    </row>
    <row r="1384" spans="1:19" x14ac:dyDescent="0.3">
      <c r="A1384">
        <v>1.3819999999999999</v>
      </c>
      <c r="B1384">
        <f>Uo*COS(2*PI()*Wn*Sheet2!A1384) + (Vo/Wn - (Po*(w/Wn))/(K*(1-(w/Wn)^2)))*SIN(2*PI()*Wn*Sheet2!A1384) +(Po*SIN(2*PI()*w*Sheet2!A1384))/(K*(1-(w/Wn)^2))</f>
        <v>19.764226206178748</v>
      </c>
      <c r="C1384">
        <f t="shared" si="86"/>
        <v>5.585476760616177</v>
      </c>
      <c r="D1384">
        <f t="shared" si="87"/>
        <v>912.35882873210562</v>
      </c>
      <c r="R1384">
        <f t="shared" si="84"/>
        <v>1.3819999999999999</v>
      </c>
      <c r="S1384">
        <f t="shared" si="85"/>
        <v>5.585476760616177</v>
      </c>
    </row>
    <row r="1385" spans="1:19" x14ac:dyDescent="0.3">
      <c r="A1385">
        <v>1.383</v>
      </c>
      <c r="B1385">
        <f>Uo*COS(2*PI()*Wn*Sheet2!A1385) + (Vo/Wn - (Po*(w/Wn))/(K*(1-(w/Wn)^2)))*SIN(2*PI()*Wn*Sheet2!A1385) +(Po*SIN(2*PI()*w*Sheet2!A1385))/(K*(1-(w/Wn)^2))</f>
        <v>19.816337775168758</v>
      </c>
      <c r="C1385">
        <f t="shared" si="86"/>
        <v>5.60363597807891</v>
      </c>
      <c r="D1385">
        <f t="shared" si="87"/>
        <v>915.32504327117795</v>
      </c>
      <c r="R1385">
        <f t="shared" si="84"/>
        <v>1.383</v>
      </c>
      <c r="S1385">
        <f t="shared" si="85"/>
        <v>5.60363597807891</v>
      </c>
    </row>
    <row r="1386" spans="1:19" x14ac:dyDescent="0.3">
      <c r="A1386">
        <v>1.3839999999999999</v>
      </c>
      <c r="B1386">
        <f>Uo*COS(2*PI()*Wn*Sheet2!A1386) + (Vo/Wn - (Po*(w/Wn))/(K*(1-(w/Wn)^2)))*SIN(2*PI()*Wn*Sheet2!A1386) +(Po*SIN(2*PI()*w*Sheet2!A1386))/(K*(1-(w/Wn)^2))</f>
        <v>19.861975727205127</v>
      </c>
      <c r="C1386">
        <f t="shared" si="86"/>
        <v>5.61993345632008</v>
      </c>
      <c r="D1386">
        <f t="shared" si="87"/>
        <v>917.98715230800087</v>
      </c>
      <c r="R1386">
        <f t="shared" si="84"/>
        <v>1.3839999999999999</v>
      </c>
      <c r="S1386">
        <f t="shared" si="85"/>
        <v>5.61993345632008</v>
      </c>
    </row>
    <row r="1387" spans="1:19" x14ac:dyDescent="0.3">
      <c r="A1387">
        <v>1.385</v>
      </c>
      <c r="B1387">
        <f>Uo*COS(2*PI()*Wn*Sheet2!A1387) + (Vo/Wn - (Po*(w/Wn))/(K*(1-(w/Wn)^2)))*SIN(2*PI()*Wn*Sheet2!A1387) +(Po*SIN(2*PI()*w*Sheet2!A1387))/(K*(1-(w/Wn)^2))</f>
        <v>19.901125153245488</v>
      </c>
      <c r="C1387">
        <f t="shared" si="86"/>
        <v>5.6343672380475311</v>
      </c>
      <c r="D1387">
        <f t="shared" si="87"/>
        <v>920.34483612899305</v>
      </c>
      <c r="R1387">
        <f t="shared" si="84"/>
        <v>1.385</v>
      </c>
      <c r="S1387">
        <f t="shared" si="85"/>
        <v>5.6343672380475311</v>
      </c>
    </row>
    <row r="1388" spans="1:19" x14ac:dyDescent="0.3">
      <c r="A1388">
        <v>1.3859999999999999</v>
      </c>
      <c r="B1388">
        <f>Uo*COS(2*PI()*Wn*Sheet2!A1388) + (Vo/Wn - (Po*(w/Wn))/(K*(1-(w/Wn)^2)))*SIN(2*PI()*Wn*Sheet2!A1388) +(Po*SIN(2*PI()*w*Sheet2!A1388))/(K*(1-(w/Wn)^2))</f>
        <v>19.933773263924241</v>
      </c>
      <c r="C1388">
        <f t="shared" si="86"/>
        <v>5.6469359777875745</v>
      </c>
      <c r="D1388">
        <f t="shared" si="87"/>
        <v>922.39787495796475</v>
      </c>
      <c r="R1388">
        <f t="shared" si="84"/>
        <v>1.3859999999999999</v>
      </c>
      <c r="S1388">
        <f t="shared" si="85"/>
        <v>5.6469359777875745</v>
      </c>
    </row>
    <row r="1389" spans="1:19" x14ac:dyDescent="0.3">
      <c r="A1389">
        <v>1.387</v>
      </c>
      <c r="B1389">
        <f>Uo*COS(2*PI()*Wn*Sheet2!A1389) + (Vo/Wn - (Po*(w/Wn))/(K*(1-(w/Wn)^2)))*SIN(2*PI()*Wn*Sheet2!A1389) +(Po*SIN(2*PI()*w*Sheet2!A1389))/(K*(1-(w/Wn)^2))</f>
        <v>19.959909393730694</v>
      </c>
      <c r="C1389">
        <f t="shared" si="86"/>
        <v>5.6576389412193278</v>
      </c>
      <c r="D1389">
        <f t="shared" si="87"/>
        <v>924.14614884738648</v>
      </c>
      <c r="R1389">
        <f t="shared" si="84"/>
        <v>1.387</v>
      </c>
      <c r="S1389">
        <f t="shared" si="85"/>
        <v>5.6576389412193278</v>
      </c>
    </row>
    <row r="1390" spans="1:19" x14ac:dyDescent="0.3">
      <c r="A1390">
        <v>1.3879999999999999</v>
      </c>
      <c r="B1390">
        <f>Uo*COS(2*PI()*Wn*Sheet2!A1390) + (Vo/Wn - (Po*(w/Wn))/(K*(1-(w/Wn)^2)))*SIN(2*PI()*Wn*Sheet2!A1390) +(Po*SIN(2*PI()*w*Sheet2!A1390))/(K*(1-(w/Wn)^2))</f>
        <v>19.979525004493198</v>
      </c>
      <c r="C1390">
        <f t="shared" si="86"/>
        <v>5.6664760043107432</v>
      </c>
      <c r="D1390">
        <f t="shared" si="87"/>
        <v>925.58963753726266</v>
      </c>
      <c r="R1390">
        <f t="shared" si="84"/>
        <v>1.3879999999999999</v>
      </c>
      <c r="S1390">
        <f t="shared" si="85"/>
        <v>5.6664760043107432</v>
      </c>
    </row>
    <row r="1391" spans="1:19" x14ac:dyDescent="0.3">
      <c r="A1391">
        <v>1.389</v>
      </c>
      <c r="B1391">
        <f>Uo*COS(2*PI()*Wn*Sheet2!A1391) + (Vo/Wn - (Po*(w/Wn))/(K*(1-(w/Wn)^2)))*SIN(2*PI()*Wn*Sheet2!A1391) +(Po*SIN(2*PI()*w*Sheet2!A1391))/(K*(1-(w/Wn)^2))</f>
        <v>19.992613688168479</v>
      </c>
      <c r="C1391">
        <f t="shared" si="86"/>
        <v>5.6734476522570292</v>
      </c>
      <c r="D1391">
        <f t="shared" si="87"/>
        <v>926.72842028172875</v>
      </c>
      <c r="R1391">
        <f t="shared" si="84"/>
        <v>1.389</v>
      </c>
      <c r="S1391">
        <f t="shared" si="85"/>
        <v>5.6734476522570292</v>
      </c>
    </row>
    <row r="1392" spans="1:19" x14ac:dyDescent="0.3">
      <c r="A1392">
        <v>1.39</v>
      </c>
      <c r="B1392">
        <f>Uo*COS(2*PI()*Wn*Sheet2!A1392) + (Vo/Wn - (Po*(w/Wn))/(K*(1-(w/Wn)^2)))*SIN(2*PI()*Wn*Sheet2!A1392) +(Po*SIN(2*PI()*w*Sheet2!A1392))/(K*(1-(w/Wn)^2))</f>
        <v>19.99917116893495</v>
      </c>
      <c r="C1392">
        <f t="shared" si="86"/>
        <v>5.6785549782221088</v>
      </c>
      <c r="D1392">
        <f t="shared" si="87"/>
        <v>927.56267564347502</v>
      </c>
      <c r="R1392">
        <f t="shared" si="84"/>
        <v>1.39</v>
      </c>
      <c r="S1392">
        <f t="shared" si="85"/>
        <v>5.6785549782221088</v>
      </c>
    </row>
    <row r="1393" spans="1:19" x14ac:dyDescent="0.3">
      <c r="A1393">
        <v>1.391</v>
      </c>
      <c r="B1393">
        <f>Uo*COS(2*PI()*Wn*Sheet2!A1393) + (Vo/Wn - (Po*(w/Wn))/(K*(1-(w/Wn)^2)))*SIN(2*PI()*Wn*Sheet2!A1393) +(Po*SIN(2*PI()*w*Sheet2!A1393))/(K*(1-(w/Wn)^2))</f>
        <v>19.999195304589595</v>
      </c>
      <c r="C1393">
        <f t="shared" si="86"/>
        <v>5.6817996818839616</v>
      </c>
      <c r="D1393">
        <f t="shared" si="87"/>
        <v>928.09268125613539</v>
      </c>
      <c r="R1393">
        <f t="shared" si="84"/>
        <v>1.391</v>
      </c>
      <c r="S1393">
        <f t="shared" si="85"/>
        <v>5.6817996818839616</v>
      </c>
    </row>
    <row r="1394" spans="1:19" x14ac:dyDescent="0.3">
      <c r="A1394">
        <v>1.3919999999999999</v>
      </c>
      <c r="B1394">
        <f>Uo*COS(2*PI()*Wn*Sheet2!A1394) + (Vo/Wn - (Po*(w/Wn))/(K*(1-(w/Wn)^2)))*SIN(2*PI()*Wn*Sheet2!A1394) +(Po*SIN(2*PI()*w*Sheet2!A1394))/(K*(1-(w/Wn)^2))</f>
        <v>19.992686087247758</v>
      </c>
      <c r="C1394">
        <f t="shared" si="86"/>
        <v>5.6831840677846044</v>
      </c>
      <c r="D1394">
        <f t="shared" si="87"/>
        <v>928.3188135547656</v>
      </c>
      <c r="R1394">
        <f t="shared" si="84"/>
        <v>1.3919999999999999</v>
      </c>
      <c r="S1394">
        <f t="shared" si="85"/>
        <v>5.6831840677846044</v>
      </c>
    </row>
    <row r="1395" spans="1:19" x14ac:dyDescent="0.3">
      <c r="A1395">
        <v>1.393</v>
      </c>
      <c r="B1395">
        <f>Uo*COS(2*PI()*Wn*Sheet2!A1395) + (Vo/Wn - (Po*(w/Wn))/(K*(1-(w/Wn)^2)))*SIN(2*PI()*Wn*Sheet2!A1395) +(Po*SIN(2*PI()*w*Sheet2!A1395))/(K*(1-(w/Wn)^2))</f>
        <v>19.979645643345727</v>
      </c>
      <c r="C1395">
        <f t="shared" si="86"/>
        <v>5.6827110434856554</v>
      </c>
      <c r="D1395">
        <f t="shared" si="87"/>
        <v>928.24154747456384</v>
      </c>
      <c r="R1395">
        <f t="shared" si="84"/>
        <v>1.393</v>
      </c>
      <c r="S1395">
        <f t="shared" si="85"/>
        <v>5.6827110434856554</v>
      </c>
    </row>
    <row r="1396" spans="1:19" x14ac:dyDescent="0.3">
      <c r="A1396">
        <v>1.3939999999999999</v>
      </c>
      <c r="B1396">
        <f>Uo*COS(2*PI()*Wn*Sheet2!A1396) + (Vo/Wn - (Po*(w/Wn))/(K*(1-(w/Wn)^2)))*SIN(2*PI()*Wn*Sheet2!A1396) +(Po*SIN(2*PI()*w*Sheet2!A1396))/(K*(1-(w/Wn)^2))</f>
        <v>19.960078232946067</v>
      </c>
      <c r="C1396">
        <f t="shared" si="86"/>
        <v>5.6803841175303926</v>
      </c>
      <c r="D1396">
        <f t="shared" si="87"/>
        <v>927.86145611798361</v>
      </c>
      <c r="R1396">
        <f t="shared" si="84"/>
        <v>1.3939999999999999</v>
      </c>
      <c r="S1396">
        <f t="shared" si="85"/>
        <v>5.6803841175303926</v>
      </c>
    </row>
    <row r="1397" spans="1:19" x14ac:dyDescent="0.3">
      <c r="A1397">
        <v>1.395</v>
      </c>
      <c r="B1397">
        <f>Uo*COS(2*PI()*Wn*Sheet2!A1397) + (Vo/Wn - (Po*(w/Wn))/(K*(1-(w/Wn)^2)))*SIN(2*PI()*Wn*Sheet2!A1397) +(Po*SIN(2*PI()*w*Sheet2!A1397))/(K*(1-(w/Wn)^2))</f>
        <v>19.933990248345935</v>
      </c>
      <c r="C1397">
        <f t="shared" si="86"/>
        <v>5.6762073972133438</v>
      </c>
      <c r="D1397">
        <f t="shared" si="87"/>
        <v>927.17921039040777</v>
      </c>
      <c r="R1397">
        <f t="shared" si="84"/>
        <v>1.395</v>
      </c>
      <c r="S1397">
        <f t="shared" si="85"/>
        <v>5.6762073972133438</v>
      </c>
    </row>
    <row r="1398" spans="1:19" x14ac:dyDescent="0.3">
      <c r="A1398">
        <v>1.3959999999999999</v>
      </c>
      <c r="B1398">
        <f>Uo*COS(2*PI()*Wn*Sheet2!A1398) + (Vo/Wn - (Po*(w/Wn))/(K*(1-(w/Wn)^2)))*SIN(2*PI()*Wn*Sheet2!A1398) +(Po*SIN(2*PI()*w*Sheet2!A1398))/(K*(1-(w/Wn)^2))</f>
        <v>19.901390211988865</v>
      </c>
      <c r="C1398">
        <f t="shared" si="86"/>
        <v>5.6701855861584987</v>
      </c>
      <c r="D1398">
        <f t="shared" si="87"/>
        <v>926.19557860456212</v>
      </c>
      <c r="R1398">
        <f t="shared" si="84"/>
        <v>1.3959999999999999</v>
      </c>
      <c r="S1398">
        <f t="shared" si="85"/>
        <v>5.6701855861584987</v>
      </c>
    </row>
    <row r="1399" spans="1:19" x14ac:dyDescent="0.3">
      <c r="A1399">
        <v>1.397</v>
      </c>
      <c r="B1399">
        <f>Uo*COS(2*PI()*Wn*Sheet2!A1399) + (Vo/Wn - (Po*(w/Wn))/(K*(1-(w/Wn)^2)))*SIN(2*PI()*Wn*Sheet2!A1399) +(Po*SIN(2*PI()*w*Sheet2!A1399))/(K*(1-(w/Wn)^2))</f>
        <v>19.862288773680582</v>
      </c>
      <c r="C1399">
        <f t="shared" si="86"/>
        <v>5.6623239817072379</v>
      </c>
      <c r="D1399">
        <f t="shared" si="87"/>
        <v>924.91142605384664</v>
      </c>
      <c r="R1399">
        <f t="shared" si="84"/>
        <v>1.397</v>
      </c>
      <c r="S1399">
        <f t="shared" si="85"/>
        <v>5.6623239817072379</v>
      </c>
    </row>
    <row r="1400" spans="1:19" x14ac:dyDescent="0.3">
      <c r="A1400">
        <v>1.3979999999999999</v>
      </c>
      <c r="B1400">
        <f>Uo*COS(2*PI()*Wn*Sheet2!A1400) + (Vo/Wn - (Po*(w/Wn))/(K*(1-(w/Wn)^2)))*SIN(2*PI()*Wn*Sheet2!A1400) +(Po*SIN(2*PI()*w*Sheet2!A1400))/(K*(1-(w/Wn)^2))</f>
        <v>19.816698707110014</v>
      </c>
      <c r="C1400">
        <f t="shared" si="86"/>
        <v>5.652628472117212</v>
      </c>
      <c r="D1400">
        <f t="shared" si="87"/>
        <v>923.32771455478724</v>
      </c>
      <c r="R1400">
        <f t="shared" si="84"/>
        <v>1.3979999999999999</v>
      </c>
      <c r="S1400">
        <f t="shared" si="85"/>
        <v>5.652628472117212</v>
      </c>
    </row>
    <row r="1401" spans="1:19" x14ac:dyDescent="0.3">
      <c r="A1401">
        <v>1.399</v>
      </c>
      <c r="B1401">
        <f>Uo*COS(2*PI()*Wn*Sheet2!A1401) + (Vo/Wn - (Po*(w/Wn))/(K*(1-(w/Wn)^2)))*SIN(2*PI()*Wn*Sheet2!A1401) +(Po*SIN(2*PI()*w*Sheet2!A1401))/(K*(1-(w/Wn)^2))</f>
        <v>19.764634905676274</v>
      </c>
      <c r="C1401">
        <f t="shared" si="86"/>
        <v>5.6411055335733948</v>
      </c>
      <c r="D1401">
        <f t="shared" si="87"/>
        <v>921.44550195880652</v>
      </c>
      <c r="R1401">
        <f t="shared" si="84"/>
        <v>1.399</v>
      </c>
      <c r="S1401">
        <f t="shared" si="85"/>
        <v>5.6411055335733948</v>
      </c>
    </row>
    <row r="1402" spans="1:19" x14ac:dyDescent="0.3">
      <c r="A1402">
        <v>1.4</v>
      </c>
      <c r="B1402">
        <f>Uo*COS(2*PI()*Wn*Sheet2!A1402) + (Vo/Wn - (Po*(w/Wn))/(K*(1-(w/Wn)^2)))*SIN(2*PI()*Wn*Sheet2!A1402) +(Po*SIN(2*PI()*w*Sheet2!A1402))/(K*(1-(w/Wn)^2))</f>
        <v>19.706114377623361</v>
      </c>
      <c r="C1402">
        <f t="shared" si="86"/>
        <v>5.6277622270126848</v>
      </c>
      <c r="D1402">
        <f t="shared" si="87"/>
        <v>919.265941633539</v>
      </c>
      <c r="R1402">
        <f t="shared" si="84"/>
        <v>1.4</v>
      </c>
      <c r="S1402">
        <f t="shared" si="85"/>
        <v>5.6277622270126848</v>
      </c>
    </row>
    <row r="1403" spans="1:19" x14ac:dyDescent="0.3">
      <c r="A1403">
        <v>1.401</v>
      </c>
      <c r="B1403">
        <f>Uo*COS(2*PI()*Wn*Sheet2!A1403) + (Vo/Wn - (Po*(w/Wn))/(K*(1-(w/Wn)^2)))*SIN(2*PI()*Wn*Sheet2!A1403) +(Po*SIN(2*PI()*w*Sheet2!A1403))/(K*(1-(w/Wn)^2))</f>
        <v>19.64115624048382</v>
      </c>
      <c r="C1403">
        <f t="shared" si="86"/>
        <v>5.6126061947633206</v>
      </c>
      <c r="D1403">
        <f t="shared" si="87"/>
        <v>916.79028191389659</v>
      </c>
      <c r="R1403">
        <f t="shared" si="84"/>
        <v>1.401</v>
      </c>
      <c r="S1403">
        <f t="shared" si="85"/>
        <v>5.6126061947633206</v>
      </c>
    </row>
    <row r="1404" spans="1:19" x14ac:dyDescent="0.3">
      <c r="A1404">
        <v>1.4019999999999999</v>
      </c>
      <c r="B1404">
        <f>Uo*COS(2*PI()*Wn*Sheet2!A1404) + (Vo/Wn - (Po*(w/Wn))/(K*(1-(w/Wn)^2)))*SIN(2*PI()*Wn*Sheet2!A1404) +(Po*SIN(2*PI()*w*Sheet2!A1404))/(K*(1-(w/Wn)^2))</f>
        <v>19.569781714833457</v>
      </c>
      <c r="C1404">
        <f t="shared" si="86"/>
        <v>5.5956456570006798</v>
      </c>
      <c r="D1404">
        <f t="shared" si="87"/>
        <v>914.01986552314213</v>
      </c>
      <c r="R1404">
        <f t="shared" si="84"/>
        <v>1.4019999999999999</v>
      </c>
      <c r="S1404">
        <f t="shared" si="85"/>
        <v>5.5956456570006798</v>
      </c>
    </row>
    <row r="1405" spans="1:19" x14ac:dyDescent="0.3">
      <c r="A1405">
        <v>1.403</v>
      </c>
      <c r="B1405">
        <f>Uo*COS(2*PI()*Wn*Sheet2!A1405) + (Vo/Wn - (Po*(w/Wn))/(K*(1-(w/Wn)^2)))*SIN(2*PI()*Wn*Sheet2!A1405) +(Po*SIN(2*PI()*w*Sheet2!A1405))/(K*(1-(w/Wn)^2))</f>
        <v>19.492014117358949</v>
      </c>
      <c r="C1405">
        <f t="shared" si="86"/>
        <v>5.5768894080208025</v>
      </c>
      <c r="D1405">
        <f t="shared" si="87"/>
        <v>910.956128964188</v>
      </c>
      <c r="R1405">
        <f t="shared" si="84"/>
        <v>1.403</v>
      </c>
      <c r="S1405">
        <f t="shared" si="85"/>
        <v>5.5768894080208025</v>
      </c>
    </row>
    <row r="1406" spans="1:19" x14ac:dyDescent="0.3">
      <c r="A1406">
        <v>1.4039999999999999</v>
      </c>
      <c r="B1406">
        <f>Uo*COS(2*PI()*Wn*Sheet2!A1406) + (Vo/Wn - (Po*(w/Wn))/(K*(1-(w/Wn)^2)))*SIN(2*PI()*Wn*Sheet2!A1406) +(Po*SIN(2*PI()*w*Sheet2!A1406))/(K*(1-(w/Wn)^2))</f>
        <v>19.407878853240788</v>
      </c>
      <c r="C1406">
        <f t="shared" si="86"/>
        <v>5.5563468123333424</v>
      </c>
      <c r="D1406">
        <f t="shared" si="87"/>
        <v>907.60060188140039</v>
      </c>
      <c r="R1406">
        <f t="shared" si="84"/>
        <v>1.4039999999999999</v>
      </c>
      <c r="S1406">
        <f t="shared" si="85"/>
        <v>5.5563468123333424</v>
      </c>
    </row>
    <row r="1407" spans="1:19" x14ac:dyDescent="0.3">
      <c r="A1407">
        <v>1.405</v>
      </c>
      <c r="B1407">
        <f>Uo*COS(2*PI()*Wn*Sheet2!A1407) + (Vo/Wn - (Po*(w/Wn))/(K*(1-(w/Wn)^2)))*SIN(2*PI()*Wn*Sheet2!A1407) +(Po*SIN(2*PI()*w*Sheet2!A1407))/(K*(1-(w/Wn)^2))</f>
        <v>19.317403407853831</v>
      </c>
      <c r="C1407">
        <f t="shared" si="86"/>
        <v>5.5340278005753794</v>
      </c>
      <c r="D1407">
        <f t="shared" si="87"/>
        <v>903.95490639314153</v>
      </c>
      <c r="R1407">
        <f t="shared" si="84"/>
        <v>1.405</v>
      </c>
      <c r="S1407">
        <f t="shared" si="85"/>
        <v>5.5340278005753794</v>
      </c>
    </row>
    <row r="1408" spans="1:19" x14ac:dyDescent="0.3">
      <c r="A1408">
        <v>1.4059999999999999</v>
      </c>
      <c r="B1408">
        <f>Uo*COS(2*PI()*Wn*Sheet2!A1408) + (Vo/Wn - (Po*(w/Wn))/(K*(1-(w/Wn)^2)))*SIN(2*PI()*Wn*Sheet2!A1408) +(Po*SIN(2*PI()*w*Sheet2!A1408))/(K*(1-(w/Wn)^2))</f>
        <v>19.220617337788394</v>
      </c>
      <c r="C1408">
        <f t="shared" si="86"/>
        <v>5.509942865247897</v>
      </c>
      <c r="D1408">
        <f t="shared" si="87"/>
        <v>900.02075639534496</v>
      </c>
      <c r="R1408">
        <f t="shared" si="84"/>
        <v>1.4059999999999999</v>
      </c>
      <c r="S1408">
        <f t="shared" si="85"/>
        <v>5.509942865247897</v>
      </c>
    </row>
    <row r="1409" spans="1:19" x14ac:dyDescent="0.3">
      <c r="A1409">
        <v>1.407</v>
      </c>
      <c r="B1409">
        <f>Uo*COS(2*PI()*Wn*Sheet2!A1409) + (Vo/Wn - (Po*(w/Wn))/(K*(1-(w/Wn)^2)))*SIN(2*PI()*Wn*Sheet2!A1409) +(Po*SIN(2*PI()*w*Sheet2!A1409))/(K*(1-(w/Wn)^2))</f>
        <v>19.117552261194646</v>
      </c>
      <c r="C1409">
        <f t="shared" si="86"/>
        <v>5.4841030562765436</v>
      </c>
      <c r="D1409">
        <f t="shared" si="87"/>
        <v>895.79995683638947</v>
      </c>
      <c r="R1409">
        <f t="shared" ref="R1409:R1472" si="88">A1409</f>
        <v>1.407</v>
      </c>
      <c r="S1409">
        <f t="shared" ref="S1409:S1472" si="89">C1409</f>
        <v>5.4841030562765436</v>
      </c>
    </row>
    <row r="1410" spans="1:19" x14ac:dyDescent="0.3">
      <c r="A1410">
        <v>1.4079999999999999</v>
      </c>
      <c r="B1410">
        <f>Uo*COS(2*PI()*Wn*Sheet2!A1410) + (Vo/Wn - (Po*(w/Wn))/(K*(1-(w/Wn)^2)))*SIN(2*PI()*Wn*Sheet2!A1410) +(Po*SIN(2*PI()*w*Sheet2!A1410))/(K*(1-(w/Wn)^2))</f>
        <v>19.008241847453661</v>
      </c>
      <c r="C1410">
        <f t="shared" ref="C1410:C1473" si="90">EXP(-zeta*Wn*A1410*2*PI())*($H$1*COS(wnD*2*PI()*A1410) + $H$2*SIN(wnD*2*PI()*A1410)) + $H$3*SIN(w*2*PI()*A1410) + $H$4*COS(w*2*PI()*A1410)</f>
        <v>5.4565199763984991</v>
      </c>
      <c r="D1410">
        <f t="shared" ref="D1410:D1473" si="91">K*C1410</f>
        <v>891.29440296356654</v>
      </c>
      <c r="R1410">
        <f t="shared" si="88"/>
        <v>1.4079999999999999</v>
      </c>
      <c r="S1410">
        <f t="shared" si="89"/>
        <v>5.4565199763984991</v>
      </c>
    </row>
    <row r="1411" spans="1:19" x14ac:dyDescent="0.3">
      <c r="A1411">
        <v>1.409</v>
      </c>
      <c r="B1411">
        <f>Uo*COS(2*PI()*Wn*Sheet2!A1411) + (Vo/Wn - (Po*(w/Wn))/(K*(1-(w/Wn)^2)))*SIN(2*PI()*Wn*Sheet2!A1411) +(Po*SIN(2*PI()*w*Sheet2!A1411))/(K*(1-(w/Wn)^2))</f>
        <v>18.892721806178137</v>
      </c>
      <c r="C1411">
        <f t="shared" si="90"/>
        <v>5.4272057763772015</v>
      </c>
      <c r="D1411">
        <f t="shared" si="91"/>
        <v>886.5060795414314</v>
      </c>
      <c r="R1411">
        <f t="shared" si="88"/>
        <v>1.409</v>
      </c>
      <c r="S1411">
        <f t="shared" si="89"/>
        <v>5.4272057763772015</v>
      </c>
    </row>
    <row r="1412" spans="1:19" x14ac:dyDescent="0.3">
      <c r="A1412">
        <v>1.41</v>
      </c>
      <c r="B1412">
        <f>Uo*COS(2*PI()*Wn*Sheet2!A1412) + (Vo/Wn - (Po*(w/Wn))/(K*(1-(w/Wn)^2)))*SIN(2*PI()*Wn*Sheet2!A1412) +(Po*SIN(2*PI()*w*Sheet2!A1412))/(K*(1-(w/Wn)^2))</f>
        <v>18.771029875546862</v>
      </c>
      <c r="C1412">
        <f t="shared" si="90"/>
        <v>5.3961731500468932</v>
      </c>
      <c r="D1412">
        <f t="shared" si="91"/>
        <v>881.43706004235503</v>
      </c>
      <c r="R1412">
        <f t="shared" si="88"/>
        <v>1.41</v>
      </c>
      <c r="S1412">
        <f t="shared" si="89"/>
        <v>5.3961731500468932</v>
      </c>
    </row>
    <row r="1413" spans="1:19" x14ac:dyDescent="0.3">
      <c r="A1413">
        <v>1.411</v>
      </c>
      <c r="B1413">
        <f>Uo*COS(2*PI()*Wn*Sheet2!A1413) + (Vo/Wn - (Po*(w/Wn))/(K*(1-(w/Wn)^2)))*SIN(2*PI()*Wn*Sheet2!A1413) +(Po*SIN(2*PI()*w*Sheet2!A1413))/(K*(1-(w/Wn)^2))</f>
        <v>18.643205809976294</v>
      </c>
      <c r="C1413">
        <f t="shared" si="90"/>
        <v>5.3634353291888255</v>
      </c>
      <c r="D1413">
        <f t="shared" si="91"/>
        <v>876.08950580957844</v>
      </c>
      <c r="R1413">
        <f t="shared" si="88"/>
        <v>1.411</v>
      </c>
      <c r="S1413">
        <f t="shared" si="89"/>
        <v>5.3634353291888255</v>
      </c>
    </row>
    <row r="1414" spans="1:19" x14ac:dyDescent="0.3">
      <c r="A1414">
        <v>1.4119999999999999</v>
      </c>
      <c r="B1414">
        <f>Uo*COS(2*PI()*Wn*Sheet2!A1414) + (Vo/Wn - (Po*(w/Wn))/(K*(1-(w/Wn)^2)))*SIN(2*PI()*Wn*Sheet2!A1414) +(Po*SIN(2*PI()*w*Sheet2!A1414))/(K*(1-(w/Wn)^2))</f>
        <v>18.509291367133688</v>
      </c>
      <c r="C1414">
        <f t="shared" si="90"/>
        <v>5.3290060782411928</v>
      </c>
      <c r="D1414">
        <f t="shared" si="91"/>
        <v>870.46566519310784</v>
      </c>
      <c r="R1414">
        <f t="shared" si="88"/>
        <v>1.4119999999999999</v>
      </c>
      <c r="S1414">
        <f t="shared" si="89"/>
        <v>5.3290060782411928</v>
      </c>
    </row>
    <row r="1415" spans="1:19" x14ac:dyDescent="0.3">
      <c r="A1415">
        <v>1.413</v>
      </c>
      <c r="B1415">
        <f>Uo*COS(2*PI()*Wn*Sheet2!A1415) + (Vo/Wn - (Po*(w/Wn))/(K*(1-(w/Wn)^2)))*SIN(2*PI()*Wn*Sheet2!A1415) +(Po*SIN(2*PI()*w*Sheet2!A1415))/(K*(1-(w/Wn)^2))</f>
        <v>18.369330294295473</v>
      </c>
      <c r="C1415">
        <f t="shared" si="90"/>
        <v>5.2928996888446811</v>
      </c>
      <c r="D1415">
        <f t="shared" si="91"/>
        <v>864.56787265875801</v>
      </c>
      <c r="R1415">
        <f t="shared" si="88"/>
        <v>1.413</v>
      </c>
      <c r="S1415">
        <f t="shared" si="89"/>
        <v>5.2928996888446811</v>
      </c>
    </row>
    <row r="1416" spans="1:19" x14ac:dyDescent="0.3">
      <c r="A1416">
        <v>1.4139999999999999</v>
      </c>
      <c r="B1416">
        <f>Uo*COS(2*PI()*Wn*Sheet2!A1416) + (Vo/Wn - (Po*(w/Wn))/(K*(1-(w/Wn)^2)))*SIN(2*PI()*Wn*Sheet2!A1416) +(Po*SIN(2*PI()*w*Sheet2!A1416))/(K*(1-(w/Wn)^2))</f>
        <v>18.223368314056103</v>
      </c>
      <c r="C1416">
        <f t="shared" si="90"/>
        <v>5.2551309742258994</v>
      </c>
      <c r="D1416">
        <f t="shared" si="91"/>
        <v>858.39854787071476</v>
      </c>
      <c r="R1416">
        <f t="shared" si="88"/>
        <v>1.4139999999999999</v>
      </c>
      <c r="S1416">
        <f t="shared" si="89"/>
        <v>5.2551309742258994</v>
      </c>
    </row>
    <row r="1417" spans="1:19" x14ac:dyDescent="0.3">
      <c r="A1417">
        <v>1.415</v>
      </c>
      <c r="B1417">
        <f>Uo*COS(2*PI()*Wn*Sheet2!A1417) + (Vo/Wn - (Po*(w/Wn))/(K*(1-(w/Wn)^2)))*SIN(2*PI()*Wn*Sheet2!A1417) +(Po*SIN(2*PI()*w*Sheet2!A1417))/(K*(1-(w/Wn)^2))</f>
        <v>18.071453109391026</v>
      </c>
      <c r="C1417">
        <f t="shared" si="90"/>
        <v>5.2157152634205932</v>
      </c>
      <c r="D1417">
        <f t="shared" si="91"/>
        <v>851.96019474792683</v>
      </c>
      <c r="R1417">
        <f t="shared" si="88"/>
        <v>1.415</v>
      </c>
      <c r="S1417">
        <f t="shared" si="89"/>
        <v>5.2157152634205932</v>
      </c>
    </row>
    <row r="1418" spans="1:19" x14ac:dyDescent="0.3">
      <c r="A1418">
        <v>1.4159999999999999</v>
      </c>
      <c r="B1418">
        <f>Uo*COS(2*PI()*Wn*Sheet2!A1418) + (Vo/Wn - (Po*(w/Wn))/(K*(1-(w/Wn)^2)))*SIN(2*PI()*Wn*Sheet2!A1418) +(Po*SIN(2*PI()*w*Sheet2!A1418))/(K*(1-(w/Wn)^2))</f>
        <v>17.91363430807997</v>
      </c>
      <c r="C1418">
        <f t="shared" si="90"/>
        <v>5.1746683953390926</v>
      </c>
      <c r="D1418">
        <f t="shared" si="91"/>
        <v>845.25540049472727</v>
      </c>
      <c r="R1418">
        <f t="shared" si="88"/>
        <v>1.4159999999999999</v>
      </c>
      <c r="S1418">
        <f t="shared" si="89"/>
        <v>5.1746683953390926</v>
      </c>
    </row>
    <row r="1419" spans="1:19" x14ac:dyDescent="0.3">
      <c r="A1419">
        <v>1.417</v>
      </c>
      <c r="B1419">
        <f>Uo*COS(2*PI()*Wn*Sheet2!A1419) + (Vo/Wn - (Po*(w/Wn))/(K*(1-(w/Wn)^2)))*SIN(2*PI()*Wn*Sheet2!A1419) +(Po*SIN(2*PI()*w*Sheet2!A1419))/(K*(1-(w/Wn)^2))</f>
        <v>17.749963466494158</v>
      </c>
      <c r="C1419">
        <f t="shared" si="90"/>
        <v>5.132006712675893</v>
      </c>
      <c r="D1419">
        <f t="shared" si="91"/>
        <v>838.28683460599484</v>
      </c>
      <c r="R1419">
        <f t="shared" si="88"/>
        <v>1.417</v>
      </c>
      <c r="S1419">
        <f t="shared" si="89"/>
        <v>5.132006712675893</v>
      </c>
    </row>
    <row r="1420" spans="1:19" x14ac:dyDescent="0.3">
      <c r="A1420">
        <v>1.4179999999999999</v>
      </c>
      <c r="B1420">
        <f>Uo*COS(2*PI()*Wn*Sheet2!A1420) + (Vo/Wn - (Po*(w/Wn))/(K*(1-(w/Wn)^2)))*SIN(2*PI()*Wn*Sheet2!A1420) +(Po*SIN(2*PI()*w*Sheet2!A1420))/(K*(1-(w/Wn)^2))</f>
        <v>17.580494052754126</v>
      </c>
      <c r="C1420">
        <f t="shared" si="90"/>
        <v>5.0877470556659592</v>
      </c>
      <c r="D1420">
        <f t="shared" si="91"/>
        <v>831.05724784727863</v>
      </c>
      <c r="R1420">
        <f t="shared" si="88"/>
        <v>1.4179999999999999</v>
      </c>
      <c r="S1420">
        <f t="shared" si="89"/>
        <v>5.0877470556659592</v>
      </c>
    </row>
    <row r="1421" spans="1:19" x14ac:dyDescent="0.3">
      <c r="A1421">
        <v>1.419</v>
      </c>
      <c r="B1421">
        <f>Uo*COS(2*PI()*Wn*Sheet2!A1421) + (Vo/Wn - (Po*(w/Wn))/(K*(1-(w/Wn)^2)))*SIN(2*PI()*Wn*Sheet2!A1421) +(Po*SIN(2*PI()*w*Sheet2!A1421))/(K*(1-(w/Wn)^2))</f>
        <v>17.405281429262342</v>
      </c>
      <c r="C1421">
        <f t="shared" si="90"/>
        <v>5.0419067556897526</v>
      </c>
      <c r="D1421">
        <f t="shared" si="91"/>
        <v>823.56947121021199</v>
      </c>
      <c r="R1421">
        <f t="shared" si="88"/>
        <v>1.419</v>
      </c>
      <c r="S1421">
        <f t="shared" si="89"/>
        <v>5.0419067556897526</v>
      </c>
    </row>
    <row r="1422" spans="1:19" x14ac:dyDescent="0.3">
      <c r="A1422">
        <v>1.42</v>
      </c>
      <c r="B1422">
        <f>Uo*COS(2*PI()*Wn*Sheet2!A1422) + (Vo/Wn - (Po*(w/Wn))/(K*(1-(w/Wn)^2)))*SIN(2*PI()*Wn*Sheet2!A1422) +(Po*SIN(2*PI()*w*Sheet2!A1422))/(K*(1-(w/Wn)^2))</f>
        <v>17.224382834617824</v>
      </c>
      <c r="C1422">
        <f t="shared" si="90"/>
        <v>4.9945036287297002</v>
      </c>
      <c r="D1422">
        <f t="shared" si="91"/>
        <v>815.82641484366081</v>
      </c>
      <c r="R1422">
        <f t="shared" si="88"/>
        <v>1.42</v>
      </c>
      <c r="S1422">
        <f t="shared" si="89"/>
        <v>4.9945036287297002</v>
      </c>
    </row>
    <row r="1423" spans="1:19" x14ac:dyDescent="0.3">
      <c r="A1423">
        <v>1.421</v>
      </c>
      <c r="B1423">
        <f>Uo*COS(2*PI()*Wn*Sheet2!A1423) + (Vo/Wn - (Po*(w/Wn))/(K*(1-(w/Wn)^2)))*SIN(2*PI()*Wn*Sheet2!A1423) +(Po*SIN(2*PI()*w*Sheet2!A1423))/(K*(1-(w/Wn)^2))</f>
        <v>17.037857364916988</v>
      </c>
      <c r="C1423">
        <f t="shared" si="90"/>
        <v>4.9455559686801189</v>
      </c>
      <c r="D1423">
        <f t="shared" si="91"/>
        <v>807.83106696093387</v>
      </c>
      <c r="R1423">
        <f t="shared" si="88"/>
        <v>1.421</v>
      </c>
      <c r="S1423">
        <f t="shared" si="89"/>
        <v>4.9455559686801189</v>
      </c>
    </row>
    <row r="1424" spans="1:19" x14ac:dyDescent="0.3">
      <c r="A1424">
        <v>1.4219999999999999</v>
      </c>
      <c r="B1424">
        <f>Uo*COS(2*PI()*Wn*Sheet2!A1424) + (Vo/Wn - (Po*(w/Wn))/(K*(1-(w/Wn)^2)))*SIN(2*PI()*Wn*Sheet2!A1424) +(Po*SIN(2*PI()*w*Sheet2!A1424))/(K*(1-(w/Wn)^2))</f>
        <v>16.845765954448442</v>
      </c>
      <c r="C1424">
        <f t="shared" si="90"/>
        <v>4.8950825405133944</v>
      </c>
      <c r="D1424">
        <f t="shared" si="91"/>
        <v>799.5864927235134</v>
      </c>
      <c r="R1424">
        <f t="shared" si="88"/>
        <v>1.4219999999999999</v>
      </c>
      <c r="S1424">
        <f t="shared" si="89"/>
        <v>4.8950825405133944</v>
      </c>
    </row>
    <row r="1425" spans="1:19" x14ac:dyDescent="0.3">
      <c r="A1425">
        <v>1.423</v>
      </c>
      <c r="B1425">
        <f>Uo*COS(2*PI()*Wn*Sheet2!A1425) + (Vo/Wn - (Po*(w/Wn))/(K*(1-(w/Wn)^2)))*SIN(2*PI()*Wn*Sheet2!A1425) +(Po*SIN(2*PI()*w*Sheet2!A1425))/(K*(1-(w/Wn)^2))</f>
        <v>16.648171355786481</v>
      </c>
      <c r="C1425">
        <f t="shared" si="90"/>
        <v>4.8431025733045843</v>
      </c>
      <c r="D1425">
        <f t="shared" si="91"/>
        <v>791.09583310166022</v>
      </c>
      <c r="R1425">
        <f t="shared" si="88"/>
        <v>1.423</v>
      </c>
      <c r="S1425">
        <f t="shared" si="89"/>
        <v>4.8431025733045843</v>
      </c>
    </row>
    <row r="1426" spans="1:19" x14ac:dyDescent="0.3">
      <c r="A1426">
        <v>1.4239999999999999</v>
      </c>
      <c r="B1426">
        <f>Uo*COS(2*PI()*Wn*Sheet2!A1426) + (Vo/Wn - (Po*(w/Wn))/(K*(1-(w/Wn)^2)))*SIN(2*PI()*Wn*Sheet2!A1426) +(Po*SIN(2*PI()*w*Sheet2!A1426))/(K*(1-(w/Wn)^2))</f>
        <v>16.445138119291549</v>
      </c>
      <c r="C1426">
        <f t="shared" si="90"/>
        <v>4.789635753117361</v>
      </c>
      <c r="D1426">
        <f t="shared" si="91"/>
        <v>782.36230371236888</v>
      </c>
      <c r="R1426">
        <f t="shared" si="88"/>
        <v>1.4239999999999999</v>
      </c>
      <c r="S1426">
        <f t="shared" si="89"/>
        <v>4.789635753117361</v>
      </c>
    </row>
    <row r="1427" spans="1:19" x14ac:dyDescent="0.3">
      <c r="A1427">
        <v>1.425</v>
      </c>
      <c r="B1427">
        <f>Uo*COS(2*PI()*Wn*Sheet2!A1427) + (Vo/Wn - (Po*(w/Wn))/(K*(1-(w/Wn)^2)))*SIN(2*PI()*Wn*Sheet2!A1427) +(Po*SIN(2*PI()*w*Sheet2!A1427))/(K*(1-(w/Wn)^2))</f>
        <v>16.236732572022422</v>
      </c>
      <c r="C1427">
        <f t="shared" si="90"/>
        <v>4.7347022157533951</v>
      </c>
      <c r="D1427">
        <f t="shared" si="91"/>
        <v>773.38919363501714</v>
      </c>
      <c r="R1427">
        <f t="shared" si="88"/>
        <v>1.425</v>
      </c>
      <c r="S1427">
        <f t="shared" si="89"/>
        <v>4.7347022157533951</v>
      </c>
    </row>
    <row r="1428" spans="1:19" x14ac:dyDescent="0.3">
      <c r="A1428">
        <v>1.4259999999999999</v>
      </c>
      <c r="B1428">
        <f>Uo*COS(2*PI()*Wn*Sheet2!A1428) + (Vo/Wn - (Po*(w/Wn))/(K*(1-(w/Wn)^2)))*SIN(2*PI()*Wn*Sheet2!A1428) +(Po*SIN(2*PI()*w*Sheet2!A1428))/(K*(1-(w/Wn)^2))</f>
        <v>16.023022796068833</v>
      </c>
      <c r="C1428">
        <f t="shared" si="90"/>
        <v>4.6783225393682866</v>
      </c>
      <c r="D1428">
        <f t="shared" si="91"/>
        <v>764.17986420521595</v>
      </c>
      <c r="R1428">
        <f t="shared" si="88"/>
        <v>1.4259999999999999</v>
      </c>
      <c r="S1428">
        <f t="shared" si="89"/>
        <v>4.6783225393682866</v>
      </c>
    </row>
    <row r="1429" spans="1:19" x14ac:dyDescent="0.3">
      <c r="A1429">
        <v>1.427</v>
      </c>
      <c r="B1429">
        <f>Uo*COS(2*PI()*Wn*Sheet2!A1429) + (Vo/Wn - (Po*(w/Wn))/(K*(1-(w/Wn)^2)))*SIN(2*PI()*Wn*Sheet2!A1429) +(Po*SIN(2*PI()*w*Sheet2!A1429))/(K*(1-(w/Wn)^2))</f>
        <v>15.804078606309847</v>
      </c>
      <c r="C1429">
        <f t="shared" si="90"/>
        <v>4.6205177369561978</v>
      </c>
      <c r="D1429">
        <f t="shared" si="91"/>
        <v>754.73774778721372</v>
      </c>
      <c r="R1429">
        <f t="shared" si="88"/>
        <v>1.427</v>
      </c>
      <c r="S1429">
        <f t="shared" si="89"/>
        <v>4.6205177369561978</v>
      </c>
    </row>
    <row r="1430" spans="1:19" x14ac:dyDescent="0.3">
      <c r="A1430">
        <v>1.4279999999999999</v>
      </c>
      <c r="B1430">
        <f>Uo*COS(2*PI()*Wn*Sheet2!A1430) + (Vo/Wn - (Po*(w/Wn))/(K*(1-(w/Wn)^2)))*SIN(2*PI()*Wn*Sheet2!A1430) +(Po*SIN(2*PI()*w*Sheet2!A1430))/(K*(1-(w/Wn)^2))</f>
        <v>15.579971527607299</v>
      </c>
      <c r="C1430">
        <f t="shared" si="90"/>
        <v>4.5613092487064231</v>
      </c>
      <c r="D1430">
        <f t="shared" si="91"/>
        <v>745.0663465253806</v>
      </c>
      <c r="R1430">
        <f t="shared" si="88"/>
        <v>1.4279999999999999</v>
      </c>
      <c r="S1430">
        <f t="shared" si="89"/>
        <v>4.5613092487064231</v>
      </c>
    </row>
    <row r="1431" spans="1:19" x14ac:dyDescent="0.3">
      <c r="A1431">
        <v>1.429</v>
      </c>
      <c r="B1431">
        <f>Uo*COS(2*PI()*Wn*Sheet2!A1431) + (Vo/Wn - (Po*(w/Wn))/(K*(1-(w/Wn)^2)))*SIN(2*PI()*Wn*Sheet2!A1431) +(Po*SIN(2*PI()*w*Sheet2!A1431))/(K*(1-(w/Wn)^2))</f>
        <v>15.350774771439449</v>
      </c>
      <c r="C1431">
        <f t="shared" si="90"/>
        <v>4.5007189342340519</v>
      </c>
      <c r="D1431">
        <f t="shared" si="91"/>
        <v>735.16923107512775</v>
      </c>
      <c r="R1431">
        <f t="shared" si="88"/>
        <v>1.429</v>
      </c>
      <c r="S1431">
        <f t="shared" si="89"/>
        <v>4.5007189342340519</v>
      </c>
    </row>
    <row r="1432" spans="1:19" x14ac:dyDescent="0.3">
      <c r="A1432">
        <v>1.43</v>
      </c>
      <c r="B1432">
        <f>Uo*COS(2*PI()*Wn*Sheet2!A1432) + (Vo/Wn - (Po*(w/Wn))/(K*(1-(w/Wn)^2)))*SIN(2*PI()*Wn*Sheet2!A1432) +(Po*SIN(2*PI()*w*Sheet2!A1432))/(K*(1-(w/Wn)^2))</f>
        <v>15.116563211984666</v>
      </c>
      <c r="C1432">
        <f t="shared" si="90"/>
        <v>4.4387690646879943</v>
      </c>
      <c r="D1432">
        <f t="shared" si="91"/>
        <v>725.05003931379406</v>
      </c>
      <c r="R1432">
        <f t="shared" si="88"/>
        <v>1.43</v>
      </c>
      <c r="S1432">
        <f t="shared" si="89"/>
        <v>4.4387690646879943</v>
      </c>
    </row>
    <row r="1433" spans="1:19" x14ac:dyDescent="0.3">
      <c r="A1433">
        <v>1.431</v>
      </c>
      <c r="B1433">
        <f>Uo*COS(2*PI()*Wn*Sheet2!A1433) + (Vo/Wn - (Po*(w/Wn))/(K*(1-(w/Wn)^2)))*SIN(2*PI()*Wn*Sheet2!A1433) +(Po*SIN(2*PI()*w*Sheet2!A1433))/(K*(1-(w/Wn)^2))</f>
        <v>14.877413361660913</v>
      </c>
      <c r="C1433">
        <f t="shared" si="90"/>
        <v>4.375482314738707</v>
      </c>
      <c r="D1433">
        <f t="shared" si="91"/>
        <v>714.71247503188238</v>
      </c>
      <c r="R1433">
        <f t="shared" si="88"/>
        <v>1.431</v>
      </c>
      <c r="S1433">
        <f t="shared" si="89"/>
        <v>4.375482314738707</v>
      </c>
    </row>
    <row r="1434" spans="1:19" x14ac:dyDescent="0.3">
      <c r="A1434">
        <v>1.4319999999999999</v>
      </c>
      <c r="B1434">
        <f>Uo*COS(2*PI()*Wn*Sheet2!A1434) + (Vo/Wn - (Po*(w/Wn))/(K*(1-(w/Wn)^2)))*SIN(2*PI()*Wn*Sheet2!A1434) +(Po*SIN(2*PI()*w*Sheet2!A1434))/(K*(1-(w/Wn)^2))</f>
        <v>14.633403346131264</v>
      </c>
      <c r="C1434">
        <f t="shared" si="90"/>
        <v>4.3108817544489844</v>
      </c>
      <c r="D1434">
        <f t="shared" si="91"/>
        <v>704.16030660519516</v>
      </c>
      <c r="R1434">
        <f t="shared" si="88"/>
        <v>1.4319999999999999</v>
      </c>
      <c r="S1434">
        <f t="shared" si="89"/>
        <v>4.3108817544489844</v>
      </c>
    </row>
    <row r="1435" spans="1:19" x14ac:dyDescent="0.3">
      <c r="A1435">
        <v>1.4330000000000001</v>
      </c>
      <c r="B1435">
        <f>Uo*COS(2*PI()*Wn*Sheet2!A1435) + (Vo/Wn - (Po*(w/Wn))/(K*(1-(w/Wn)^2)))*SIN(2*PI()*Wn*Sheet2!A1435) +(Po*SIN(2*PI()*w*Sheet2!A1435))/(K*(1-(w/Wn)^2))</f>
        <v>14.384612878781173</v>
      </c>
      <c r="C1435">
        <f t="shared" si="90"/>
        <v>4.2449908410300559</v>
      </c>
      <c r="D1435">
        <f t="shared" si="91"/>
        <v>693.39736564823556</v>
      </c>
      <c r="R1435">
        <f t="shared" si="88"/>
        <v>1.4330000000000001</v>
      </c>
      <c r="S1435">
        <f t="shared" si="89"/>
        <v>4.2449908410300559</v>
      </c>
    </row>
    <row r="1436" spans="1:19" x14ac:dyDescent="0.3">
      <c r="A1436">
        <v>1.4339999999999999</v>
      </c>
      <c r="B1436">
        <f>Uo*COS(2*PI()*Wn*Sheet2!A1436) + (Vo/Wn - (Po*(w/Wn))/(K*(1-(w/Wn)^2)))*SIN(2*PI()*Wn*Sheet2!A1436) +(Po*SIN(2*PI()*w*Sheet2!A1436))/(K*(1-(w/Wn)^2))</f>
        <v>14.131123234678091</v>
      </c>
      <c r="C1436">
        <f t="shared" si="90"/>
        <v>4.1778334104864854</v>
      </c>
      <c r="D1436">
        <f t="shared" si="91"/>
        <v>682.4275456494446</v>
      </c>
      <c r="R1436">
        <f t="shared" si="88"/>
        <v>1.4339999999999999</v>
      </c>
      <c r="S1436">
        <f t="shared" si="89"/>
        <v>4.1778334104864854</v>
      </c>
    </row>
    <row r="1437" spans="1:19" x14ac:dyDescent="0.3">
      <c r="A1437">
        <v>1.4350000000000001</v>
      </c>
      <c r="B1437">
        <f>Uo*COS(2*PI()*Wn*Sheet2!A1437) + (Vo/Wn - (Po*(w/Wn))/(K*(1-(w/Wn)^2)))*SIN(2*PI()*Wn*Sheet2!A1437) +(Po*SIN(2*PI()*w*Sheet2!A1437))/(K*(1-(w/Wn)^2))</f>
        <v>13.873017224020114</v>
      </c>
      <c r="C1437">
        <f t="shared" si="90"/>
        <v>4.109433669152307</v>
      </c>
      <c r="D1437">
        <f t="shared" si="91"/>
        <v>671.25480058867277</v>
      </c>
      <c r="R1437">
        <f t="shared" si="88"/>
        <v>1.4350000000000001</v>
      </c>
      <c r="S1437">
        <f t="shared" si="89"/>
        <v>4.109433669152307</v>
      </c>
    </row>
    <row r="1438" spans="1:19" x14ac:dyDescent="0.3">
      <c r="A1438">
        <v>1.4359999999999999</v>
      </c>
      <c r="B1438">
        <f>Uo*COS(2*PI()*Wn*Sheet2!A1438) + (Vo/Wn - (Po*(w/Wn))/(K*(1-(w/Wn)^2)))*SIN(2*PI()*Wn*Sheet2!A1438) +(Po*SIN(2*PI()*w*Sheet2!A1438))/(K*(1-(w/Wn)^2))</f>
        <v>13.610379165083677</v>
      </c>
      <c r="C1438">
        <f t="shared" si="90"/>
        <v>4.0398161851217367</v>
      </c>
      <c r="D1438">
        <f t="shared" si="91"/>
        <v>659.88314353743112</v>
      </c>
      <c r="R1438">
        <f t="shared" si="88"/>
        <v>1.4359999999999999</v>
      </c>
      <c r="S1438">
        <f t="shared" si="89"/>
        <v>4.0398161851217367</v>
      </c>
    </row>
    <row r="1439" spans="1:19" x14ac:dyDescent="0.3">
      <c r="A1439">
        <v>1.4370000000000001</v>
      </c>
      <c r="B1439">
        <f>Uo*COS(2*PI()*Wn*Sheet2!A1439) + (Vo/Wn - (Po*(w/Wn))/(K*(1-(w/Wn)^2)))*SIN(2*PI()*Wn*Sheet2!A1439) +(Po*SIN(2*PI()*w*Sheet2!A1439))/(K*(1-(w/Wn)^2))</f>
        <v>13.343294856678288</v>
      </c>
      <c r="C1439">
        <f t="shared" si="90"/>
        <v>3.9690058795771845</v>
      </c>
      <c r="D1439">
        <f t="shared" si="91"/>
        <v>648.31664524236646</v>
      </c>
      <c r="R1439">
        <f t="shared" si="88"/>
        <v>1.4370000000000001</v>
      </c>
      <c r="S1439">
        <f t="shared" si="89"/>
        <v>3.9690058795771845</v>
      </c>
    </row>
    <row r="1440" spans="1:19" x14ac:dyDescent="0.3">
      <c r="A1440">
        <v>1.4379999999999999</v>
      </c>
      <c r="B1440">
        <f>Uo*COS(2*PI()*Wn*Sheet2!A1440) + (Vo/Wn - (Po*(w/Wn))/(K*(1-(w/Wn)^2)))*SIN(2*PI()*Wn*Sheet2!A1440) +(Po*SIN(2*PI()*w*Sheet2!A1440))/(K*(1-(w/Wn)^2))</f>
        <v>13.07185155011792</v>
      </c>
      <c r="C1440">
        <f t="shared" si="90"/>
        <v>3.8970280180177799</v>
      </c>
      <c r="D1440">
        <f t="shared" si="91"/>
        <v>636.55943269248644</v>
      </c>
      <c r="R1440">
        <f t="shared" si="88"/>
        <v>1.4379999999999999</v>
      </c>
      <c r="S1440">
        <f t="shared" si="89"/>
        <v>3.8970280180177799</v>
      </c>
    </row>
    <row r="1441" spans="1:19" x14ac:dyDescent="0.3">
      <c r="A1441">
        <v>1.4390000000000001</v>
      </c>
      <c r="B1441">
        <f>Uo*COS(2*PI()*Wn*Sheet2!A1441) + (Vo/Wn - (Po*(w/Wn))/(K*(1-(w/Wn)^2)))*SIN(2*PI()*Wn*Sheet2!A1441) +(Po*SIN(2*PI()*w*Sheet2!A1441))/(K*(1-(w/Wn)^2))</f>
        <v>12.796137920717364</v>
      </c>
      <c r="C1441">
        <f t="shared" si="90"/>
        <v>3.8239082013912147</v>
      </c>
      <c r="D1441">
        <f t="shared" si="91"/>
        <v>624.61568767059146</v>
      </c>
      <c r="R1441">
        <f t="shared" si="88"/>
        <v>1.4390000000000001</v>
      </c>
      <c r="S1441">
        <f t="shared" si="89"/>
        <v>3.8239082013912147</v>
      </c>
    </row>
    <row r="1442" spans="1:19" x14ac:dyDescent="0.3">
      <c r="A1442">
        <v>1.44</v>
      </c>
      <c r="B1442">
        <f>Uo*COS(2*PI()*Wn*Sheet2!A1442) + (Vo/Wn - (Po*(w/Wn))/(K*(1-(w/Wn)^2)))*SIN(2*PI()*Wn*Sheet2!A1442) +(Po*SIN(2*PI()*w*Sheet2!A1442))/(K*(1-(w/Wn)^2))</f>
        <v>12.516244038823924</v>
      </c>
      <c r="C1442">
        <f t="shared" si="90"/>
        <v>3.7496723571322597</v>
      </c>
      <c r="D1442">
        <f t="shared" si="91"/>
        <v>612.48964528946317</v>
      </c>
      <c r="R1442">
        <f t="shared" si="88"/>
        <v>1.44</v>
      </c>
      <c r="S1442">
        <f t="shared" si="89"/>
        <v>3.7496723571322597</v>
      </c>
    </row>
    <row r="1443" spans="1:19" x14ac:dyDescent="0.3">
      <c r="A1443">
        <v>1.4410000000000001</v>
      </c>
      <c r="B1443">
        <f>Uo*COS(2*PI()*Wn*Sheet2!A1443) + (Vo/Wn - (Po*(w/Wn))/(K*(1-(w/Wn)^2)))*SIN(2*PI()*Wn*Sheet2!A1443) +(Po*SIN(2*PI()*w*Sheet2!A1443))/(K*(1-(w/Wn)^2))</f>
        <v>12.232261340393046</v>
      </c>
      <c r="C1443">
        <f t="shared" si="90"/>
        <v>3.6743467301107988</v>
      </c>
      <c r="D1443">
        <f t="shared" si="91"/>
        <v>600.18559251327179</v>
      </c>
      <c r="R1443">
        <f t="shared" si="88"/>
        <v>1.4410000000000001</v>
      </c>
      <c r="S1443">
        <f t="shared" si="89"/>
        <v>3.6743467301107988</v>
      </c>
    </row>
    <row r="1444" spans="1:19" x14ac:dyDescent="0.3">
      <c r="A1444">
        <v>1.4419999999999999</v>
      </c>
      <c r="B1444">
        <f>Uo*COS(2*PI()*Wn*Sheet2!A1444) + (Vo/Wn - (Po*(w/Wn))/(K*(1-(w/Wn)^2)))*SIN(2*PI()*Wn*Sheet2!A1444) +(Po*SIN(2*PI()*w*Sheet2!A1444))/(K*(1-(w/Wn)^2))</f>
        <v>11.944282597118177</v>
      </c>
      <c r="C1444">
        <f t="shared" si="90"/>
        <v>3.597957873492716</v>
      </c>
      <c r="D1444">
        <f t="shared" si="91"/>
        <v>587.70786666474999</v>
      </c>
      <c r="R1444">
        <f t="shared" si="88"/>
        <v>1.4419999999999999</v>
      </c>
      <c r="S1444">
        <f t="shared" si="89"/>
        <v>3.597957873492716</v>
      </c>
    </row>
    <row r="1445" spans="1:19" x14ac:dyDescent="0.3">
      <c r="A1445">
        <v>1.4430000000000001</v>
      </c>
      <c r="B1445">
        <f>Uo*COS(2*PI()*Wn*Sheet2!A1445) + (Vo/Wn - (Po*(w/Wn))/(K*(1-(w/Wn)^2)))*SIN(2*PI()*Wn*Sheet2!A1445) +(Po*SIN(2*PI()*w*Sheet2!A1445))/(K*(1-(w/Wn)^2))</f>
        <v>11.652401886123698</v>
      </c>
      <c r="C1445">
        <f t="shared" si="90"/>
        <v>3.5205326395165035</v>
      </c>
      <c r="D1445">
        <f t="shared" si="91"/>
        <v>575.06085391859835</v>
      </c>
      <c r="R1445">
        <f t="shared" si="88"/>
        <v>1.4430000000000001</v>
      </c>
      <c r="S1445">
        <f t="shared" si="89"/>
        <v>3.5205326395165035</v>
      </c>
    </row>
    <row r="1446" spans="1:19" x14ac:dyDescent="0.3">
      <c r="A1446">
        <v>1.444</v>
      </c>
      <c r="B1446">
        <f>Uo*COS(2*PI()*Wn*Sheet2!A1446) + (Vo/Wn - (Po*(w/Wn))/(K*(1-(w/Wn)^2)))*SIN(2*PI()*Wn*Sheet2!A1446) +(Po*SIN(2*PI()*w*Sheet2!A1446))/(K*(1-(w/Wn)^2))</f>
        <v>11.356714559231955</v>
      </c>
      <c r="C1446">
        <f t="shared" si="90"/>
        <v>3.4420981701890585</v>
      </c>
      <c r="D1446">
        <f t="shared" si="91"/>
        <v>562.24898778169268</v>
      </c>
      <c r="R1446">
        <f t="shared" si="88"/>
        <v>1.444</v>
      </c>
      <c r="S1446">
        <f t="shared" si="89"/>
        <v>3.4420981701890585</v>
      </c>
    </row>
    <row r="1447" spans="1:19" x14ac:dyDescent="0.3">
      <c r="A1447">
        <v>1.4450000000000001</v>
      </c>
      <c r="B1447">
        <f>Uo*COS(2*PI()*Wn*Sheet2!A1447) + (Vo/Wn - (Po*(w/Wn))/(K*(1-(w/Wn)^2)))*SIN(2*PI()*Wn*Sheet2!A1447) +(Po*SIN(2*PI()*w*Sheet2!A1447))/(K*(1-(w/Wn)^2))</f>
        <v>11.057317211813542</v>
      </c>
      <c r="C1447">
        <f t="shared" si="90"/>
        <v>3.3626818879036131</v>
      </c>
      <c r="D1447">
        <f t="shared" si="91"/>
        <v>549.2767475605707</v>
      </c>
      <c r="R1447">
        <f t="shared" si="88"/>
        <v>1.4450000000000001</v>
      </c>
      <c r="S1447">
        <f t="shared" si="89"/>
        <v>3.3626818879036131</v>
      </c>
    </row>
    <row r="1448" spans="1:19" x14ac:dyDescent="0.3">
      <c r="A1448">
        <v>1.446</v>
      </c>
      <c r="B1448">
        <f>Uo*COS(2*PI()*Wn*Sheet2!A1448) + (Vo/Wn - (Po*(w/Wn))/(K*(1-(w/Wn)^2)))*SIN(2*PI()*Wn*Sheet2!A1448) +(Po*SIN(2*PI()*w*Sheet2!A1448))/(K*(1-(w/Wn)^2))</f>
        <v>10.754307651231676</v>
      </c>
      <c r="C1448">
        <f t="shared" si="90"/>
        <v>3.2823114859832008</v>
      </c>
      <c r="D1448">
        <f t="shared" si="91"/>
        <v>536.14865681675622</v>
      </c>
      <c r="R1448">
        <f t="shared" si="88"/>
        <v>1.446</v>
      </c>
      <c r="S1448">
        <f t="shared" si="89"/>
        <v>3.2823114859832008</v>
      </c>
    </row>
    <row r="1449" spans="1:19" x14ac:dyDescent="0.3">
      <c r="A1449">
        <v>1.4470000000000001</v>
      </c>
      <c r="B1449">
        <f>Uo*COS(2*PI()*Wn*Sheet2!A1449) + (Vo/Wn - (Po*(w/Wn))/(K*(1-(w/Wn)^2)))*SIN(2*PI()*Wn*Sheet2!A1449) +(Po*SIN(2*PI()*w*Sheet2!A1449))/(K*(1-(w/Wn)^2))</f>
        <v>10.447784864890007</v>
      </c>
      <c r="C1449">
        <f t="shared" si="90"/>
        <v>3.2010149191525801</v>
      </c>
      <c r="D1449">
        <f t="shared" si="91"/>
        <v>522.86928181039707</v>
      </c>
      <c r="R1449">
        <f t="shared" si="88"/>
        <v>1.4470000000000001</v>
      </c>
      <c r="S1449">
        <f t="shared" si="89"/>
        <v>3.2010149191525801</v>
      </c>
    </row>
    <row r="1450" spans="1:19" x14ac:dyDescent="0.3">
      <c r="A1450">
        <v>1.448</v>
      </c>
      <c r="B1450">
        <f>Uo*COS(2*PI()*Wn*Sheet2!A1450) + (Vo/Wn - (Po*(w/Wn))/(K*(1-(w/Wn)^2)))*SIN(2*PI()*Wn*Sheet2!A1450) +(Po*SIN(2*PI()*w*Sheet2!A1450))/(K*(1-(w/Wn)^2))</f>
        <v>10.137848987895858</v>
      </c>
      <c r="C1450">
        <f t="shared" si="90"/>
        <v>3.118820393942316</v>
      </c>
      <c r="D1450">
        <f t="shared" si="91"/>
        <v>509.44322993282105</v>
      </c>
      <c r="R1450">
        <f t="shared" si="88"/>
        <v>1.448</v>
      </c>
      <c r="S1450">
        <f t="shared" si="89"/>
        <v>3.118820393942316</v>
      </c>
    </row>
    <row r="1451" spans="1:19" x14ac:dyDescent="0.3">
      <c r="A1451">
        <v>1.4490000000000001</v>
      </c>
      <c r="B1451">
        <f>Uo*COS(2*PI()*Wn*Sheet2!A1451) + (Vo/Wn - (Po*(w/Wn))/(K*(1-(w/Wn)^2)))*SIN(2*PI()*Wn*Sheet2!A1451) +(Po*SIN(2*PI()*w*Sheet2!A1451))/(K*(1-(w/Wn)^2))</f>
        <v>9.8246012703472942</v>
      </c>
      <c r="C1451">
        <f t="shared" si="90"/>
        <v>3.0357563590276557</v>
      </c>
      <c r="D1451">
        <f t="shared" si="91"/>
        <v>495.87514812844131</v>
      </c>
      <c r="R1451">
        <f t="shared" si="88"/>
        <v>1.4490000000000001</v>
      </c>
      <c r="S1451">
        <f t="shared" si="89"/>
        <v>3.0357563590276557</v>
      </c>
    </row>
    <row r="1452" spans="1:19" x14ac:dyDescent="0.3">
      <c r="A1452">
        <v>1.45</v>
      </c>
      <c r="B1452">
        <f>Uo*COS(2*PI()*Wn*Sheet2!A1452) + (Vo/Wn - (Po*(w/Wn))/(K*(1-(w/Wn)^2)))*SIN(2*PI()*Wn*Sheet2!A1452) +(Po*SIN(2*PI()*w*Sheet2!A1452))/(K*(1-(w/Wn)^2))</f>
        <v>9.5081440442575094</v>
      </c>
      <c r="C1452">
        <f t="shared" si="90"/>
        <v>2.9518514955062423</v>
      </c>
      <c r="D1452">
        <f t="shared" si="91"/>
        <v>482.16972130667097</v>
      </c>
      <c r="R1452">
        <f t="shared" si="88"/>
        <v>1.45</v>
      </c>
      <c r="S1452">
        <f t="shared" si="89"/>
        <v>2.9518514955062423</v>
      </c>
    </row>
    <row r="1453" spans="1:19" x14ac:dyDescent="0.3">
      <c r="A1453">
        <v>1.4510000000000001</v>
      </c>
      <c r="B1453">
        <f>Uo*COS(2*PI()*Wn*Sheet2!A1453) + (Vo/Wn - (Po*(w/Wn))/(K*(1-(w/Wn)^2)))*SIN(2*PI()*Wn*Sheet2!A1453) +(Po*SIN(2*PI()*w*Sheet2!A1453))/(K*(1-(w/Wn)^2))</f>
        <v>9.1885806901241871</v>
      </c>
      <c r="C1453">
        <f t="shared" si="90"/>
        <v>2.8671347071171103</v>
      </c>
      <c r="D1453">
        <f t="shared" si="91"/>
        <v>468.33167074424637</v>
      </c>
      <c r="R1453">
        <f t="shared" si="88"/>
        <v>1.4510000000000001</v>
      </c>
      <c r="S1453">
        <f t="shared" si="89"/>
        <v>2.8671347071171103</v>
      </c>
    </row>
    <row r="1454" spans="1:19" x14ac:dyDescent="0.3">
      <c r="A1454">
        <v>1.452</v>
      </c>
      <c r="B1454">
        <f>Uo*COS(2*PI()*Wn*Sheet2!A1454) + (Vo/Wn - (Po*(w/Wn))/(K*(1-(w/Wn)^2)))*SIN(2*PI()*Wn*Sheet2!A1454) +(Po*SIN(2*PI()*w*Sheet2!A1454))/(K*(1-(w/Wn)^2))</f>
        <v>8.8660156031576971</v>
      </c>
      <c r="C1454">
        <f t="shared" si="90"/>
        <v>2.7816351104050243</v>
      </c>
      <c r="D1454">
        <f t="shared" si="91"/>
        <v>454.36575247862271</v>
      </c>
      <c r="R1454">
        <f t="shared" si="88"/>
        <v>1.452</v>
      </c>
      <c r="S1454">
        <f t="shared" si="89"/>
        <v>2.7816351104050243</v>
      </c>
    </row>
    <row r="1455" spans="1:19" x14ac:dyDescent="0.3">
      <c r="A1455">
        <v>1.4530000000000001</v>
      </c>
      <c r="B1455">
        <f>Uo*COS(2*PI()*Wn*Sheet2!A1455) + (Vo/Wn - (Po*(w/Wn))/(K*(1-(w/Wn)^2)))*SIN(2*PI()*Wn*Sheet2!A1455) +(Po*SIN(2*PI()*w*Sheet2!A1455))/(K*(1-(w/Wn)^2))</f>
        <v>8.5405541591764322</v>
      </c>
      <c r="C1455">
        <f t="shared" si="90"/>
        <v>2.6953820248327682</v>
      </c>
      <c r="D1455">
        <f t="shared" si="91"/>
        <v>440.27675569286714</v>
      </c>
      <c r="R1455">
        <f t="shared" si="88"/>
        <v>1.4530000000000001</v>
      </c>
      <c r="S1455">
        <f t="shared" si="89"/>
        <v>2.6953820248327682</v>
      </c>
    </row>
    <row r="1456" spans="1:19" x14ac:dyDescent="0.3">
      <c r="A1456">
        <v>1.454</v>
      </c>
      <c r="B1456">
        <f>Uo*COS(2*PI()*Wn*Sheet2!A1456) + (Vo/Wn - (Po*(w/Wn))/(K*(1-(w/Wn)^2)))*SIN(2*PI()*Wn*Sheet2!A1456) +(Po*SIN(2*PI()*w*Sheet2!A1456))/(K*(1-(w/Wn)^2))</f>
        <v>8.2123026801834413</v>
      </c>
      <c r="C1456">
        <f t="shared" si="90"/>
        <v>2.6084049628454906</v>
      </c>
      <c r="D1456">
        <f t="shared" si="91"/>
        <v>426.06950109272123</v>
      </c>
      <c r="R1456">
        <f t="shared" si="88"/>
        <v>1.454</v>
      </c>
      <c r="S1456">
        <f t="shared" si="89"/>
        <v>2.6084049628454906</v>
      </c>
    </row>
    <row r="1457" spans="1:19" x14ac:dyDescent="0.3">
      <c r="A1457">
        <v>1.4550000000000001</v>
      </c>
      <c r="B1457">
        <f>Uo*COS(2*PI()*Wn*Sheet2!A1457) + (Vo/Wn - (Po*(w/Wn))/(K*(1-(w/Wn)^2)))*SIN(2*PI()*Wn*Sheet2!A1457) +(Po*SIN(2*PI()*w*Sheet2!A1457))/(K*(1-(w/Wn)^2))</f>
        <v>7.881368399632299</v>
      </c>
      <c r="C1457">
        <f t="shared" si="90"/>
        <v>2.5207336198895653</v>
      </c>
      <c r="D1457">
        <f t="shared" si="91"/>
        <v>411.74883927623296</v>
      </c>
      <c r="R1457">
        <f t="shared" si="88"/>
        <v>1.4550000000000001</v>
      </c>
      <c r="S1457">
        <f t="shared" si="89"/>
        <v>2.5207336198895653</v>
      </c>
    </row>
    <row r="1458" spans="1:19" x14ac:dyDescent="0.3">
      <c r="A1458">
        <v>1.456</v>
      </c>
      <c r="B1458">
        <f>Uo*COS(2*PI()*Wn*Sheet2!A1458) + (Vo/Wn - (Po*(w/Wn))/(K*(1-(w/Wn)^2)))*SIN(2*PI()*Wn*Sheet2!A1458) +(Po*SIN(2*PI()*w*Sheet2!A1458))/(K*(1-(w/Wn)^2))</f>
        <v>7.5478594273966539</v>
      </c>
      <c r="C1458">
        <f t="shared" si="90"/>
        <v>2.4323978643901327</v>
      </c>
      <c r="D1458">
        <f t="shared" si="91"/>
        <v>397.31964909663992</v>
      </c>
      <c r="R1458">
        <f t="shared" si="88"/>
        <v>1.456</v>
      </c>
      <c r="S1458">
        <f t="shared" si="89"/>
        <v>2.4323978643901327</v>
      </c>
    </row>
    <row r="1459" spans="1:19" x14ac:dyDescent="0.3">
      <c r="A1459">
        <v>1.4570000000000001</v>
      </c>
      <c r="B1459">
        <f>Uo*COS(2*PI()*Wn*Sheet2!A1459) + (Vo/Wn - (Po*(w/Wn))/(K*(1-(w/Wn)^2)))*SIN(2*PI()*Wn*Sheet2!A1459) +(Po*SIN(2*PI()*w*Sheet2!A1459))/(K*(1-(w/Wn)^2))</f>
        <v>7.2118847144520153</v>
      </c>
      <c r="C1459">
        <f t="shared" si="90"/>
        <v>2.3434277276898845</v>
      </c>
      <c r="D1459">
        <f t="shared" si="91"/>
        <v>382.78683601892175</v>
      </c>
      <c r="R1459">
        <f t="shared" si="88"/>
        <v>1.4570000000000001</v>
      </c>
      <c r="S1459">
        <f t="shared" si="89"/>
        <v>2.3434277276898845</v>
      </c>
    </row>
    <row r="1460" spans="1:19" x14ac:dyDescent="0.3">
      <c r="A1460">
        <v>1.458</v>
      </c>
      <c r="B1460">
        <f>Uo*COS(2*PI()*Wn*Sheet2!A1460) + (Vo/Wn - (Po*(w/Wn))/(K*(1-(w/Wn)^2)))*SIN(2*PI()*Wn*Sheet2!A1460) +(Po*SIN(2*PI()*w*Sheet2!A1460))/(K*(1-(w/Wn)^2))</f>
        <v>6.8735540172844853</v>
      </c>
      <c r="C1460">
        <f t="shared" si="90"/>
        <v>2.2538533939533121</v>
      </c>
      <c r="D1460">
        <f t="shared" si="91"/>
        <v>368.15533047071096</v>
      </c>
      <c r="R1460">
        <f t="shared" si="88"/>
        <v>1.458</v>
      </c>
      <c r="S1460">
        <f t="shared" si="89"/>
        <v>2.2538533939533121</v>
      </c>
    </row>
    <row r="1461" spans="1:19" x14ac:dyDescent="0.3">
      <c r="A1461">
        <v>1.4590000000000001</v>
      </c>
      <c r="B1461">
        <f>Uo*COS(2*PI()*Wn*Sheet2!A1461) + (Vo/Wn - (Po*(w/Wn))/(K*(1-(w/Wn)^2)))*SIN(2*PI()*Wn*Sheet2!A1461) +(Po*SIN(2*PI()*w*Sheet2!A1461))/(K*(1-(w/Wn)^2))</f>
        <v>6.5329778620346328</v>
      </c>
      <c r="C1461">
        <f t="shared" si="90"/>
        <v>2.1637051900388458</v>
      </c>
      <c r="D1461">
        <f t="shared" si="91"/>
        <v>353.43008618795932</v>
      </c>
      <c r="R1461">
        <f t="shared" si="88"/>
        <v>1.4590000000000001</v>
      </c>
      <c r="S1461">
        <f t="shared" si="89"/>
        <v>2.1637051900388458</v>
      </c>
    </row>
    <row r="1462" spans="1:19" x14ac:dyDescent="0.3">
      <c r="A1462">
        <v>1.46</v>
      </c>
      <c r="B1462">
        <f>Uo*COS(2*PI()*Wn*Sheet2!A1462) + (Vo/Wn - (Po*(w/Wn))/(K*(1-(w/Wn)^2)))*SIN(2*PI()*Wn*Sheet2!A1462) +(Po*SIN(2*PI()*w*Sheet2!A1462))/(K*(1-(w/Wn)^2))</f>
        <v>6.1902675083913881</v>
      </c>
      <c r="C1462">
        <f t="shared" si="90"/>
        <v>2.0730135753430936</v>
      </c>
      <c r="D1462">
        <f t="shared" si="91"/>
        <v>338.61607855604649</v>
      </c>
      <c r="R1462">
        <f t="shared" si="88"/>
        <v>1.46</v>
      </c>
      <c r="S1462">
        <f t="shared" si="89"/>
        <v>2.0730135753430936</v>
      </c>
    </row>
    <row r="1463" spans="1:19" x14ac:dyDescent="0.3">
      <c r="A1463">
        <v>1.4610000000000001</v>
      </c>
      <c r="B1463">
        <f>Uo*COS(2*PI()*Wn*Sheet2!A1463) + (Vo/Wn - (Po*(w/Wn))/(K*(1-(w/Wn)^2)))*SIN(2*PI()*Wn*Sheet2!A1463) +(Po*SIN(2*PI()*w*Sheet2!A1463))/(K*(1-(w/Wn)^2))</f>
        <v>5.8455349132448386</v>
      </c>
      <c r="C1463">
        <f t="shared" si="90"/>
        <v>1.9818091316197777</v>
      </c>
      <c r="D1463">
        <f t="shared" si="91"/>
        <v>323.71830294675578</v>
      </c>
      <c r="R1463">
        <f t="shared" si="88"/>
        <v>1.4610000000000001</v>
      </c>
      <c r="S1463">
        <f t="shared" si="89"/>
        <v>1.9818091316197777</v>
      </c>
    </row>
    <row r="1464" spans="1:19" x14ac:dyDescent="0.3">
      <c r="A1464">
        <v>1.462</v>
      </c>
      <c r="B1464">
        <f>Uo*COS(2*PI()*Wn*Sheet2!A1464) + (Vo/Wn - (Po*(w/Wn))/(K*(1-(w/Wn)^2)))*SIN(2*PI()*Wn*Sheet2!A1464) +(Po*SIN(2*PI()*w*Sheet2!A1464))/(K*(1-(w/Wn)^2))</f>
        <v>5.4988926941129979</v>
      </c>
      <c r="C1464">
        <f t="shared" si="90"/>
        <v>1.8901225527775798</v>
      </c>
      <c r="D1464">
        <f t="shared" si="91"/>
        <v>308.7417730518049</v>
      </c>
      <c r="R1464">
        <f t="shared" si="88"/>
        <v>1.462</v>
      </c>
      <c r="S1464">
        <f t="shared" si="89"/>
        <v>1.8901225527775798</v>
      </c>
    </row>
    <row r="1465" spans="1:19" x14ac:dyDescent="0.3">
      <c r="A1465">
        <v>1.4630000000000001</v>
      </c>
      <c r="B1465">
        <f>Uo*COS(2*PI()*Wn*Sheet2!A1465) + (Vo/Wn - (Po*(w/Wn))/(K*(1-(w/Wn)^2)))*SIN(2*PI()*Wn*Sheet2!A1465) +(Po*SIN(2*PI()*w*Sheet2!A1465))/(K*(1-(w/Wn)^2))</f>
        <v>5.1504540923510262</v>
      </c>
      <c r="C1465">
        <f t="shared" si="90"/>
        <v>1.7979846346593387</v>
      </c>
      <c r="D1465">
        <f t="shared" si="91"/>
        <v>293.69151921333048</v>
      </c>
      <c r="R1465">
        <f t="shared" si="88"/>
        <v>1.4630000000000001</v>
      </c>
      <c r="S1465">
        <f t="shared" si="89"/>
        <v>1.7979846346593387</v>
      </c>
    </row>
    <row r="1466" spans="1:19" x14ac:dyDescent="0.3">
      <c r="A1466">
        <v>1.464</v>
      </c>
      <c r="B1466">
        <f>Uo*COS(2*PI()*Wn*Sheet2!A1466) + (Vo/Wn - (Po*(w/Wn))/(K*(1-(w/Wn)^2)))*SIN(2*PI()*Wn*Sheet2!A1466) +(Po*SIN(2*PI()*w*Sheet2!A1466))/(K*(1-(w/Wn)^2))</f>
        <v>4.8003329361581253</v>
      </c>
      <c r="C1466">
        <f t="shared" si="90"/>
        <v>1.705426264806833</v>
      </c>
      <c r="D1466">
        <f t="shared" si="91"/>
        <v>278.57258675201825</v>
      </c>
      <c r="R1466">
        <f t="shared" si="88"/>
        <v>1.464</v>
      </c>
      <c r="S1466">
        <f t="shared" si="89"/>
        <v>1.705426264806833</v>
      </c>
    </row>
    <row r="1467" spans="1:19" x14ac:dyDescent="0.3">
      <c r="A1467">
        <v>1.4650000000000001</v>
      </c>
      <c r="B1467">
        <f>Uo*COS(2*PI()*Wn*Sheet2!A1467) + (Vo/Wn - (Po*(w/Wn))/(K*(1-(w/Wn)^2)))*SIN(2*PI()*Wn*Sheet2!A1467) +(Po*SIN(2*PI()*w*Sheet2!A1467))/(K*(1-(w/Wn)^2))</f>
        <v>4.4486436033912344</v>
      </c>
      <c r="C1467">
        <f t="shared" si="90"/>
        <v>1.6124784122137199</v>
      </c>
      <c r="D1467">
        <f t="shared" si="91"/>
        <v>263.39003429329819</v>
      </c>
      <c r="R1467">
        <f t="shared" si="88"/>
        <v>1.4650000000000001</v>
      </c>
      <c r="S1467">
        <f t="shared" si="89"/>
        <v>1.6124784122137199</v>
      </c>
    </row>
    <row r="1468" spans="1:19" x14ac:dyDescent="0.3">
      <c r="A1468">
        <v>1.466</v>
      </c>
      <c r="B1468">
        <f>Uo*COS(2*PI()*Wn*Sheet2!A1468) + (Vo/Wn - (Po*(w/Wn))/(K*(1-(w/Wn)^2)))*SIN(2*PI()*Wn*Sheet2!A1468) +(Po*SIN(2*PI()*w*Sheet2!A1468))/(K*(1-(w/Wn)^2))</f>
        <v>4.0955009842009407</v>
      </c>
      <c r="C1468">
        <f t="shared" si="90"/>
        <v>1.519172117070859</v>
      </c>
      <c r="D1468">
        <f t="shared" si="91"/>
        <v>248.14893209229615</v>
      </c>
      <c r="R1468">
        <f t="shared" si="88"/>
        <v>1.466</v>
      </c>
      <c r="S1468">
        <f t="shared" si="89"/>
        <v>1.519172117070859</v>
      </c>
    </row>
    <row r="1469" spans="1:19" x14ac:dyDescent="0.3">
      <c r="A1469">
        <v>1.4670000000000001</v>
      </c>
      <c r="B1469">
        <f>Uo*COS(2*PI()*Wn*Sheet2!A1469) + (Vo/Wn - (Po*(w/Wn))/(K*(1-(w/Wn)^2)))*SIN(2*PI()*Wn*Sheet2!A1469) +(Po*SIN(2*PI()*w*Sheet2!A1469))/(K*(1-(w/Wn)^2))</f>
        <v>3.7410204434982526</v>
      </c>
      <c r="C1469">
        <f t="shared" si="90"/>
        <v>1.425538480506453</v>
      </c>
      <c r="D1469">
        <f t="shared" si="91"/>
        <v>232.85436035793899</v>
      </c>
      <c r="R1469">
        <f t="shared" si="88"/>
        <v>1.4670000000000001</v>
      </c>
      <c r="S1469">
        <f t="shared" si="89"/>
        <v>1.425538480506453</v>
      </c>
    </row>
    <row r="1470" spans="1:19" x14ac:dyDescent="0.3">
      <c r="A1470">
        <v>1.468</v>
      </c>
      <c r="B1470">
        <f>Uo*COS(2*PI()*Wn*Sheet2!A1470) + (Vo/Wn - (Po*(w/Wn))/(K*(1-(w/Wn)^2)))*SIN(2*PI()*Wn*Sheet2!A1470) +(Po*SIN(2*PI()*w*Sheet2!A1470))/(K*(1-(w/Wn)^2))</f>
        <v>3.3853177832677135</v>
      </c>
      <c r="C1470">
        <f t="shared" si="90"/>
        <v>1.3316086543252037</v>
      </c>
      <c r="D1470">
        <f t="shared" si="91"/>
        <v>217.51140757689816</v>
      </c>
      <c r="R1470">
        <f t="shared" si="88"/>
        <v>1.468</v>
      </c>
      <c r="S1470">
        <f t="shared" si="89"/>
        <v>1.3316086543252037</v>
      </c>
    </row>
    <row r="1471" spans="1:19" x14ac:dyDescent="0.3">
      <c r="A1471">
        <v>1.4690000000000001</v>
      </c>
      <c r="B1471">
        <f>Uo*COS(2*PI()*Wn*Sheet2!A1471) + (Vo/Wn - (Po*(w/Wn))/(K*(1-(w/Wn)^2)))*SIN(2*PI()*Wn*Sheet2!A1471) +(Po*SIN(2*PI()*w*Sheet2!A1471))/(K*(1-(w/Wn)^2))</f>
        <v>3.0285092047366375</v>
      </c>
      <c r="C1471">
        <f t="shared" si="90"/>
        <v>1.2374138307491649</v>
      </c>
      <c r="D1471">
        <f t="shared" si="91"/>
        <v>202.12516883781129</v>
      </c>
      <c r="R1471">
        <f t="shared" si="88"/>
        <v>1.4690000000000001</v>
      </c>
      <c r="S1471">
        <f t="shared" si="89"/>
        <v>1.2374138307491649</v>
      </c>
    </row>
    <row r="1472" spans="1:19" x14ac:dyDescent="0.3">
      <c r="A1472">
        <v>1.47</v>
      </c>
      <c r="B1472">
        <f>Uo*COS(2*PI()*Wn*Sheet2!A1472) + (Vo/Wn - (Po*(w/Wn))/(K*(1-(w/Wn)^2)))*SIN(2*PI()*Wn*Sheet2!A1472) +(Po*SIN(2*PI()*w*Sheet2!A1472))/(K*(1-(w/Wn)^2))</f>
        <v>2.6707112704146767</v>
      </c>
      <c r="C1472">
        <f t="shared" si="90"/>
        <v>1.1429852321641358</v>
      </c>
      <c r="D1472">
        <f t="shared" si="91"/>
        <v>186.70074415640823</v>
      </c>
      <c r="R1472">
        <f t="shared" si="88"/>
        <v>1.47</v>
      </c>
      <c r="S1472">
        <f t="shared" si="89"/>
        <v>1.1429852321641358</v>
      </c>
    </row>
    <row r="1473" spans="1:19" x14ac:dyDescent="0.3">
      <c r="A1473">
        <v>1.4710000000000001</v>
      </c>
      <c r="B1473">
        <f>Uo*COS(2*PI()*Wn*Sheet2!A1473) + (Vo/Wn - (Po*(w/Wn))/(K*(1-(w/Wn)^2)))*SIN(2*PI()*Wn*Sheet2!A1473) +(Po*SIN(2*PI()*w*Sheet2!A1473))/(K*(1-(w/Wn)^2))</f>
        <v>2.312040866014947</v>
      </c>
      <c r="C1473">
        <f t="shared" si="90"/>
        <v>1.0483541008746089</v>
      </c>
      <c r="D1473">
        <f t="shared" si="91"/>
        <v>171.24323680203472</v>
      </c>
      <c r="R1473">
        <f t="shared" ref="R1473:R1536" si="92">A1473</f>
        <v>1.4710000000000001</v>
      </c>
      <c r="S1473">
        <f t="shared" ref="S1473:S1536" si="93">C1473</f>
        <v>1.0483541008746089</v>
      </c>
    </row>
    <row r="1474" spans="1:19" x14ac:dyDescent="0.3">
      <c r="A1474">
        <v>1.472</v>
      </c>
      <c r="B1474">
        <f>Uo*COS(2*PI()*Wn*Sheet2!A1474) + (Vo/Wn - (Po*(w/Wn))/(K*(1-(w/Wn)^2)))*SIN(2*PI()*Wn*Sheet2!A1474) +(Po*SIN(2*PI()*w*Sheet2!A1474))/(K*(1-(w/Wn)^2))</f>
        <v>1.9526151622699937</v>
      </c>
      <c r="C1474">
        <f t="shared" ref="C1474:C1537" si="94">EXP(-zeta*Wn*A1474*2*PI())*($H$1*COS(wnD*2*PI()*A1474) + $H$2*SIN(wnD*2*PI()*A1474)) + $H$3*SIN(w*2*PI()*A1474) + $H$4*COS(w*2*PI()*A1474)</f>
        <v>0.95355168887083286</v>
      </c>
      <c r="D1474">
        <f t="shared" ref="D1474:D1537" si="95">K*C1474</f>
        <v>155.7577516261548</v>
      </c>
      <c r="R1474">
        <f t="shared" si="92"/>
        <v>1.472</v>
      </c>
      <c r="S1474">
        <f t="shared" si="93"/>
        <v>0.95355168887083286</v>
      </c>
    </row>
    <row r="1475" spans="1:19" x14ac:dyDescent="0.3">
      <c r="A1475">
        <v>1.4730000000000001</v>
      </c>
      <c r="B1475">
        <f>Uo*COS(2*PI()*Wn*Sheet2!A1475) + (Vo/Wn - (Po*(w/Wn))/(K*(1-(w/Wn)^2)))*SIN(2*PI()*Wn*Sheet2!A1475) +(Po*SIN(2*PI()*w*Sheet2!A1475))/(K*(1-(w/Wn)^2))</f>
        <v>1.5925515766539398</v>
      </c>
      <c r="C1475">
        <f t="shared" si="94"/>
        <v>0.85860924761100776</v>
      </c>
      <c r="D1475">
        <f t="shared" si="95"/>
        <v>140.24939339332511</v>
      </c>
      <c r="R1475">
        <f t="shared" si="92"/>
        <v>1.4730000000000001</v>
      </c>
      <c r="S1475">
        <f t="shared" si="93"/>
        <v>0.85860924761100776</v>
      </c>
    </row>
    <row r="1476" spans="1:19" x14ac:dyDescent="0.3">
      <c r="A1476">
        <v>1.474</v>
      </c>
      <c r="B1476">
        <f>Uo*COS(2*PI()*Wn*Sheet2!A1476) + (Vo/Wn - (Po*(w/Wn))/(K*(1-(w/Wn)^2)))*SIN(2*PI()*Wn*Sheet2!A1476) +(Po*SIN(2*PI()*w*Sheet2!A1476))/(K*(1-(w/Wn)^2))</f>
        <v>1.2319677350247356</v>
      </c>
      <c r="C1476">
        <f t="shared" si="94"/>
        <v>0.76355801782228794</v>
      </c>
      <c r="D1476">
        <f t="shared" si="95"/>
        <v>124.72326511524133</v>
      </c>
      <c r="R1476">
        <f t="shared" si="92"/>
        <v>1.474</v>
      </c>
      <c r="S1476">
        <f t="shared" si="93"/>
        <v>0.76355801782228794</v>
      </c>
    </row>
    <row r="1477" spans="1:19" x14ac:dyDescent="0.3">
      <c r="A1477">
        <v>1.4750000000000001</v>
      </c>
      <c r="B1477">
        <f>Uo*COS(2*PI()*Wn*Sheet2!A1477) + (Vo/Wn - (Po*(w/Wn))/(K*(1-(w/Wn)^2)))*SIN(2*PI()*Wn*Sheet2!A1477) +(Po*SIN(2*PI()*w*Sheet2!A1477))/(K*(1-(w/Wn)^2))</f>
        <v>0.87098143319790722</v>
      </c>
      <c r="C1477">
        <f t="shared" si="94"/>
        <v>0.66842921932359667</v>
      </c>
      <c r="D1477">
        <f t="shared" si="95"/>
        <v>109.18446638834737</v>
      </c>
      <c r="R1477">
        <f t="shared" si="92"/>
        <v>1.4750000000000001</v>
      </c>
      <c r="S1477">
        <f t="shared" si="93"/>
        <v>0.66842921932359667</v>
      </c>
    </row>
    <row r="1478" spans="1:19" x14ac:dyDescent="0.3">
      <c r="A1478">
        <v>1.476</v>
      </c>
      <c r="B1478">
        <f>Uo*COS(2*PI()*Wn*Sheet2!A1478) + (Vo/Wn - (Po*(w/Wn))/(K*(1-(w/Wn)^2)))*SIN(2*PI()*Wn*Sheet2!A1478) +(Po*SIN(2*PI()*w*Sheet2!A1478))/(K*(1-(w/Wn)^2))</f>
        <v>0.50971059846521038</v>
      </c>
      <c r="C1478">
        <f t="shared" si="94"/>
        <v>0.57325404087375298</v>
      </c>
      <c r="D1478">
        <f t="shared" si="95"/>
        <v>93.638091735579295</v>
      </c>
      <c r="R1478">
        <f t="shared" si="92"/>
        <v>1.476</v>
      </c>
      <c r="S1478">
        <f t="shared" si="93"/>
        <v>0.57325404087375298</v>
      </c>
    </row>
    <row r="1479" spans="1:19" x14ac:dyDescent="0.3">
      <c r="A1479">
        <v>1.4770000000000001</v>
      </c>
      <c r="B1479">
        <f>Uo*COS(2*PI()*Wn*Sheet2!A1479) + (Vo/Wn - (Po*(w/Wn))/(K*(1-(w/Wn)^2)))*SIN(2*PI()*Wn*Sheet2!A1479) +(Po*SIN(2*PI()*w*Sheet2!A1479))/(K*(1-(w/Wn)^2))</f>
        <v>0.14827325106962377</v>
      </c>
      <c r="C1479">
        <f t="shared" si="94"/>
        <v>0.47806363004788216</v>
      </c>
      <c r="D1479">
        <f t="shared" si="95"/>
        <v>78.089228952729115</v>
      </c>
      <c r="R1479">
        <f t="shared" si="92"/>
        <v>1.4770000000000001</v>
      </c>
      <c r="S1479">
        <f t="shared" si="93"/>
        <v>0.47806363004788216</v>
      </c>
    </row>
    <row r="1480" spans="1:19" x14ac:dyDescent="0.3">
      <c r="A1480">
        <v>1.478</v>
      </c>
      <c r="B1480">
        <f>Uo*COS(2*PI()*Wn*Sheet2!A1480) + (Vo/Wn - (Po*(w/Wn))/(K*(1-(w/Wn)^2)))*SIN(2*PI()*Wn*Sheet2!A1480) +(Po*SIN(2*PI()*w*Sheet2!A1480))/(K*(1-(w/Wn)^2))</f>
        <v>-0.21321253434931431</v>
      </c>
      <c r="C1480">
        <f t="shared" si="94"/>
        <v>0.38288908314573727</v>
      </c>
      <c r="D1480">
        <f t="shared" si="95"/>
        <v>62.542957460021213</v>
      </c>
      <c r="R1480">
        <f t="shared" si="92"/>
        <v>1.478</v>
      </c>
      <c r="S1480">
        <f t="shared" si="93"/>
        <v>0.38288908314573727</v>
      </c>
    </row>
    <row r="1481" spans="1:19" x14ac:dyDescent="0.3">
      <c r="A1481">
        <v>1.4790000000000001</v>
      </c>
      <c r="B1481">
        <f>Uo*COS(2*PI()*Wn*Sheet2!A1481) + (Vo/Wn - (Po*(w/Wn))/(K*(1-(w/Wn)^2)))*SIN(2*PI()*Wn*Sheet2!A1481) +(Po*SIN(2*PI()*w*Sheet2!A1481))/(K*(1-(w/Wn)^2))</f>
        <v>-0.57462866732836448</v>
      </c>
      <c r="C1481">
        <f t="shared" si="94"/>
        <v>0.28776143513486724</v>
      </c>
      <c r="D1481">
        <f t="shared" si="95"/>
        <v>47.004346659380651</v>
      </c>
      <c r="R1481">
        <f t="shared" si="92"/>
        <v>1.4790000000000001</v>
      </c>
      <c r="S1481">
        <f t="shared" si="93"/>
        <v>0.28776143513486724</v>
      </c>
    </row>
    <row r="1482" spans="1:19" x14ac:dyDescent="0.3">
      <c r="A1482">
        <v>1.48</v>
      </c>
      <c r="B1482">
        <f>Uo*COS(2*PI()*Wn*Sheet2!A1482) + (Vo/Wn - (Po*(w/Wn))/(K*(1-(w/Wn)^2)))*SIN(2*PI()*Wn*Sheet2!A1482) +(Po*SIN(2*PI()*w*Sheet2!A1482))/(K*(1-(w/Wn)^2))</f>
        <v>-0.93585708015818891</v>
      </c>
      <c r="C1482">
        <f t="shared" si="94"/>
        <v>0.19271164963207507</v>
      </c>
      <c r="D1482">
        <f t="shared" si="95"/>
        <v>31.478454297956048</v>
      </c>
      <c r="R1482">
        <f t="shared" si="92"/>
        <v>1.48</v>
      </c>
      <c r="S1482">
        <f t="shared" si="93"/>
        <v>0.19271164963207507</v>
      </c>
    </row>
    <row r="1483" spans="1:19" x14ac:dyDescent="0.3">
      <c r="A1483">
        <v>1.4810000000000001</v>
      </c>
      <c r="B1483">
        <f>Uo*COS(2*PI()*Wn*Sheet2!A1483) + (Vo/Wn - (Po*(w/Wn))/(K*(1-(w/Wn)^2)))*SIN(2*PI()*Wn*Sheet2!A1483) +(Po*SIN(2*PI()*w*Sheet2!A1483))/(K*(1-(w/Wn)^2))</f>
        <v>-1.2967797664543008</v>
      </c>
      <c r="C1483">
        <f t="shared" si="94"/>
        <v>9.77706089260518E-2</v>
      </c>
      <c r="D1483">
        <f t="shared" si="95"/>
        <v>15.970324838368287</v>
      </c>
      <c r="R1483">
        <f t="shared" si="92"/>
        <v>1.4810000000000001</v>
      </c>
      <c r="S1483">
        <f t="shared" si="93"/>
        <v>9.77706089260518E-2</v>
      </c>
    </row>
    <row r="1484" spans="1:19" x14ac:dyDescent="0.3">
      <c r="A1484">
        <v>1.482</v>
      </c>
      <c r="B1484">
        <f>Uo*COS(2*PI()*Wn*Sheet2!A1484) + (Vo/Wn - (Po*(w/Wn))/(K*(1-(w/Wn)^2)))*SIN(2*PI()*Wn*Sheet2!A1484) +(Po*SIN(2*PI()*w*Sheet2!A1484))/(K*(1-(w/Wn)^2))</f>
        <v>-1.6572788197068455</v>
      </c>
      <c r="C1484">
        <f t="shared" si="94"/>
        <v>2.9691040448695063E-3</v>
      </c>
      <c r="D1484">
        <f t="shared" si="95"/>
        <v>0.4849878362867025</v>
      </c>
      <c r="R1484">
        <f t="shared" si="92"/>
        <v>1.482</v>
      </c>
      <c r="S1484">
        <f t="shared" si="93"/>
        <v>2.9691040448695063E-3</v>
      </c>
    </row>
    <row r="1485" spans="1:19" x14ac:dyDescent="0.3">
      <c r="A1485">
        <v>1.4830000000000001</v>
      </c>
      <c r="B1485">
        <f>Uo*COS(2*PI()*Wn*Sheet2!A1485) + (Vo/Wn - (Po*(w/Wn))/(K*(1-(w/Wn)^2)))*SIN(2*PI()*Wn*Sheet2!A1485) +(Po*SIN(2*PI()*w*Sheet2!A1485))/(K*(1-(w/Wn)^2))</f>
        <v>-2.0172364717992437</v>
      </c>
      <c r="C1485">
        <f t="shared" si="94"/>
        <v>-9.1662175129194154E-2</v>
      </c>
      <c r="D1485">
        <f t="shared" si="95"/>
        <v>-14.972543674263354</v>
      </c>
      <c r="R1485">
        <f t="shared" si="92"/>
        <v>1.4830000000000001</v>
      </c>
      <c r="S1485">
        <f t="shared" si="93"/>
        <v>-9.1662175129194154E-2</v>
      </c>
    </row>
    <row r="1486" spans="1:19" x14ac:dyDescent="0.3">
      <c r="A1486">
        <v>1.484</v>
      </c>
      <c r="B1486">
        <f>Uo*COS(2*PI()*Wn*Sheet2!A1486) + (Vo/Wn - (Po*(w/Wn))/(K*(1-(w/Wn)^2)))*SIN(2*PI()*Wn*Sheet2!A1486) +(Po*SIN(2*PI()*w*Sheet2!A1486))/(K*(1-(w/Wn)^2))</f>
        <v>-2.3765351314797805</v>
      </c>
      <c r="C1486">
        <f t="shared" si="94"/>
        <v>-0.18609264969348391</v>
      </c>
      <c r="D1486">
        <f t="shared" si="95"/>
        <v>-30.397274787205614</v>
      </c>
      <c r="R1486">
        <f t="shared" si="92"/>
        <v>1.484</v>
      </c>
      <c r="S1486">
        <f t="shared" si="93"/>
        <v>-0.18609264969348391</v>
      </c>
    </row>
    <row r="1487" spans="1:19" x14ac:dyDescent="0.3">
      <c r="A1487">
        <v>1.4850000000000001</v>
      </c>
      <c r="B1487">
        <f>Uo*COS(2*PI()*Wn*Sheet2!A1487) + (Vo/Wn - (Po*(w/Wn))/(K*(1-(w/Wn)^2)))*SIN(2*PI()*Wn*Sheet2!A1487) +(Po*SIN(2*PI()*w*Sheet2!A1487))/(K*(1-(w/Wn)^2))</f>
        <v>-2.7350574227772597</v>
      </c>
      <c r="C1487">
        <f t="shared" si="94"/>
        <v>-0.28029186150529783</v>
      </c>
      <c r="D1487">
        <f t="shared" si="95"/>
        <v>-45.784230321979514</v>
      </c>
      <c r="R1487">
        <f t="shared" si="92"/>
        <v>1.4850000000000001</v>
      </c>
      <c r="S1487">
        <f t="shared" si="93"/>
        <v>-0.28029186150529783</v>
      </c>
    </row>
    <row r="1488" spans="1:19" x14ac:dyDescent="0.3">
      <c r="A1488">
        <v>1.486</v>
      </c>
      <c r="B1488">
        <f>Uo*COS(2*PI()*Wn*Sheet2!A1488) + (Vo/Wn - (Po*(w/Wn))/(K*(1-(w/Wn)^2)))*SIN(2*PI()*Wn*Sheet2!A1488) +(Po*SIN(2*PI()*w*Sheet2!A1488))/(K*(1-(w/Wn)^2))</f>
        <v>-3.0926862233447707</v>
      </c>
      <c r="C1488">
        <f t="shared" si="94"/>
        <v>-0.37422948290473518</v>
      </c>
      <c r="D1488">
        <f t="shared" si="95"/>
        <v>-61.128456411717259</v>
      </c>
      <c r="R1488">
        <f t="shared" si="92"/>
        <v>1.486</v>
      </c>
      <c r="S1488">
        <f t="shared" si="93"/>
        <v>-0.37422948290473518</v>
      </c>
    </row>
    <row r="1489" spans="1:19" x14ac:dyDescent="0.3">
      <c r="A1489">
        <v>1.4870000000000001</v>
      </c>
      <c r="B1489">
        <f>Uo*COS(2*PI()*Wn*Sheet2!A1489) + (Vo/Wn - (Po*(w/Wn))/(K*(1-(w/Wn)^2)))*SIN(2*PI()*Wn*Sheet2!A1489) +(Po*SIN(2*PI()*w*Sheet2!A1489))/(K*(1-(w/Wn)^2))</f>
        <v>-3.4493047027221575</v>
      </c>
      <c r="C1489">
        <f t="shared" si="94"/>
        <v>-0.46787532637780399</v>
      </c>
      <c r="D1489">
        <f t="shared" si="95"/>
        <v>-76.425022081662647</v>
      </c>
      <c r="R1489">
        <f t="shared" si="92"/>
        <v>1.4870000000000001</v>
      </c>
      <c r="S1489">
        <f t="shared" si="93"/>
        <v>-0.46787532637780399</v>
      </c>
    </row>
    <row r="1490" spans="1:19" x14ac:dyDescent="0.3">
      <c r="A1490">
        <v>1.488</v>
      </c>
      <c r="B1490">
        <f>Uo*COS(2*PI()*Wn*Sheet2!A1490) + (Vo/Wn - (Po*(w/Wn))/(K*(1-(w/Wn)^2)))*SIN(2*PI()*Wn*Sheet2!A1490) +(Po*SIN(2*PI()*w*Sheet2!A1490))/(K*(1-(w/Wn)^2))</f>
        <v>-3.8047963605013004</v>
      </c>
      <c r="C1490">
        <f t="shared" si="94"/>
        <v>-0.56119935415585809</v>
      </c>
      <c r="D1490">
        <f t="shared" si="95"/>
        <v>-91.669020817189548</v>
      </c>
      <c r="R1490">
        <f t="shared" si="92"/>
        <v>1.488</v>
      </c>
      <c r="S1490">
        <f t="shared" si="93"/>
        <v>-0.56119935415585809</v>
      </c>
    </row>
    <row r="1491" spans="1:19" x14ac:dyDescent="0.3">
      <c r="A1491">
        <v>1.4890000000000001</v>
      </c>
      <c r="B1491">
        <f>Uo*COS(2*PI()*Wn*Sheet2!A1491) + (Vo/Wn - (Po*(w/Wn))/(K*(1-(w/Wn)^2)))*SIN(2*PI()*Wn*Sheet2!A1491) +(Po*SIN(2*PI()*w*Sheet2!A1491))/(K*(1-(w/Wn)^2))</f>
        <v>-4.1590450643854036</v>
      </c>
      <c r="C1491">
        <f t="shared" si="94"/>
        <v>-0.65417168774930523</v>
      </c>
      <c r="D1491">
        <f t="shared" si="95"/>
        <v>-106.85557212108405</v>
      </c>
      <c r="R1491">
        <f t="shared" si="92"/>
        <v>1.4890000000000001</v>
      </c>
      <c r="S1491">
        <f t="shared" si="93"/>
        <v>-0.65417168774930523</v>
      </c>
    </row>
    <row r="1492" spans="1:19" x14ac:dyDescent="0.3">
      <c r="A1492">
        <v>1.49</v>
      </c>
      <c r="B1492">
        <f>Uo*COS(2*PI()*Wn*Sheet2!A1492) + (Vo/Wn - (Po*(w/Wn))/(K*(1-(w/Wn)^2)))*SIN(2*PI()*Wn*Sheet2!A1492) +(Po*SIN(2*PI()*w*Sheet2!A1492))/(K*(1-(w/Wn)^2))</f>
        <v>-4.5119350881264895</v>
      </c>
      <c r="C1492">
        <f t="shared" si="94"/>
        <v>-0.7467626174117048</v>
      </c>
      <c r="D1492">
        <f t="shared" si="95"/>
        <v>-121.97982305945595</v>
      </c>
      <c r="R1492">
        <f t="shared" si="92"/>
        <v>1.49</v>
      </c>
      <c r="S1492">
        <f t="shared" si="93"/>
        <v>-0.7467626174117048</v>
      </c>
    </row>
    <row r="1493" spans="1:19" x14ac:dyDescent="0.3">
      <c r="A1493">
        <v>1.4910000000000001</v>
      </c>
      <c r="B1493">
        <f>Uo*COS(2*PI()*Wn*Sheet2!A1493) + (Vo/Wn - (Po*(w/Wn))/(K*(1-(w/Wn)^2)))*SIN(2*PI()*Wn*Sheet2!A1493) +(Po*SIN(2*PI()*w*Sheet2!A1493))/(K*(1-(w/Wn)^2))</f>
        <v>-4.8633511493317725</v>
      </c>
      <c r="C1493">
        <f t="shared" si="94"/>
        <v>-0.83894261153210647</v>
      </c>
      <c r="D1493">
        <f t="shared" si="95"/>
        <v>-137.03694979592888</v>
      </c>
      <c r="R1493">
        <f t="shared" si="92"/>
        <v>1.4910000000000001</v>
      </c>
      <c r="S1493">
        <f t="shared" si="93"/>
        <v>-0.83894261153210647</v>
      </c>
    </row>
    <row r="1494" spans="1:19" x14ac:dyDescent="0.3">
      <c r="A1494">
        <v>1.492</v>
      </c>
      <c r="B1494">
        <f>Uo*COS(2*PI()*Wn*Sheet2!A1494) + (Vo/Wn - (Po*(w/Wn))/(K*(1-(w/Wn)^2)))*SIN(2*PI()*Wn*Sheet2!A1494) +(Po*SIN(2*PI()*w*Sheet2!A1494))/(K*(1-(w/Wn)^2))</f>
        <v>-5.2131784471232336</v>
      </c>
      <c r="C1494">
        <f t="shared" si="94"/>
        <v>-0.93068232595180822</v>
      </c>
      <c r="D1494">
        <f t="shared" si="95"/>
        <v>-152.02215911348469</v>
      </c>
      <c r="R1494">
        <f t="shared" si="92"/>
        <v>1.492</v>
      </c>
      <c r="S1494">
        <f t="shared" si="93"/>
        <v>-0.93068232595180822</v>
      </c>
    </row>
    <row r="1495" spans="1:19" x14ac:dyDescent="0.3">
      <c r="A1495">
        <v>1.4930000000000001</v>
      </c>
      <c r="B1495">
        <f>Uo*COS(2*PI()*Wn*Sheet2!A1495) + (Vo/Wn - (Po*(w/Wn))/(K*(1-(w/Wn)^2)))*SIN(2*PI()*Wn*Sheet2!A1495) +(Po*SIN(2*PI()*w*Sheet2!A1495))/(K*(1-(w/Wn)^2))</f>
        <v>-5.5613026996416917</v>
      </c>
      <c r="C1495">
        <f t="shared" si="94"/>
        <v>-1.021952613203585</v>
      </c>
      <c r="D1495">
        <f t="shared" si="95"/>
        <v>-166.93068992364377</v>
      </c>
      <c r="R1495">
        <f t="shared" si="92"/>
        <v>1.4930000000000001</v>
      </c>
      <c r="S1495">
        <f t="shared" si="93"/>
        <v>-1.021952613203585</v>
      </c>
    </row>
    <row r="1496" spans="1:19" x14ac:dyDescent="0.3">
      <c r="A1496">
        <v>1.494</v>
      </c>
      <c r="B1496">
        <f>Uo*COS(2*PI()*Wn*Sheet2!A1496) + (Vo/Wn - (Po*(w/Wn))/(K*(1-(w/Wn)^2)))*SIN(2*PI()*Wn*Sheet2!A1496) +(Po*SIN(2*PI()*w*Sheet2!A1496))/(K*(1-(w/Wn)^2))</f>
        <v>-5.9076101813798054</v>
      </c>
      <c r="C1496">
        <f t="shared" si="94"/>
        <v>-1.1127245316696361</v>
      </c>
      <c r="D1496">
        <f t="shared" si="95"/>
        <v>-181.75781476236864</v>
      </c>
      <c r="R1496">
        <f t="shared" si="92"/>
        <v>1.494</v>
      </c>
      <c r="S1496">
        <f t="shared" si="93"/>
        <v>-1.1127245316696361</v>
      </c>
    </row>
    <row r="1497" spans="1:19" x14ac:dyDescent="0.3">
      <c r="A1497">
        <v>1.4950000000000001</v>
      </c>
      <c r="B1497">
        <f>Uo*COS(2*PI()*Wn*Sheet2!A1497) + (Vo/Wn - (Po*(w/Wn))/(K*(1-(w/Wn)^2)))*SIN(2*PI()*Wn*Sheet2!A1497) +(Po*SIN(2*PI()*w*Sheet2!A1497))/(K*(1-(w/Wn)^2))</f>
        <v>-6.2519877603348313</v>
      </c>
      <c r="C1497">
        <f t="shared" si="94"/>
        <v>-1.2029693546562044</v>
      </c>
      <c r="D1497">
        <f t="shared" si="95"/>
        <v>-196.49884127235603</v>
      </c>
      <c r="R1497">
        <f t="shared" si="92"/>
        <v>1.4950000000000001</v>
      </c>
      <c r="S1497">
        <f t="shared" si="93"/>
        <v>-1.2029693546562044</v>
      </c>
    </row>
    <row r="1498" spans="1:19" x14ac:dyDescent="0.3">
      <c r="A1498">
        <v>1.496</v>
      </c>
      <c r="B1498">
        <f>Uo*COS(2*PI()*Wn*Sheet2!A1498) + (Vo/Wn - (Po*(w/Wn))/(K*(1-(w/Wn)^2)))*SIN(2*PI()*Wn*Sheet2!A1498) +(Po*SIN(2*PI()*w*Sheet2!A1498))/(K*(1-(w/Wn)^2))</f>
        <v>-6.5943229349657244</v>
      </c>
      <c r="C1498">
        <f t="shared" si="94"/>
        <v>-1.2926585793811907</v>
      </c>
      <c r="D1498">
        <f t="shared" si="95"/>
        <v>-211.14911367111756</v>
      </c>
      <c r="R1498">
        <f t="shared" si="92"/>
        <v>1.496</v>
      </c>
      <c r="S1498">
        <f t="shared" si="93"/>
        <v>-1.2926585793811907</v>
      </c>
    </row>
    <row r="1499" spans="1:19" x14ac:dyDescent="0.3">
      <c r="A1499">
        <v>1.4970000000000001</v>
      </c>
      <c r="B1499">
        <f>Uo*COS(2*PI()*Wn*Sheet2!A1499) + (Vo/Wn - (Po*(w/Wn))/(K*(1-(w/Wn)^2)))*SIN(2*PI()*Wn*Sheet2!A1499) +(Po*SIN(2*PI()*w*Sheet2!A1499))/(K*(1-(w/Wn)^2))</f>
        <v>-6.9345038709460383</v>
      </c>
      <c r="C1499">
        <f t="shared" si="94"/>
        <v>-1.3817639358729303</v>
      </c>
      <c r="D1499">
        <f t="shared" si="95"/>
        <v>-225.70401420454883</v>
      </c>
      <c r="R1499">
        <f t="shared" si="92"/>
        <v>1.4970000000000001</v>
      </c>
      <c r="S1499">
        <f t="shared" si="93"/>
        <v>-1.3817639358729303</v>
      </c>
    </row>
    <row r="1500" spans="1:19" x14ac:dyDescent="0.3">
      <c r="A1500">
        <v>1.498</v>
      </c>
      <c r="B1500">
        <f>Uo*COS(2*PI()*Wn*Sheet2!A1500) + (Vo/Wn - (Po*(w/Wn))/(K*(1-(w/Wn)^2)))*SIN(2*PI()*Wn*Sheet2!A1500) +(Po*SIN(2*PI()*w*Sheet2!A1500))/(K*(1-(w/Wn)^2))</f>
        <v>-7.2724194376973914</v>
      </c>
      <c r="C1500">
        <f t="shared" si="94"/>
        <v>-1.4702573957765126</v>
      </c>
      <c r="D1500">
        <f t="shared" si="95"/>
        <v>-240.15896458539635</v>
      </c>
      <c r="R1500">
        <f t="shared" si="92"/>
        <v>1.498</v>
      </c>
      <c r="S1500">
        <f t="shared" si="93"/>
        <v>-1.4702573957765126</v>
      </c>
    </row>
    <row r="1501" spans="1:19" x14ac:dyDescent="0.3">
      <c r="A1501">
        <v>1.4990000000000001</v>
      </c>
      <c r="B1501">
        <f>Uo*COS(2*PI()*Wn*Sheet2!A1501) + (Vo/Wn - (Po*(w/Wn))/(K*(1-(w/Wn)^2)))*SIN(2*PI()*Wn*Sheet2!A1501) +(Po*SIN(2*PI()*w*Sheet2!A1501))/(K*(1-(w/Wn)^2))</f>
        <v>-7.6079592446944799</v>
      </c>
      <c r="C1501">
        <f t="shared" si="94"/>
        <v>-1.5581111810657318</v>
      </c>
      <c r="D1501">
        <f t="shared" si="95"/>
        <v>-254.5094274163099</v>
      </c>
      <c r="R1501">
        <f t="shared" si="92"/>
        <v>1.4990000000000001</v>
      </c>
      <c r="S1501">
        <f t="shared" si="93"/>
        <v>-1.5581111810657318</v>
      </c>
    </row>
    <row r="1502" spans="1:19" x14ac:dyDescent="0.3">
      <c r="A1502">
        <v>1.5</v>
      </c>
      <c r="B1502">
        <f>Uo*COS(2*PI()*Wn*Sheet2!A1502) + (Vo/Wn - (Po*(w/Wn))/(K*(1-(w/Wn)^2)))*SIN(2*PI()*Wn*Sheet2!A1502) +(Po*SIN(2*PI()*w*Sheet2!A1502))/(K*(1-(w/Wn)^2))</f>
        <v>-7.9410136775266231</v>
      </c>
      <c r="C1502">
        <f t="shared" si="94"/>
        <v>-1.6452977726571441</v>
      </c>
      <c r="D1502">
        <f t="shared" si="95"/>
        <v>-268.7509075969042</v>
      </c>
      <c r="R1502">
        <f t="shared" si="92"/>
        <v>1.5</v>
      </c>
      <c r="S1502">
        <f t="shared" si="93"/>
        <v>-1.6452977726571441</v>
      </c>
    </row>
    <row r="1503" spans="1:19" x14ac:dyDescent="0.3">
      <c r="A1503">
        <v>1.5009999999999999</v>
      </c>
      <c r="B1503">
        <f>Uo*COS(2*PI()*Wn*Sheet2!A1503) + (Vo/Wn - (Po*(w/Wn))/(K*(1-(w/Wn)^2)))*SIN(2*PI()*Wn*Sheet2!A1503) +(Po*SIN(2*PI()*w*Sheet2!A1503))/(K*(1-(w/Wn)^2))</f>
        <v>-8.2714739337074032</v>
      </c>
      <c r="C1503">
        <f t="shared" si="94"/>
        <v>-1.7317899189244896</v>
      </c>
      <c r="D1503">
        <f t="shared" si="95"/>
        <v>-282.8789537145459</v>
      </c>
      <c r="R1503">
        <f t="shared" si="92"/>
        <v>1.5009999999999999</v>
      </c>
      <c r="S1503">
        <f t="shared" si="93"/>
        <v>-1.7317899189244896</v>
      </c>
    </row>
    <row r="1504" spans="1:19" x14ac:dyDescent="0.3">
      <c r="A1504">
        <v>1.502</v>
      </c>
      <c r="B1504">
        <f>Uo*COS(2*PI()*Wn*Sheet2!A1504) + (Vo/Wn - (Po*(w/Wn))/(K*(1-(w/Wn)^2)))*SIN(2*PI()*Wn*Sheet2!A1504) +(Po*SIN(2*PI()*w*Sheet2!A1504))/(K*(1-(w/Wn)^2))</f>
        <v>-8.5992320582180977</v>
      </c>
      <c r="C1504">
        <f t="shared" si="94"/>
        <v>-1.8175606441101875</v>
      </c>
      <c r="D1504">
        <f t="shared" si="95"/>
        <v>-296.88915941832795</v>
      </c>
      <c r="R1504">
        <f t="shared" si="92"/>
        <v>1.502</v>
      </c>
      <c r="S1504">
        <f t="shared" si="93"/>
        <v>-1.8175606441101875</v>
      </c>
    </row>
    <row r="1505" spans="1:19" x14ac:dyDescent="0.3">
      <c r="A1505">
        <v>1.5029999999999999</v>
      </c>
      <c r="B1505">
        <f>Uo*COS(2*PI()*Wn*Sheet2!A1505) + (Vo/Wn - (Po*(w/Wn))/(K*(1-(w/Wn)^2)))*SIN(2*PI()*Wn*Sheet2!A1505) +(Po*SIN(2*PI()*w*Sheet2!A1505))/(K*(1-(w/Wn)^2))</f>
        <v>-8.9241809787742348</v>
      </c>
      <c r="C1505">
        <f t="shared" si="94"/>
        <v>-1.9025832566315968</v>
      </c>
      <c r="D1505">
        <f t="shared" si="95"/>
        <v>-310.77716477585432</v>
      </c>
      <c r="R1505">
        <f t="shared" si="92"/>
        <v>1.5029999999999999</v>
      </c>
      <c r="S1505">
        <f t="shared" si="93"/>
        <v>-1.9025832566315968</v>
      </c>
    </row>
    <row r="1506" spans="1:19" x14ac:dyDescent="0.3">
      <c r="A1506">
        <v>1.504</v>
      </c>
      <c r="B1506">
        <f>Uo*COS(2*PI()*Wn*Sheet2!A1506) + (Vo/Wn - (Po*(w/Wn))/(K*(1-(w/Wn)^2)))*SIN(2*PI()*Wn*Sheet2!A1506) +(Po*SIN(2*PI()*w*Sheet2!A1506))/(K*(1-(w/Wn)^2))</f>
        <v>-9.2462145408047789</v>
      </c>
      <c r="C1506">
        <f t="shared" si="94"/>
        <v>-1.9868313572797889</v>
      </c>
      <c r="D1506">
        <f t="shared" si="95"/>
        <v>-324.53865761246755</v>
      </c>
      <c r="R1506">
        <f t="shared" si="92"/>
        <v>1.504</v>
      </c>
      <c r="S1506">
        <f t="shared" si="93"/>
        <v>-1.9868313572797889</v>
      </c>
    </row>
    <row r="1507" spans="1:19" x14ac:dyDescent="0.3">
      <c r="A1507">
        <v>1.5049999999999999</v>
      </c>
      <c r="B1507">
        <f>Uo*COS(2*PI()*Wn*Sheet2!A1507) + (Vo/Wn - (Po*(w/Wn))/(K*(1-(w/Wn)^2)))*SIN(2*PI()*Wn*Sheet2!A1507) +(Po*SIN(2*PI()*w*Sheet2!A1507))/(K*(1-(w/Wn)^2))</f>
        <v>-9.5652275421298789</v>
      </c>
      <c r="C1507">
        <f t="shared" si="94"/>
        <v>-2.0702788473076583</v>
      </c>
      <c r="D1507">
        <f t="shared" si="95"/>
        <v>-338.16937483239957</v>
      </c>
      <c r="R1507">
        <f t="shared" si="92"/>
        <v>1.5049999999999999</v>
      </c>
      <c r="S1507">
        <f t="shared" si="93"/>
        <v>-2.0702788473076583</v>
      </c>
    </row>
    <row r="1508" spans="1:19" x14ac:dyDescent="0.3">
      <c r="A1508">
        <v>1.506</v>
      </c>
      <c r="B1508">
        <f>Uo*COS(2*PI()*Wn*Sheet2!A1508) + (Vo/Wn - (Po*(w/Wn))/(K*(1-(w/Wn)^2)))*SIN(2*PI()*Wn*Sheet2!A1508) +(Po*SIN(2*PI()*w*Sheet2!A1508))/(K*(1-(w/Wn)^2))</f>
        <v>-9.8811157673291703</v>
      </c>
      <c r="C1508">
        <f t="shared" si="94"/>
        <v>-2.1528999364058032</v>
      </c>
      <c r="D1508">
        <f t="shared" si="95"/>
        <v>-351.66510372159087</v>
      </c>
      <c r="R1508">
        <f t="shared" si="92"/>
        <v>1.506</v>
      </c>
      <c r="S1508">
        <f t="shared" si="93"/>
        <v>-2.1528999364058032</v>
      </c>
    </row>
    <row r="1509" spans="1:19" x14ac:dyDescent="0.3">
      <c r="A1509">
        <v>1.5069999999999999</v>
      </c>
      <c r="B1509">
        <f>Uo*COS(2*PI()*Wn*Sheet2!A1509) + (Vo/Wn - (Po*(w/Wn))/(K*(1-(w/Wn)^2)))*SIN(2*PI()*Wn*Sheet2!A1509) +(Po*SIN(2*PI()*w*Sheet2!A1509))/(K*(1-(w/Wn)^2))</f>
        <v>-10.193776021786324</v>
      </c>
      <c r="C1509">
        <f t="shared" si="94"/>
        <v>-2.2346691505629646</v>
      </c>
      <c r="D1509">
        <f t="shared" si="95"/>
        <v>-365.02168323165267</v>
      </c>
      <c r="R1509">
        <f t="shared" si="92"/>
        <v>1.5069999999999999</v>
      </c>
      <c r="S1509">
        <f t="shared" si="93"/>
        <v>-2.2346691505629646</v>
      </c>
    </row>
    <row r="1510" spans="1:19" x14ac:dyDescent="0.3">
      <c r="A1510">
        <v>1.508</v>
      </c>
      <c r="B1510">
        <f>Uo*COS(2*PI()*Wn*Sheet2!A1510) + (Vo/Wn - (Po*(w/Wn))/(K*(1-(w/Wn)^2)))*SIN(2*PI()*Wn*Sheet2!A1510) +(Po*SIN(2*PI()*w*Sheet2!A1510))/(K*(1-(w/Wn)^2))</f>
        <v>-10.503106165401482</v>
      </c>
      <c r="C1510">
        <f t="shared" si="94"/>
        <v>-2.3155613398093995</v>
      </c>
      <c r="D1510">
        <f t="shared" si="95"/>
        <v>-378.235005244707</v>
      </c>
      <c r="R1510">
        <f t="shared" si="92"/>
        <v>1.508</v>
      </c>
      <c r="S1510">
        <f t="shared" si="93"/>
        <v>-2.3155613398093995</v>
      </c>
    </row>
    <row r="1511" spans="1:19" x14ac:dyDescent="0.3">
      <c r="A1511">
        <v>1.5089999999999999</v>
      </c>
      <c r="B1511">
        <f>Uo*COS(2*PI()*Wn*Sheet2!A1511) + (Vo/Wn - (Po*(w/Wn))/(K*(1-(w/Wn)^2)))*SIN(2*PI()*Wn*Sheet2!A1511) +(Po*SIN(2*PI()*w*Sheet2!A1511))/(K*(1-(w/Wn)^2))</f>
        <v>-10.809005145957617</v>
      </c>
      <c r="C1511">
        <f t="shared" si="94"/>
        <v>-2.3955516858400796</v>
      </c>
      <c r="D1511">
        <f t="shared" si="95"/>
        <v>-391.30101581859685</v>
      </c>
      <c r="R1511">
        <f t="shared" si="92"/>
        <v>1.5089999999999999</v>
      </c>
      <c r="S1511">
        <f t="shared" si="93"/>
        <v>-2.3955516858400796</v>
      </c>
    </row>
    <row r="1512" spans="1:19" x14ac:dyDescent="0.3">
      <c r="A1512">
        <v>1.51</v>
      </c>
      <c r="B1512">
        <f>Uo*COS(2*PI()*Wn*Sheet2!A1512) + (Vo/Wn - (Po*(w/Wn))/(K*(1-(w/Wn)^2)))*SIN(2*PI()*Wn*Sheet2!A1512) +(Po*SIN(2*PI()*w*Sheet2!A1512))/(K*(1-(w/Wn)^2))</f>
        <v>-11.111373032133077</v>
      </c>
      <c r="C1512">
        <f t="shared" si="94"/>
        <v>-2.4746157095163031</v>
      </c>
      <c r="D1512">
        <f t="shared" si="95"/>
        <v>-404.21571641223591</v>
      </c>
      <c r="R1512">
        <f t="shared" si="92"/>
        <v>1.51</v>
      </c>
      <c r="S1512">
        <f t="shared" si="93"/>
        <v>-2.4746157095163031</v>
      </c>
    </row>
    <row r="1513" spans="1:19" x14ac:dyDescent="0.3">
      <c r="A1513">
        <v>1.5109999999999999</v>
      </c>
      <c r="B1513">
        <f>Uo*COS(2*PI()*Wn*Sheet2!A1513) + (Vo/Wn - (Po*(w/Wn))/(K*(1-(w/Wn)^2)))*SIN(2*PI()*Wn*Sheet2!A1513) +(Po*SIN(2*PI()*w*Sheet2!A1513))/(K*(1-(w/Wn)^2))</f>
        <v>-11.410111046146616</v>
      </c>
      <c r="C1513">
        <f t="shared" si="94"/>
        <v>-2.5527292782426971</v>
      </c>
      <c r="D1513">
        <f t="shared" si="95"/>
        <v>-416.97516509060364</v>
      </c>
      <c r="R1513">
        <f t="shared" si="92"/>
        <v>1.5109999999999999</v>
      </c>
      <c r="S1513">
        <f t="shared" si="93"/>
        <v>-2.5527292782426971</v>
      </c>
    </row>
    <row r="1514" spans="1:19" x14ac:dyDescent="0.3">
      <c r="A1514">
        <v>1.512</v>
      </c>
      <c r="B1514">
        <f>Uo*COS(2*PI()*Wn*Sheet2!A1514) + (Vo/Wn - (Po*(w/Wn))/(K*(1-(w/Wn)^2)))*SIN(2*PI()*Wn*Sheet2!A1514) +(Po*SIN(2*PI()*w*Sheet2!A1514))/(K*(1-(w/Wn)^2))</f>
        <v>-11.705121596026933</v>
      </c>
      <c r="C1514">
        <f t="shared" si="94"/>
        <v>-2.6298686132181492</v>
      </c>
      <c r="D1514">
        <f t="shared" si="95"/>
        <v>-429.57547770914778</v>
      </c>
      <c r="R1514">
        <f t="shared" si="92"/>
        <v>1.512</v>
      </c>
      <c r="S1514">
        <f t="shared" si="93"/>
        <v>-2.6298686132181492</v>
      </c>
    </row>
    <row r="1515" spans="1:19" x14ac:dyDescent="0.3">
      <c r="A1515">
        <v>1.5129999999999999</v>
      </c>
      <c r="B1515">
        <f>Uo*COS(2*PI()*Wn*Sheet2!A1515) + (Vo/Wn - (Po*(w/Wn))/(K*(1-(w/Wn)^2)))*SIN(2*PI()*Wn*Sheet2!A1515) +(Po*SIN(2*PI()*w*Sheet2!A1515))/(K*(1-(w/Wn)^2))</f>
        <v>-11.996308307493251</v>
      </c>
      <c r="C1515">
        <f t="shared" si="94"/>
        <v>-2.7060102965577602</v>
      </c>
      <c r="D1515">
        <f t="shared" si="95"/>
        <v>-442.01282907711851</v>
      </c>
      <c r="R1515">
        <f t="shared" si="92"/>
        <v>1.5129999999999999</v>
      </c>
      <c r="S1515">
        <f t="shared" si="93"/>
        <v>-2.7060102965577602</v>
      </c>
    </row>
    <row r="1516" spans="1:19" x14ac:dyDescent="0.3">
      <c r="A1516">
        <v>1.514</v>
      </c>
      <c r="B1516">
        <f>Uo*COS(2*PI()*Wn*Sheet2!A1516) + (Vo/Wn - (Po*(w/Wn))/(K*(1-(w/Wn)^2)))*SIN(2*PI()*Wn*Sheet2!A1516) +(Po*SIN(2*PI()*w*Sheet2!A1516))/(K*(1-(w/Wn)^2))</f>
        <v>-12.283576055439653</v>
      </c>
      <c r="C1516">
        <f t="shared" si="94"/>
        <v>-2.7811312782845401</v>
      </c>
      <c r="D1516">
        <f t="shared" si="95"/>
        <v>-454.28345409962594</v>
      </c>
      <c r="R1516">
        <f t="shared" si="92"/>
        <v>1.514</v>
      </c>
      <c r="S1516">
        <f t="shared" si="93"/>
        <v>-2.7811312782845401</v>
      </c>
    </row>
    <row r="1517" spans="1:19" x14ac:dyDescent="0.3">
      <c r="A1517">
        <v>1.5149999999999999</v>
      </c>
      <c r="B1517">
        <f>Uo*COS(2*PI()*Wn*Sheet2!A1517) + (Vo/Wn - (Po*(w/Wn))/(K*(1-(w/Wn)^2)))*SIN(2*PI()*Wn*Sheet2!A1517) +(Po*SIN(2*PI()*w*Sheet2!A1517))/(K*(1-(w/Wn)^2))</f>
        <v>-12.566830995010054</v>
      </c>
      <c r="C1517">
        <f t="shared" si="94"/>
        <v>-2.8552088831880664</v>
      </c>
      <c r="D1517">
        <f t="shared" si="95"/>
        <v>-466.38364889796668</v>
      </c>
      <c r="R1517">
        <f t="shared" si="92"/>
        <v>1.5149999999999999</v>
      </c>
      <c r="S1517">
        <f t="shared" si="93"/>
        <v>-2.8552088831880664</v>
      </c>
    </row>
    <row r="1518" spans="1:19" x14ac:dyDescent="0.3">
      <c r="A1518">
        <v>1.516</v>
      </c>
      <c r="B1518">
        <f>Uo*COS(2*PI()*Wn*Sheet2!A1518) + (Vo/Wn - (Po*(w/Wn))/(K*(1-(w/Wn)^2)))*SIN(2*PI()*Wn*Sheet2!A1518) +(Po*SIN(2*PI()*w*Sheet2!A1518))/(K*(1-(w/Wn)^2))</f>
        <v>-12.845980592256183</v>
      </c>
      <c r="C1518">
        <f t="shared" si="94"/>
        <v>-2.9282208175487643</v>
      </c>
      <c r="D1518">
        <f t="shared" si="95"/>
        <v>-478.30977190800013</v>
      </c>
      <c r="R1518">
        <f t="shared" si="92"/>
        <v>1.516</v>
      </c>
      <c r="S1518">
        <f t="shared" si="93"/>
        <v>-2.9282208175487643</v>
      </c>
    </row>
    <row r="1519" spans="1:19" x14ac:dyDescent="0.3">
      <c r="A1519">
        <v>1.5169999999999999</v>
      </c>
      <c r="B1519">
        <f>Uo*COS(2*PI()*Wn*Sheet2!A1519) + (Vo/Wn - (Po*(w/Wn))/(K*(1-(w/Wn)^2)))*SIN(2*PI()*Wn*Sheet2!A1519) +(Po*SIN(2*PI()*w*Sheet2!A1519))/(K*(1-(w/Wn)^2))</f>
        <v>-13.120933654365871</v>
      </c>
      <c r="C1519">
        <f t="shared" si="94"/>
        <v>-3.0001451757251458</v>
      </c>
      <c r="D1519">
        <f t="shared" si="95"/>
        <v>-490.05824495614024</v>
      </c>
      <c r="R1519">
        <f t="shared" si="92"/>
        <v>1.5169999999999999</v>
      </c>
      <c r="S1519">
        <f t="shared" si="93"/>
        <v>-3.0001451757251458</v>
      </c>
    </row>
    <row r="1520" spans="1:19" x14ac:dyDescent="0.3">
      <c r="A1520">
        <v>1.518</v>
      </c>
      <c r="B1520">
        <f>Uo*COS(2*PI()*Wn*Sheet2!A1520) + (Vo/Wn - (Po*(w/Wn))/(K*(1-(w/Wn)^2)))*SIN(2*PI()*Wn*Sheet2!A1520) +(Po*SIN(2*PI()*w*Sheet2!A1520))/(K*(1-(w/Wn)^2))</f>
        <v>-13.391600359454651</v>
      </c>
      <c r="C1520">
        <f t="shared" si="94"/>
        <v>-3.0709604466028777</v>
      </c>
      <c r="D1520">
        <f t="shared" si="95"/>
        <v>-501.62555431277724</v>
      </c>
      <c r="R1520">
        <f t="shared" si="92"/>
        <v>1.518</v>
      </c>
      <c r="S1520">
        <f t="shared" si="93"/>
        <v>-3.0709604466028777</v>
      </c>
    </row>
    <row r="1521" spans="1:19" x14ac:dyDescent="0.3">
      <c r="A1521">
        <v>1.5189999999999999</v>
      </c>
      <c r="B1521">
        <f>Uo*COS(2*PI()*Wn*Sheet2!A1521) + (Vo/Wn - (Po*(w/Wn))/(K*(1-(w/Wn)^2)))*SIN(2*PI()*Wn*Sheet2!A1521) +(Po*SIN(2*PI()*w*Sheet2!A1521))/(K*(1-(w/Wn)^2))</f>
        <v>-13.657892285908307</v>
      </c>
      <c r="C1521">
        <f t="shared" si="94"/>
        <v>-3.1406455199031096</v>
      </c>
      <c r="D1521">
        <f t="shared" si="95"/>
        <v>-513.00825172271095</v>
      </c>
      <c r="R1521">
        <f t="shared" si="92"/>
        <v>1.5189999999999999</v>
      </c>
      <c r="S1521">
        <f t="shared" si="93"/>
        <v>-3.1406455199031096</v>
      </c>
    </row>
    <row r="1522" spans="1:19" x14ac:dyDescent="0.3">
      <c r="A1522">
        <v>1.52</v>
      </c>
      <c r="B1522">
        <f>Uo*COS(2*PI()*Wn*Sheet2!A1522) + (Vo/Wn - (Po*(w/Wn))/(K*(1-(w/Wn)^2)))*SIN(2*PI()*Wn*Sheet2!A1522) +(Po*SIN(2*PI()*w*Sheet2!A1522))/(K*(1-(w/Wn)^2))</f>
        <v>-13.91972244126914</v>
      </c>
      <c r="C1522">
        <f t="shared" si="94"/>
        <v>-3.2091796923488971</v>
      </c>
      <c r="D1522">
        <f t="shared" si="95"/>
        <v>-524.20295541240364</v>
      </c>
      <c r="R1522">
        <f t="shared" si="92"/>
        <v>1.52</v>
      </c>
      <c r="S1522">
        <f t="shared" si="93"/>
        <v>-3.2091796923488971</v>
      </c>
    </row>
    <row r="1523" spans="1:19" x14ac:dyDescent="0.3">
      <c r="A1523">
        <v>1.5209999999999999</v>
      </c>
      <c r="B1523">
        <f>Uo*COS(2*PI()*Wn*Sheet2!A1523) + (Vo/Wn - (Po*(w/Wn))/(K*(1-(w/Wn)^2)))*SIN(2*PI()*Wn*Sheet2!A1523) +(Po*SIN(2*PI()*w*Sheet2!A1523))/(K*(1-(w/Wn)^2))</f>
        <v>-14.177005290654019</v>
      </c>
      <c r="C1523">
        <f t="shared" si="94"/>
        <v>-3.2765426736872927</v>
      </c>
      <c r="D1523">
        <f t="shared" si="95"/>
        <v>-535.20635107365808</v>
      </c>
      <c r="R1523">
        <f t="shared" si="92"/>
        <v>1.5209999999999999</v>
      </c>
      <c r="S1523">
        <f t="shared" si="93"/>
        <v>-3.2765426736872927</v>
      </c>
    </row>
    <row r="1524" spans="1:19" x14ac:dyDescent="0.3">
      <c r="A1524">
        <v>1.522</v>
      </c>
      <c r="B1524">
        <f>Uo*COS(2*PI()*Wn*Sheet2!A1524) + (Vo/Wn - (Po*(w/Wn))/(K*(1-(w/Wn)^2)))*SIN(2*PI()*Wn*Sheet2!A1524) +(Po*SIN(2*PI()*w*Sheet2!A1524))/(K*(1-(w/Wn)^2))</f>
        <v>-14.429656784697585</v>
      </c>
      <c r="C1524">
        <f t="shared" si="94"/>
        <v>-3.3427145925661081</v>
      </c>
      <c r="D1524">
        <f t="shared" si="95"/>
        <v>-546.01519282355582</v>
      </c>
      <c r="R1524">
        <f t="shared" si="92"/>
        <v>1.522</v>
      </c>
      <c r="S1524">
        <f t="shared" si="93"/>
        <v>-3.3427145925661081</v>
      </c>
    </row>
    <row r="1525" spans="1:19" x14ac:dyDescent="0.3">
      <c r="A1525">
        <v>1.5229999999999999</v>
      </c>
      <c r="B1525">
        <f>Uo*COS(2*PI()*Wn*Sheet2!A1525) + (Vo/Wn - (Po*(w/Wn))/(K*(1-(w/Wn)^2)))*SIN(2*PI()*Wn*Sheet2!A1525) +(Po*SIN(2*PI()*w*Sheet2!A1525))/(K*(1-(w/Wn)^2))</f>
        <v>-14.677594387009126</v>
      </c>
      <c r="C1525">
        <f t="shared" si="94"/>
        <v>-3.407676002263059</v>
      </c>
      <c r="D1525">
        <f t="shared" si="95"/>
        <v>-556.62630414028399</v>
      </c>
      <c r="R1525">
        <f t="shared" si="92"/>
        <v>1.5229999999999999</v>
      </c>
      <c r="S1525">
        <f t="shared" si="93"/>
        <v>-3.407676002263059</v>
      </c>
    </row>
    <row r="1526" spans="1:19" x14ac:dyDescent="0.3">
      <c r="A1526">
        <v>1.524</v>
      </c>
      <c r="B1526">
        <f>Uo*COS(2*PI()*Wn*Sheet2!A1526) + (Vo/Wn - (Po*(w/Wn))/(K*(1-(w/Wn)^2)))*SIN(2*PI()*Wn*Sheet2!A1526) +(Po*SIN(2*PI()*w*Sheet2!A1526))/(K*(1-(w/Wn)^2))</f>
        <v>-14.920737101135963</v>
      </c>
      <c r="C1526">
        <f t="shared" si="94"/>
        <v>-3.4714078862661832</v>
      </c>
      <c r="D1526">
        <f t="shared" si="95"/>
        <v>-567.03657877466742</v>
      </c>
      <c r="R1526">
        <f t="shared" si="92"/>
        <v>1.524</v>
      </c>
      <c r="S1526">
        <f t="shared" si="93"/>
        <v>-3.4714078862661832</v>
      </c>
    </row>
    <row r="1527" spans="1:19" x14ac:dyDescent="0.3">
      <c r="A1527">
        <v>1.5249999999999999</v>
      </c>
      <c r="B1527">
        <f>Uo*COS(2*PI()*Wn*Sheet2!A1527) + (Vo/Wn - (Po*(w/Wn))/(K*(1-(w/Wn)^2)))*SIN(2*PI()*Wn*Sheet2!A1527) +(Po*SIN(2*PI()*w*Sheet2!A1527))/(K*(1-(w/Wn)^2))</f>
        <v>-15.159005497023255</v>
      </c>
      <c r="C1527">
        <f t="shared" si="94"/>
        <v>-3.5338916637036251</v>
      </c>
      <c r="D1527">
        <f t="shared" si="95"/>
        <v>-577.24298163709614</v>
      </c>
      <c r="R1527">
        <f t="shared" si="92"/>
        <v>1.5249999999999999</v>
      </c>
      <c r="S1527">
        <f t="shared" si="93"/>
        <v>-3.5338916637036251</v>
      </c>
    </row>
    <row r="1528" spans="1:19" x14ac:dyDescent="0.3">
      <c r="A1528">
        <v>1.526</v>
      </c>
      <c r="B1528">
        <f>Uo*COS(2*PI()*Wn*Sheet2!A1528) + (Vo/Wn - (Po*(w/Wn))/(K*(1-(w/Wn)^2)))*SIN(2*PI()*Wn*Sheet2!A1528) +(Po*SIN(2*PI()*w*Sheet2!A1528))/(K*(1-(w/Wn)^2))</f>
        <v>-15.392321736962353</v>
      </c>
      <c r="C1528">
        <f t="shared" si="94"/>
        <v>-3.5951091946214992</v>
      </c>
      <c r="D1528">
        <f t="shared" si="95"/>
        <v>-587.24254965963712</v>
      </c>
      <c r="R1528">
        <f t="shared" si="92"/>
        <v>1.526</v>
      </c>
      <c r="S1528">
        <f t="shared" si="93"/>
        <v>-3.5951091946214992</v>
      </c>
    </row>
    <row r="1529" spans="1:19" x14ac:dyDescent="0.3">
      <c r="A1529">
        <v>1.5269999999999999</v>
      </c>
      <c r="B1529">
        <f>Uo*COS(2*PI()*Wn*Sheet2!A1529) + (Vo/Wn - (Po*(w/Wn))/(K*(1-(w/Wn)^2)))*SIN(2*PI()*Wn*Sheet2!A1529) +(Po*SIN(2*PI()*w*Sheet2!A1529))/(K*(1-(w/Wn)^2))</f>
        <v>-15.620609601018705</v>
      </c>
      <c r="C1529">
        <f t="shared" si="94"/>
        <v>-3.6550427851082476</v>
      </c>
      <c r="D1529">
        <f t="shared" si="95"/>
        <v>-597.03239263307148</v>
      </c>
      <c r="R1529">
        <f t="shared" si="92"/>
        <v>1.5269999999999999</v>
      </c>
      <c r="S1529">
        <f t="shared" si="93"/>
        <v>-3.6550427851082476</v>
      </c>
    </row>
    <row r="1530" spans="1:19" x14ac:dyDescent="0.3">
      <c r="A1530">
        <v>1.528</v>
      </c>
      <c r="B1530">
        <f>Uo*COS(2*PI()*Wn*Sheet2!A1530) + (Vo/Wn - (Po*(w/Wn))/(K*(1-(w/Wn)^2)))*SIN(2*PI()*Wn*Sheet2!A1530) +(Po*SIN(2*PI()*w*Sheet2!A1530))/(K*(1-(w/Wn)^2))</f>
        <v>-15.843794511931723</v>
      </c>
      <c r="C1530">
        <f t="shared" si="94"/>
        <v>-3.7136751922642754</v>
      </c>
      <c r="D1530">
        <f t="shared" si="95"/>
        <v>-606.6096940186593</v>
      </c>
      <c r="R1530">
        <f t="shared" si="92"/>
        <v>1.528</v>
      </c>
      <c r="S1530">
        <f t="shared" si="93"/>
        <v>-3.7136751922642754</v>
      </c>
    </row>
    <row r="1531" spans="1:19" x14ac:dyDescent="0.3">
      <c r="A1531">
        <v>1.5289999999999999</v>
      </c>
      <c r="B1531">
        <f>Uo*COS(2*PI()*Wn*Sheet2!A1531) + (Vo/Wn - (Po*(w/Wn))/(K*(1-(w/Wn)^2)))*SIN(2*PI()*Wn*Sheet2!A1531) +(Po*SIN(2*PI()*w*Sheet2!A1531))/(K*(1-(w/Wn)^2))</f>
        <v>-16.061803559477561</v>
      </c>
      <c r="C1531">
        <f t="shared" si="94"/>
        <v>-3.7709896290153013</v>
      </c>
      <c r="D1531">
        <f t="shared" si="95"/>
        <v>-615.97171173437482</v>
      </c>
      <c r="R1531">
        <f t="shared" si="92"/>
        <v>1.5289999999999999</v>
      </c>
      <c r="S1531">
        <f t="shared" si="93"/>
        <v>-3.7709896290153013</v>
      </c>
    </row>
    <row r="1532" spans="1:19" x14ac:dyDescent="0.3">
      <c r="A1532">
        <v>1.53</v>
      </c>
      <c r="B1532">
        <f>Uo*COS(2*PI()*Wn*Sheet2!A1532) + (Vo/Wn - (Po*(w/Wn))/(K*(1-(w/Wn)^2)))*SIN(2*PI()*Wn*Sheet2!A1532) +(Po*SIN(2*PI()*w*Sheet2!A1532))/(K*(1-(w/Wn)^2))</f>
        <v>-16.274565524287556</v>
      </c>
      <c r="C1532">
        <f t="shared" si="94"/>
        <v>-3.8269697687682842</v>
      </c>
      <c r="D1532">
        <f t="shared" si="95"/>
        <v>-625.11577891542902</v>
      </c>
      <c r="R1532">
        <f t="shared" si="92"/>
        <v>1.53</v>
      </c>
      <c r="S1532">
        <f t="shared" si="93"/>
        <v>-3.8269697687682842</v>
      </c>
    </row>
    <row r="1533" spans="1:19" x14ac:dyDescent="0.3">
      <c r="A1533">
        <v>1.5309999999999999</v>
      </c>
      <c r="B1533">
        <f>Uo*COS(2*PI()*Wn*Sheet2!A1533) + (Vo/Wn - (Po*(w/Wn))/(K*(1-(w/Wn)^2)))*SIN(2*PI()*Wn*Sheet2!A1533) +(Po*SIN(2*PI()*w*Sheet2!A1533))/(K*(1-(w/Wn)^2))</f>
        <v>-16.482010901114087</v>
      </c>
      <c r="C1533">
        <f t="shared" si="94"/>
        <v>-3.881599749908617</v>
      </c>
      <c r="D1533">
        <f t="shared" si="95"/>
        <v>-634.03930464886207</v>
      </c>
      <c r="R1533">
        <f t="shared" si="92"/>
        <v>1.5309999999999999</v>
      </c>
      <c r="S1533">
        <f t="shared" si="93"/>
        <v>-3.881599749908617</v>
      </c>
    </row>
    <row r="1534" spans="1:19" x14ac:dyDescent="0.3">
      <c r="A1534">
        <v>1.532</v>
      </c>
      <c r="B1534">
        <f>Uo*COS(2*PI()*Wn*Sheet2!A1534) + (Vo/Wn - (Po*(w/Wn))/(K*(1-(w/Wn)^2)))*SIN(2*PI()*Wn*Sheet2!A1534) +(Po*SIN(2*PI()*w*Sheet2!A1534))/(K*(1-(w/Wn)^2))</f>
        <v>-16.684071921536834</v>
      </c>
      <c r="C1534">
        <f t="shared" si="94"/>
        <v>-3.9348641801375144</v>
      </c>
      <c r="D1534">
        <f t="shared" si="95"/>
        <v>-642.73977468203407</v>
      </c>
      <c r="R1534">
        <f t="shared" si="92"/>
        <v>1.532</v>
      </c>
      <c r="S1534">
        <f t="shared" si="93"/>
        <v>-3.9348641801375144</v>
      </c>
    </row>
    <row r="1535" spans="1:19" x14ac:dyDescent="0.3">
      <c r="A1535">
        <v>1.5329999999999999</v>
      </c>
      <c r="B1535">
        <f>Uo*COS(2*PI()*Wn*Sheet2!A1535) + (Vo/Wn - (Po*(w/Wn))/(K*(1-(w/Wn)^2)))*SIN(2*PI()*Wn*Sheet2!A1535) +(Po*SIN(2*PI()*w*Sheet2!A1535))/(K*(1-(w/Wn)^2))</f>
        <v>-16.880682576101258</v>
      </c>
      <c r="C1535">
        <f t="shared" si="94"/>
        <v>-3.9867481406483067</v>
      </c>
      <c r="D1535">
        <f t="shared" si="95"/>
        <v>-651.21475210480071</v>
      </c>
      <c r="R1535">
        <f t="shared" si="92"/>
        <v>1.5329999999999999</v>
      </c>
      <c r="S1535">
        <f t="shared" si="93"/>
        <v>-3.9867481406483067</v>
      </c>
    </row>
    <row r="1536" spans="1:19" x14ac:dyDescent="0.3">
      <c r="A1536">
        <v>1.534</v>
      </c>
      <c r="B1536">
        <f>Uo*COS(2*PI()*Wn*Sheet2!A1536) + (Vo/Wn - (Po*(w/Wn))/(K*(1-(w/Wn)^2)))*SIN(2*PI()*Wn*Sheet2!A1536) +(Po*SIN(2*PI()*w*Sheet2!A1536))/(K*(1-(w/Wn)^2))</f>
        <v>-17.071778635882701</v>
      </c>
      <c r="C1536">
        <f t="shared" si="94"/>
        <v>-4.0372371901406909</v>
      </c>
      <c r="D1536">
        <f t="shared" si="95"/>
        <v>-659.46187800522023</v>
      </c>
      <c r="R1536">
        <f t="shared" si="92"/>
        <v>1.534</v>
      </c>
      <c r="S1536">
        <f t="shared" si="93"/>
        <v>-4.0372371901406909</v>
      </c>
    </row>
    <row r="1537" spans="1:19" x14ac:dyDescent="0.3">
      <c r="A1537">
        <v>1.5349999999999999</v>
      </c>
      <c r="B1537">
        <f>Uo*COS(2*PI()*Wn*Sheet2!A1537) + (Vo/Wn - (Po*(w/Wn))/(K*(1-(w/Wn)^2)))*SIN(2*PI()*Wn*Sheet2!A1537) +(Po*SIN(2*PI()*w*Sheet2!A1537))/(K*(1-(w/Wn)^2))</f>
        <v>-17.257297673468596</v>
      </c>
      <c r="C1537">
        <f t="shared" si="94"/>
        <v>-4.0863173686718417</v>
      </c>
      <c r="D1537">
        <f t="shared" si="95"/>
        <v>-667.47887209861312</v>
      </c>
      <c r="R1537">
        <f t="shared" ref="R1537:R1600" si="96">A1537</f>
        <v>1.5349999999999999</v>
      </c>
      <c r="S1537">
        <f t="shared" ref="S1537:S1600" si="97">C1537</f>
        <v>-4.0863173686718417</v>
      </c>
    </row>
    <row r="1538" spans="1:19" x14ac:dyDescent="0.3">
      <c r="A1538">
        <v>1.536</v>
      </c>
      <c r="B1538">
        <f>Uo*COS(2*PI()*Wn*Sheet2!A1538) + (Vo/Wn - (Po*(w/Wn))/(K*(1-(w/Wn)^2)))*SIN(2*PI()*Wn*Sheet2!A1538) +(Po*SIN(2*PI()*w*Sheet2!A1538))/(K*(1-(w/Wn)^2))</f>
        <v>-17.437179083352564</v>
      </c>
      <c r="C1538">
        <f t="shared" ref="C1538:C1601" si="98">EXP(-zeta*Wn*A1538*2*PI())*($H$1*COS(wnD*2*PI()*A1538) + $H$2*SIN(wnD*2*PI()*A1538)) + $H$3*SIN(w*2*PI()*A1538) + $H$4*COS(w*2*PI()*A1538)</f>
        <v>-4.1339752013435582</v>
      </c>
      <c r="D1538">
        <f t="shared" ref="D1538:D1601" si="99">K*C1538</f>
        <v>-675.26353332983831</v>
      </c>
      <c r="R1538">
        <f t="shared" si="96"/>
        <v>1.536</v>
      </c>
      <c r="S1538">
        <f t="shared" si="97"/>
        <v>-4.1339752013435582</v>
      </c>
    </row>
    <row r="1539" spans="1:19" x14ac:dyDescent="0.3">
      <c r="A1539">
        <v>1.5369999999999999</v>
      </c>
      <c r="B1539">
        <f>Uo*COS(2*PI()*Wn*Sheet2!A1539) + (Vo/Wn - (Po*(w/Wn))/(K*(1-(w/Wn)^2)))*SIN(2*PI()*Wn*Sheet2!A1539) +(Po*SIN(2*PI()*w*Sheet2!A1539))/(K*(1-(w/Wn)^2))</f>
        <v>-17.611364101732736</v>
      </c>
      <c r="C1539">
        <f t="shared" si="98"/>
        <v>-4.1801977018242873</v>
      </c>
      <c r="D1539">
        <f t="shared" si="99"/>
        <v>-682.81374044859729</v>
      </c>
      <c r="R1539">
        <f t="shared" si="96"/>
        <v>1.5369999999999999</v>
      </c>
      <c r="S1539">
        <f t="shared" si="97"/>
        <v>-4.1801977018242873</v>
      </c>
    </row>
    <row r="1540" spans="1:19" x14ac:dyDescent="0.3">
      <c r="A1540">
        <v>1.538</v>
      </c>
      <c r="B1540">
        <f>Uo*COS(2*PI()*Wn*Sheet2!A1540) + (Vo/Wn - (Po*(w/Wn))/(K*(1-(w/Wn)^2)))*SIN(2*PI()*Wn*Sheet2!A1540) +(Po*SIN(2*PI()*w*Sheet2!A1540))/(K*(1-(w/Wn)^2))</f>
        <v>-17.779795825709186</v>
      </c>
      <c r="C1540">
        <f t="shared" si="98"/>
        <v>-4.2249723757055184</v>
      </c>
      <c r="D1540">
        <f t="shared" si="99"/>
        <v>-690.12745255768414</v>
      </c>
      <c r="R1540">
        <f t="shared" si="96"/>
        <v>1.538</v>
      </c>
      <c r="S1540">
        <f t="shared" si="97"/>
        <v>-4.2249723757055184</v>
      </c>
    </row>
    <row r="1541" spans="1:19" x14ac:dyDescent="0.3">
      <c r="A1541">
        <v>1.5389999999999999</v>
      </c>
      <c r="B1541">
        <f>Uo*COS(2*PI()*Wn*Sheet2!A1541) + (Vo/Wn - (Po*(w/Wn))/(K*(1-(w/Wn)^2)))*SIN(2*PI()*Wn*Sheet2!A1541) +(Po*SIN(2*PI()*w*Sheet2!A1541))/(K*(1-(w/Wn)^2))</f>
        <v>-17.942419231872535</v>
      </c>
      <c r="C1541">
        <f t="shared" si="98"/>
        <v>-4.2682872236913374</v>
      </c>
      <c r="D1541">
        <f t="shared" si="99"/>
        <v>-697.20270963398275</v>
      </c>
      <c r="R1541">
        <f t="shared" si="96"/>
        <v>1.5389999999999999</v>
      </c>
      <c r="S1541">
        <f t="shared" si="97"/>
        <v>-4.2682872236913374</v>
      </c>
    </row>
    <row r="1542" spans="1:19" x14ac:dyDescent="0.3">
      <c r="A1542">
        <v>1.54</v>
      </c>
      <c r="B1542">
        <f>Uo*COS(2*PI()*Wn*Sheet2!A1542) + (Vo/Wn - (Po*(w/Wn))/(K*(1-(w/Wn)^2)))*SIN(2*PI()*Wn*Sheet2!A1542) +(Po*SIN(2*PI()*w*Sheet2!A1542))/(K*(1-(w/Wn)^2))</f>
        <v>-18.099181194279439</v>
      </c>
      <c r="C1542">
        <f t="shared" si="98"/>
        <v>-4.310130744620837</v>
      </c>
      <c r="D1542">
        <f t="shared" si="99"/>
        <v>-704.0376330221618</v>
      </c>
      <c r="R1542">
        <f t="shared" si="96"/>
        <v>1.54</v>
      </c>
      <c r="S1542">
        <f t="shared" si="97"/>
        <v>-4.310130744620837</v>
      </c>
    </row>
    <row r="1543" spans="1:19" x14ac:dyDescent="0.3">
      <c r="A1543">
        <v>1.5409999999999999</v>
      </c>
      <c r="B1543">
        <f>Uo*COS(2*PI()*Wn*Sheet2!A1543) + (Vo/Wn - (Po*(w/Wn))/(K*(1-(w/Wn)^2)))*SIN(2*PI()*Wn*Sheet2!A1543) +(Po*SIN(2*PI()*w*Sheet2!A1543))/(K*(1-(w/Wn)^2))</f>
        <v>-18.250030501807487</v>
      </c>
      <c r="C1543">
        <f t="shared" si="98"/>
        <v>-4.350491938322306</v>
      </c>
      <c r="D1543">
        <f t="shared" si="99"/>
        <v>-710.63042590089174</v>
      </c>
      <c r="R1543">
        <f t="shared" si="96"/>
        <v>1.5409999999999999</v>
      </c>
      <c r="S1543">
        <f t="shared" si="97"/>
        <v>-4.350491938322306</v>
      </c>
    </row>
    <row r="1544" spans="1:19" x14ac:dyDescent="0.3">
      <c r="A1544">
        <v>1.542</v>
      </c>
      <c r="B1544">
        <f>Uo*COS(2*PI()*Wn*Sheet2!A1544) + (Vo/Wn - (Po*(w/Wn))/(K*(1-(w/Wn)^2)))*SIN(2*PI()*Wn*Sheet2!A1544) +(Po*SIN(2*PI()*w*Sheet2!A1544))/(K*(1-(w/Wn)^2))</f>
        <v>-18.394917874885294</v>
      </c>
      <c r="C1544">
        <f t="shared" si="98"/>
        <v>-4.3893603082989294</v>
      </c>
      <c r="D1544">
        <f t="shared" si="99"/>
        <v>-716.97937372154047</v>
      </c>
      <c r="R1544">
        <f t="shared" si="96"/>
        <v>1.542</v>
      </c>
      <c r="S1544">
        <f t="shared" si="97"/>
        <v>-4.3893603082989294</v>
      </c>
    </row>
    <row r="1545" spans="1:19" x14ac:dyDescent="0.3">
      <c r="A1545">
        <v>1.5429999999999999</v>
      </c>
      <c r="B1545">
        <f>Uo*COS(2*PI()*Wn*Sheet2!A1545) + (Vo/Wn - (Po*(w/Wn))/(K*(1-(w/Wn)^2)))*SIN(2*PI()*Wn*Sheet2!A1545) +(Po*SIN(2*PI()*w*Sheet2!A1545))/(K*(1-(w/Wn)^2))</f>
        <v>-18.533795981590718</v>
      </c>
      <c r="C1545">
        <f t="shared" si="98"/>
        <v>-4.4267258642450322</v>
      </c>
      <c r="D1545">
        <f t="shared" si="99"/>
        <v>-723.08284461918845</v>
      </c>
      <c r="R1545">
        <f t="shared" si="96"/>
        <v>1.5429999999999999</v>
      </c>
      <c r="S1545">
        <f t="shared" si="97"/>
        <v>-4.4267258642450322</v>
      </c>
    </row>
    <row r="1546" spans="1:19" x14ac:dyDescent="0.3">
      <c r="A1546">
        <v>1.544</v>
      </c>
      <c r="B1546">
        <f>Uo*COS(2*PI()*Wn*Sheet2!A1546) + (Vo/Wn - (Po*(w/Wn))/(K*(1-(w/Wn)^2)))*SIN(2*PI()*Wn*Sheet2!A1546) +(Po*SIN(2*PI()*w*Sheet2!A1546))/(K*(1-(w/Wn)^2))</f>
        <v>-18.666619453113686</v>
      </c>
      <c r="C1546">
        <f t="shared" si="98"/>
        <v>-4.4625791243927804</v>
      </c>
      <c r="D1546">
        <f t="shared" si="99"/>
        <v>-728.93928979595046</v>
      </c>
      <c r="R1546">
        <f t="shared" si="96"/>
        <v>1.544</v>
      </c>
      <c r="S1546">
        <f t="shared" si="97"/>
        <v>-4.4625791243927804</v>
      </c>
    </row>
    <row r="1547" spans="1:19" x14ac:dyDescent="0.3">
      <c r="A1547">
        <v>1.5449999999999999</v>
      </c>
      <c r="B1547">
        <f>Uo*COS(2*PI()*Wn*Sheet2!A1547) + (Vo/Wn - (Po*(w/Wn))/(K*(1-(w/Wn)^2)))*SIN(2*PI()*Wn*Sheet2!A1547) +(Po*SIN(2*PI()*w*Sheet2!A1547))/(K*(1-(w/Wn)^2))</f>
        <v>-18.793344898577018</v>
      </c>
      <c r="C1547">
        <f t="shared" si="98"/>
        <v>-4.4969111176884846</v>
      </c>
      <c r="D1547">
        <f t="shared" si="99"/>
        <v>-734.54724387646331</v>
      </c>
      <c r="R1547">
        <f t="shared" si="96"/>
        <v>1.5449999999999999</v>
      </c>
      <c r="S1547">
        <f t="shared" si="97"/>
        <v>-4.4969111176884846</v>
      </c>
    </row>
    <row r="1548" spans="1:19" x14ac:dyDescent="0.3">
      <c r="A1548">
        <v>1.546</v>
      </c>
      <c r="B1548">
        <f>Uo*COS(2*PI()*Wn*Sheet2!A1548) + (Vo/Wn - (Po*(w/Wn))/(K*(1-(w/Wn)^2)))*SIN(2*PI()*Wn*Sheet2!A1548) +(Po*SIN(2*PI()*w*Sheet2!A1548))/(K*(1-(w/Wn)^2))</f>
        <v>-18.913930919211698</v>
      </c>
      <c r="C1548">
        <f t="shared" si="98"/>
        <v>-4.5297133857984511</v>
      </c>
      <c r="D1548">
        <f t="shared" si="99"/>
        <v>-739.90532523553145</v>
      </c>
      <c r="R1548">
        <f t="shared" si="96"/>
        <v>1.546</v>
      </c>
      <c r="S1548">
        <f t="shared" si="97"/>
        <v>-4.5297133857984511</v>
      </c>
    </row>
    <row r="1549" spans="1:19" x14ac:dyDescent="0.3">
      <c r="A1549">
        <v>1.5469999999999999</v>
      </c>
      <c r="B1549">
        <f>Uo*COS(2*PI()*Wn*Sheet2!A1549) + (Vo/Wn - (Po*(w/Wn))/(K*(1-(w/Wn)^2)))*SIN(2*PI()*Wn*Sheet2!A1549) +(Po*SIN(2*PI()*w*Sheet2!A1549))/(K*(1-(w/Wn)^2))</f>
        <v>-19.028338121880715</v>
      </c>
      <c r="C1549">
        <f t="shared" si="98"/>
        <v>-4.5609779849436869</v>
      </c>
      <c r="D1549">
        <f t="shared" si="99"/>
        <v>-745.01223629781634</v>
      </c>
      <c r="R1549">
        <f t="shared" si="96"/>
        <v>1.5469999999999999</v>
      </c>
      <c r="S1549">
        <f t="shared" si="97"/>
        <v>-4.5609779849436869</v>
      </c>
    </row>
    <row r="1550" spans="1:19" x14ac:dyDescent="0.3">
      <c r="A1550">
        <v>1.548</v>
      </c>
      <c r="B1550">
        <f>Uo*COS(2*PI()*Wn*Sheet2!A1550) + (Vo/Wn - (Po*(w/Wn))/(K*(1-(w/Wn)^2)))*SIN(2*PI()*Wn*Sheet2!A1550) +(Po*SIN(2*PI()*w*Sheet2!A1550))/(K*(1-(w/Wn)^2))</f>
        <v>-19.13652913194834</v>
      </c>
      <c r="C1550">
        <f t="shared" si="98"/>
        <v>-4.590697487563518</v>
      </c>
      <c r="D1550">
        <f t="shared" si="99"/>
        <v>-749.86676380958045</v>
      </c>
      <c r="R1550">
        <f t="shared" si="96"/>
        <v>1.548</v>
      </c>
      <c r="S1550">
        <f t="shared" si="97"/>
        <v>-4.590697487563518</v>
      </c>
    </row>
    <row r="1551" spans="1:19" x14ac:dyDescent="0.3">
      <c r="A1551">
        <v>1.5489999999999999</v>
      </c>
      <c r="B1551">
        <f>Uo*COS(2*PI()*Wn*Sheet2!A1551) + (Vo/Wn - (Po*(w/Wn))/(K*(1-(w/Wn)^2)))*SIN(2*PI()*Wn*Sheet2!A1551) +(Po*SIN(2*PI()*w*Sheet2!A1551))/(K*(1-(w/Wn)^2))</f>
        <v>-19.238468605489459</v>
      </c>
      <c r="C1551">
        <f t="shared" si="98"/>
        <v>-4.6188649838075779</v>
      </c>
      <c r="D1551">
        <f t="shared" si="99"/>
        <v>-754.46777908239505</v>
      </c>
      <c r="R1551">
        <f t="shared" si="96"/>
        <v>1.5489999999999999</v>
      </c>
      <c r="S1551">
        <f t="shared" si="97"/>
        <v>-4.6188649838075779</v>
      </c>
    </row>
    <row r="1552" spans="1:19" x14ac:dyDescent="0.3">
      <c r="A1552">
        <v>1.55</v>
      </c>
      <c r="B1552">
        <f>Uo*COS(2*PI()*Wn*Sheet2!A1552) + (Vo/Wn - (Po*(w/Wn))/(K*(1-(w/Wn)^2)))*SIN(2*PI()*Wn*Sheet2!A1552) +(Po*SIN(2*PI()*w*Sheet2!A1552))/(K*(1-(w/Wn)^2))</f>
        <v>-19.334123240836028</v>
      </c>
      <c r="C1552">
        <f t="shared" si="98"/>
        <v>-4.6454740828562597</v>
      </c>
      <c r="D1552">
        <f t="shared" si="99"/>
        <v>-758.81423820883026</v>
      </c>
      <c r="R1552">
        <f t="shared" si="96"/>
        <v>1.55</v>
      </c>
      <c r="S1552">
        <f t="shared" si="97"/>
        <v>-4.6454740828562597</v>
      </c>
    </row>
    <row r="1553" spans="1:19" x14ac:dyDescent="0.3">
      <c r="A1553">
        <v>1.5509999999999999</v>
      </c>
      <c r="B1553">
        <f>Uo*COS(2*PI()*Wn*Sheet2!A1553) + (Vo/Wn - (Po*(w/Wn))/(K*(1-(w/Wn)^2)))*SIN(2*PI()*Wn*Sheet2!A1553) +(Po*SIN(2*PI()*w*Sheet2!A1553))/(K*(1-(w/Wn)^2))</f>
        <v>-19.423461789455786</v>
      </c>
      <c r="C1553">
        <f t="shared" si="98"/>
        <v>-4.6705189140692323</v>
      </c>
      <c r="D1553">
        <f t="shared" si="99"/>
        <v>-762.90518225005837</v>
      </c>
      <c r="R1553">
        <f t="shared" si="96"/>
        <v>1.5509999999999999</v>
      </c>
      <c r="S1553">
        <f t="shared" si="97"/>
        <v>-4.6705189140692323</v>
      </c>
    </row>
    <row r="1554" spans="1:19" x14ac:dyDescent="0.3">
      <c r="A1554">
        <v>1.552</v>
      </c>
      <c r="B1554">
        <f>Uo*COS(2*PI()*Wn*Sheet2!A1554) + (Vo/Wn - (Po*(w/Wn))/(K*(1-(w/Wn)^2)))*SIN(2*PI()*Wn*Sheet2!A1554) +(Po*SIN(2*PI()*w*Sheet2!A1554))/(K*(1-(w/Wn)^2))</f>
        <v>-19.50645506616079</v>
      </c>
      <c r="C1554">
        <f t="shared" si="98"/>
        <v>-4.6939941279622488</v>
      </c>
      <c r="D1554">
        <f t="shared" si="99"/>
        <v>-766.739737395411</v>
      </c>
      <c r="R1554">
        <f t="shared" si="96"/>
        <v>1.552</v>
      </c>
      <c r="S1554">
        <f t="shared" si="97"/>
        <v>-4.6939941279622488</v>
      </c>
    </row>
    <row r="1555" spans="1:19" x14ac:dyDescent="0.3">
      <c r="A1555">
        <v>1.5529999999999999</v>
      </c>
      <c r="B1555">
        <f>Uo*COS(2*PI()*Wn*Sheet2!A1555) + (Vo/Wn - (Po*(w/Wn))/(K*(1-(w/Wn)^2)))*SIN(2*PI()*Wn*Sheet2!A1555) +(Po*SIN(2*PI()*w*Sheet2!A1555))/(K*(1-(w/Wn)^2))</f>
        <v>-19.583075958641487</v>
      </c>
      <c r="C1555">
        <f t="shared" si="98"/>
        <v>-4.7158948970119736</v>
      </c>
      <c r="D1555">
        <f t="shared" si="99"/>
        <v>-770.3171150938432</v>
      </c>
      <c r="R1555">
        <f t="shared" si="96"/>
        <v>1.5529999999999999</v>
      </c>
      <c r="S1555">
        <f t="shared" si="97"/>
        <v>-4.7158948970119736</v>
      </c>
    </row>
    <row r="1556" spans="1:19" x14ac:dyDescent="0.3">
      <c r="A1556">
        <v>1.554</v>
      </c>
      <c r="B1556">
        <f>Uo*COS(2*PI()*Wn*Sheet2!A1556) + (Vo/Wn - (Po*(w/Wn))/(K*(1-(w/Wn)^2)))*SIN(2*PI()*Wn*Sheet2!A1556) +(Po*SIN(2*PI()*w*Sheet2!A1556))/(K*(1-(w/Wn)^2))</f>
        <v>-19.653299436323959</v>
      </c>
      <c r="C1556">
        <f t="shared" si="98"/>
        <v>-4.7362169162891075</v>
      </c>
      <c r="D1556">
        <f t="shared" si="99"/>
        <v>-773.63661215735101</v>
      </c>
      <c r="R1556">
        <f t="shared" si="96"/>
        <v>1.554</v>
      </c>
      <c r="S1556">
        <f t="shared" si="97"/>
        <v>-4.7362169162891075</v>
      </c>
    </row>
    <row r="1557" spans="1:19" x14ac:dyDescent="0.3">
      <c r="A1557">
        <v>1.5549999999999999</v>
      </c>
      <c r="B1557">
        <f>Uo*COS(2*PI()*Wn*Sheet2!A1557) + (Vo/Wn - (Po*(w/Wn))/(K*(1-(w/Wn)^2)))*SIN(2*PI()*Wn*Sheet2!A1557) +(Po*SIN(2*PI()*w*Sheet2!A1557))/(K*(1-(w/Wn)^2))</f>
        <v>-19.717102558546735</v>
      </c>
      <c r="C1557">
        <f t="shared" si="98"/>
        <v>-4.7549564039196719</v>
      </c>
      <c r="D1557">
        <f t="shared" si="99"/>
        <v>-776.69761083632068</v>
      </c>
      <c r="R1557">
        <f t="shared" si="96"/>
        <v>1.5549999999999999</v>
      </c>
      <c r="S1557">
        <f t="shared" si="97"/>
        <v>-4.7549564039196719</v>
      </c>
    </row>
    <row r="1558" spans="1:19" x14ac:dyDescent="0.3">
      <c r="A1558">
        <v>1.556</v>
      </c>
      <c r="B1558">
        <f>Uo*COS(2*PI()*Wn*Sheet2!A1558) + (Vo/Wn - (Po*(w/Wn))/(K*(1-(w/Wn)^2)))*SIN(2*PI()*Wn*Sheet2!A1558) +(Po*SIN(2*PI()*w*Sheet2!A1558))/(K*(1-(w/Wn)^2))</f>
        <v>-19.77446448205523</v>
      </c>
      <c r="C1558">
        <f t="shared" si="98"/>
        <v>-4.7721101013748761</v>
      </c>
      <c r="D1558">
        <f t="shared" si="99"/>
        <v>-779.49957886687582</v>
      </c>
      <c r="R1558">
        <f t="shared" si="96"/>
        <v>1.556</v>
      </c>
      <c r="S1558">
        <f t="shared" si="97"/>
        <v>-4.7721101013748761</v>
      </c>
    </row>
    <row r="1559" spans="1:19" x14ac:dyDescent="0.3">
      <c r="A1559">
        <v>1.5569999999999999</v>
      </c>
      <c r="B1559">
        <f>Uo*COS(2*PI()*Wn*Sheet2!A1559) + (Vo/Wn - (Po*(w/Wn))/(K*(1-(w/Wn)^2)))*SIN(2*PI()*Wn*Sheet2!A1559) +(Po*SIN(2*PI()*w*Sheet2!A1559))/(K*(1-(w/Wn)^2))</f>
        <v>-19.825366467810717</v>
      </c>
      <c r="C1559">
        <f t="shared" si="98"/>
        <v>-4.7876752735895396</v>
      </c>
      <c r="D1559">
        <f t="shared" si="99"/>
        <v>-782.04206949022182</v>
      </c>
      <c r="R1559">
        <f t="shared" si="96"/>
        <v>1.5569999999999999</v>
      </c>
      <c r="S1559">
        <f t="shared" si="97"/>
        <v>-4.7876752735895396</v>
      </c>
    </row>
    <row r="1560" spans="1:19" x14ac:dyDescent="0.3">
      <c r="A1560">
        <v>1.5580000000000001</v>
      </c>
      <c r="B1560">
        <f>Uo*COS(2*PI()*Wn*Sheet2!A1560) + (Vo/Wn - (Po*(w/Wn))/(K*(1-(w/Wn)^2)))*SIN(2*PI()*Wn*Sheet2!A1560) +(Po*SIN(2*PI()*w*Sheet2!A1560))/(K*(1-(w/Wn)^2))</f>
        <v>-19.8697918871121</v>
      </c>
      <c r="C1560">
        <f t="shared" si="98"/>
        <v>-4.8016497089095216</v>
      </c>
      <c r="D1560">
        <f t="shared" si="99"/>
        <v>-784.32472144405881</v>
      </c>
      <c r="R1560">
        <f t="shared" si="96"/>
        <v>1.5580000000000001</v>
      </c>
      <c r="S1560">
        <f t="shared" si="97"/>
        <v>-4.8016497089095216</v>
      </c>
    </row>
    <row r="1561" spans="1:19" x14ac:dyDescent="0.3">
      <c r="A1561">
        <v>1.5589999999999999</v>
      </c>
      <c r="B1561">
        <f>Uo*COS(2*PI()*Wn*Sheet2!A1561) + (Vo/Wn - (Po*(w/Wn))/(K*(1-(w/Wn)^2)))*SIN(2*PI()*Wn*Sheet2!A1561) +(Po*SIN(2*PI()*w*Sheet2!A1561))/(K*(1-(w/Wn)^2))</f>
        <v>-19.907726227028139</v>
      </c>
      <c r="C1561">
        <f t="shared" si="98"/>
        <v>-4.8140317188683852</v>
      </c>
      <c r="D1561">
        <f t="shared" si="99"/>
        <v>-786.34725892610027</v>
      </c>
      <c r="R1561">
        <f t="shared" si="96"/>
        <v>1.5589999999999999</v>
      </c>
      <c r="S1561">
        <f t="shared" si="97"/>
        <v>-4.8140317188683852</v>
      </c>
    </row>
    <row r="1562" spans="1:19" x14ac:dyDescent="0.3">
      <c r="A1562">
        <v>1.56</v>
      </c>
      <c r="B1562">
        <f>Uo*COS(2*PI()*Wn*Sheet2!A1562) + (Vo/Wn - (Po*(w/Wn))/(K*(1-(w/Wn)^2)))*SIN(2*PI()*Wn*Sheet2!A1562) +(Po*SIN(2*PI()*w*Sheet2!A1562))/(K*(1-(w/Wn)^2))</f>
        <v>-19.939157095138562</v>
      </c>
      <c r="C1562">
        <f t="shared" si="98"/>
        <v>-4.8248201377936857</v>
      </c>
      <c r="D1562">
        <f t="shared" si="99"/>
        <v>-788.10949152976309</v>
      </c>
      <c r="R1562">
        <f t="shared" si="96"/>
        <v>1.56</v>
      </c>
      <c r="S1562">
        <f t="shared" si="97"/>
        <v>-4.8248201377936857</v>
      </c>
    </row>
    <row r="1563" spans="1:19" x14ac:dyDescent="0.3">
      <c r="A1563">
        <v>1.5609999999999999</v>
      </c>
      <c r="B1563">
        <f>Uo*COS(2*PI()*Wn*Sheet2!A1563) + (Vo/Wn - (Po*(w/Wn))/(K*(1-(w/Wn)^2)))*SIN(2*PI()*Wn*Sheet2!A1563) +(Po*SIN(2*PI()*w*Sheet2!A1563))/(K*(1-(w/Wn)^2))</f>
        <v>-19.964074223582415</v>
      </c>
      <c r="C1563">
        <f t="shared" si="98"/>
        <v>-4.8340143222433749</v>
      </c>
      <c r="D1563">
        <f t="shared" si="99"/>
        <v>-789.61131415210616</v>
      </c>
      <c r="R1563">
        <f t="shared" si="96"/>
        <v>1.5609999999999999</v>
      </c>
      <c r="S1563">
        <f t="shared" si="97"/>
        <v>-4.8340143222433749</v>
      </c>
    </row>
    <row r="1564" spans="1:19" x14ac:dyDescent="0.3">
      <c r="A1564">
        <v>1.5620000000000001</v>
      </c>
      <c r="B1564">
        <f>Uo*COS(2*PI()*Wn*Sheet2!A1564) + (Vo/Wn - (Po*(w/Wn))/(K*(1-(w/Wn)^2)))*SIN(2*PI()*Wn*Sheet2!A1564) +(Po*SIN(2*PI()*w*Sheet2!A1564))/(K*(1-(w/Wn)^2))</f>
        <v>-19.982469472412411</v>
      </c>
      <c r="C1564">
        <f t="shared" si="98"/>
        <v>-4.8416141502727443</v>
      </c>
      <c r="D1564">
        <f t="shared" si="99"/>
        <v>-790.85270687409047</v>
      </c>
      <c r="R1564">
        <f t="shared" si="96"/>
        <v>1.5620000000000001</v>
      </c>
      <c r="S1564">
        <f t="shared" si="97"/>
        <v>-4.8416141502727443</v>
      </c>
    </row>
    <row r="1565" spans="1:19" x14ac:dyDescent="0.3">
      <c r="A1565">
        <v>1.5629999999999999</v>
      </c>
      <c r="B1565">
        <f>Uo*COS(2*PI()*Wn*Sheet2!A1565) + (Vo/Wn - (Po*(w/Wn))/(K*(1-(w/Wn)^2)))*SIN(2*PI()*Wn*Sheet2!A1565) +(Po*SIN(2*PI()*w*Sheet2!A1565))/(K*(1-(w/Wn)^2))</f>
        <v>-19.994336832254053</v>
      </c>
      <c r="C1565">
        <f t="shared" si="98"/>
        <v>-4.8476200205324975</v>
      </c>
      <c r="D1565">
        <f t="shared" si="99"/>
        <v>-791.83373481325259</v>
      </c>
      <c r="R1565">
        <f t="shared" si="96"/>
        <v>1.5629999999999999</v>
      </c>
      <c r="S1565">
        <f t="shared" si="97"/>
        <v>-4.8476200205324975</v>
      </c>
    </row>
    <row r="1566" spans="1:19" x14ac:dyDescent="0.3">
      <c r="A1566">
        <v>1.5640000000000001</v>
      </c>
      <c r="B1566">
        <f>Uo*COS(2*PI()*Wn*Sheet2!A1566) + (Vo/Wn - (Po*(w/Wn))/(K*(1-(w/Wn)^2)))*SIN(2*PI()*Wn*Sheet2!A1566) +(Po*SIN(2*PI()*w*Sheet2!A1566))/(K*(1-(w/Wn)^2))</f>
        <v>-19.999672426268816</v>
      </c>
      <c r="C1566">
        <f t="shared" si="98"/>
        <v>-4.8520328511985387</v>
      </c>
      <c r="D1566">
        <f t="shared" si="99"/>
        <v>-792.55454794889226</v>
      </c>
      <c r="R1566">
        <f t="shared" si="96"/>
        <v>1.5640000000000001</v>
      </c>
      <c r="S1566">
        <f t="shared" si="97"/>
        <v>-4.8520328511985387</v>
      </c>
    </row>
    <row r="1567" spans="1:19" x14ac:dyDescent="0.3">
      <c r="A1567">
        <v>1.5649999999999999</v>
      </c>
      <c r="B1567">
        <f>Uo*COS(2*PI()*Wn*Sheet2!A1567) + (Vo/Wn - (Po*(w/Wn))/(K*(1-(w/Wn)^2)))*SIN(2*PI()*Wn*Sheet2!A1567) +(Po*SIN(2*PI()*w*Sheet2!A1567))/(K*(1-(w/Wn)^2))</f>
        <v>-19.998474511420607</v>
      </c>
      <c r="C1567">
        <f t="shared" si="98"/>
        <v>-4.8548540787341103</v>
      </c>
      <c r="D1567">
        <f t="shared" si="99"/>
        <v>-793.01538091987345</v>
      </c>
      <c r="R1567">
        <f t="shared" si="96"/>
        <v>1.5649999999999999</v>
      </c>
      <c r="S1567">
        <f t="shared" si="97"/>
        <v>-4.8548540787341103</v>
      </c>
    </row>
    <row r="1568" spans="1:19" x14ac:dyDescent="0.3">
      <c r="A1568">
        <v>1.5660000000000001</v>
      </c>
      <c r="B1568">
        <f>Uo*COS(2*PI()*Wn*Sheet2!A1568) + (Vo/Wn - (Po*(w/Wn))/(K*(1-(w/Wn)^2)))*SIN(2*PI()*Wn*Sheet2!A1568) +(Po*SIN(2*PI()*w*Sheet2!A1568))/(K*(1-(w/Wn)^2))</f>
        <v>-19.9907434790452</v>
      </c>
      <c r="C1568">
        <f t="shared" si="98"/>
        <v>-4.8560856564850194</v>
      </c>
      <c r="D1568">
        <f t="shared" si="99"/>
        <v>-793.21655279516165</v>
      </c>
      <c r="R1568">
        <f t="shared" si="96"/>
        <v>1.5660000000000001</v>
      </c>
      <c r="S1568">
        <f t="shared" si="97"/>
        <v>-4.8560856564850194</v>
      </c>
    </row>
    <row r="1569" spans="1:19" x14ac:dyDescent="0.3">
      <c r="A1569">
        <v>1.5669999999999999</v>
      </c>
      <c r="B1569">
        <f>Uo*COS(2*PI()*Wn*Sheet2!A1569) + (Vo/Wn - (Po*(w/Wn))/(K*(1-(w/Wn)^2)))*SIN(2*PI()*Wn*Sheet2!A1569) +(Po*SIN(2*PI()*w*Sheet2!A1569))/(K*(1-(w/Wn)^2))</f>
        <v>-19.976481854722394</v>
      </c>
      <c r="C1569">
        <f t="shared" si="98"/>
        <v>-4.8557300531087133</v>
      </c>
      <c r="D1569">
        <f t="shared" si="99"/>
        <v>-793.15846681722201</v>
      </c>
      <c r="R1569">
        <f t="shared" si="96"/>
        <v>1.5669999999999999</v>
      </c>
      <c r="S1569">
        <f t="shared" si="97"/>
        <v>-4.8557300531087133</v>
      </c>
    </row>
    <row r="1570" spans="1:19" x14ac:dyDescent="0.3">
      <c r="A1570">
        <v>1.5680000000000001</v>
      </c>
      <c r="B1570">
        <f>Uo*COS(2*PI()*Wn*Sheet2!A1570) + (Vo/Wn - (Po*(w/Wn))/(K*(1-(w/Wn)^2)))*SIN(2*PI()*Wn*Sheet2!A1570) +(Po*SIN(2*PI()*w*Sheet2!A1570))/(K*(1-(w/Wn)^2))</f>
        <v>-19.955694297450929</v>
      </c>
      <c r="C1570">
        <f t="shared" si="98"/>
        <v>-4.8537902508379522</v>
      </c>
      <c r="D1570">
        <f t="shared" si="99"/>
        <v>-792.84161011839865</v>
      </c>
      <c r="R1570">
        <f t="shared" si="96"/>
        <v>1.5680000000000001</v>
      </c>
      <c r="S1570">
        <f t="shared" si="97"/>
        <v>-4.8537902508379522</v>
      </c>
    </row>
    <row r="1571" spans="1:19" x14ac:dyDescent="0.3">
      <c r="A1571">
        <v>1.569</v>
      </c>
      <c r="B1571">
        <f>Uo*COS(2*PI()*Wn*Sheet2!A1571) + (Vo/Wn - (Po*(w/Wn))/(K*(1-(w/Wn)^2)))*SIN(2*PI()*Wn*Sheet2!A1571) +(Po*SIN(2*PI()*w*Sheet2!A1571))/(K*(1-(w/Wn)^2))</f>
        <v>-19.92838759812653</v>
      </c>
      <c r="C1571">
        <f t="shared" si="98"/>
        <v>-4.850269743580049</v>
      </c>
      <c r="D1571">
        <f t="shared" si="99"/>
        <v>-792.26655341043568</v>
      </c>
      <c r="R1571">
        <f t="shared" si="96"/>
        <v>1.569</v>
      </c>
      <c r="S1571">
        <f t="shared" si="97"/>
        <v>-4.850269743580049</v>
      </c>
    </row>
    <row r="1572" spans="1:19" x14ac:dyDescent="0.3">
      <c r="A1572">
        <v>1.57</v>
      </c>
      <c r="B1572">
        <f>Uo*COS(2*PI()*Wn*Sheet2!A1572) + (Vo/Wn - (Po*(w/Wn))/(K*(1-(w/Wn)^2)))*SIN(2*PI()*Wn*Sheet2!A1572) +(Po*SIN(2*PI()*w*Sheet2!A1572))/(K*(1-(w/Wn)^2))</f>
        <v>-19.89457067732339</v>
      </c>
      <c r="C1572">
        <f t="shared" si="98"/>
        <v>-4.8451725348525025</v>
      </c>
      <c r="D1572">
        <f t="shared" si="99"/>
        <v>-791.43395064727349</v>
      </c>
      <c r="R1572">
        <f t="shared" si="96"/>
        <v>1.57</v>
      </c>
      <c r="S1572">
        <f t="shared" si="97"/>
        <v>-4.8451725348525025</v>
      </c>
    </row>
    <row r="1573" spans="1:19" x14ac:dyDescent="0.3">
      <c r="A1573">
        <v>1.571</v>
      </c>
      <c r="B1573">
        <f>Uo*COS(2*PI()*Wn*Sheet2!A1573) + (Vo/Wn - (Po*(w/Wn))/(K*(1-(w/Wn)^2)))*SIN(2*PI()*Wn*Sheet2!A1573) +(Po*SIN(2*PI()*w*Sheet2!A1573))/(K*(1-(w/Wn)^2))</f>
        <v>-19.854254582380069</v>
      </c>
      <c r="C1573">
        <f t="shared" si="98"/>
        <v>-4.8385031355560439</v>
      </c>
      <c r="D1573">
        <f t="shared" si="99"/>
        <v>-790.34453866128706</v>
      </c>
      <c r="R1573">
        <f t="shared" si="96"/>
        <v>1.571</v>
      </c>
      <c r="S1573">
        <f t="shared" si="97"/>
        <v>-4.8385031355560439</v>
      </c>
    </row>
    <row r="1574" spans="1:19" x14ac:dyDescent="0.3">
      <c r="A1574">
        <v>1.5720000000000001</v>
      </c>
      <c r="B1574">
        <f>Uo*COS(2*PI()*Wn*Sheet2!A1574) + (Vo/Wn - (Po*(w/Wn))/(K*(1-(w/Wn)^2)))*SIN(2*PI()*Wn*Sheet2!A1574) +(Po*SIN(2*PI()*w*Sheet2!A1574))/(K*(1-(w/Wn)^2))</f>
        <v>-19.807452483790428</v>
      </c>
      <c r="C1574">
        <f t="shared" si="98"/>
        <v>-4.8302665615860976</v>
      </c>
      <c r="D1574">
        <f t="shared" si="99"/>
        <v>-788.99913677313089</v>
      </c>
      <c r="R1574">
        <f t="shared" si="96"/>
        <v>1.5720000000000001</v>
      </c>
      <c r="S1574">
        <f t="shared" si="97"/>
        <v>-4.8302665615860976</v>
      </c>
    </row>
    <row r="1575" spans="1:19" x14ac:dyDescent="0.3">
      <c r="A1575">
        <v>1.573</v>
      </c>
      <c r="B1575">
        <f>Uo*COS(2*PI()*Wn*Sheet2!A1575) + (Vo/Wn - (Po*(w/Wn))/(K*(1-(w/Wn)^2)))*SIN(2*PI()*Wn*Sheet2!A1575) +(Po*SIN(2*PI()*w*Sheet2!A1575))/(K*(1-(w/Wn)^2))</f>
        <v>-19.754179670901205</v>
      </c>
      <c r="C1575">
        <f t="shared" si="98"/>
        <v>-4.8204683312837355</v>
      </c>
      <c r="D1575">
        <f t="shared" si="99"/>
        <v>-787.39864637536505</v>
      </c>
      <c r="R1575">
        <f t="shared" si="96"/>
        <v>1.573</v>
      </c>
      <c r="S1575">
        <f t="shared" si="97"/>
        <v>-4.8204683312837355</v>
      </c>
    </row>
    <row r="1576" spans="1:19" x14ac:dyDescent="0.3">
      <c r="A1576">
        <v>1.5740000000000001</v>
      </c>
      <c r="B1576">
        <f>Uo*COS(2*PI()*Wn*Sheet2!A1576) + (Vo/Wn - (Po*(w/Wn))/(K*(1-(w/Wn)^2)))*SIN(2*PI()*Wn*Sheet2!A1576) +(Po*SIN(2*PI()*w*Sheet2!A1576))/(K*(1-(w/Wn)^2))</f>
        <v>-19.694453546917188</v>
      </c>
      <c r="C1576">
        <f t="shared" si="98"/>
        <v>-4.8091144627272326</v>
      </c>
      <c r="D1576">
        <f t="shared" si="99"/>
        <v>-785.54405049004504</v>
      </c>
      <c r="R1576">
        <f t="shared" si="96"/>
        <v>1.5740000000000001</v>
      </c>
      <c r="S1576">
        <f t="shared" si="97"/>
        <v>-4.8091144627272326</v>
      </c>
    </row>
    <row r="1577" spans="1:19" x14ac:dyDescent="0.3">
      <c r="A1577">
        <v>1.575</v>
      </c>
      <c r="B1577">
        <f>Uo*COS(2*PI()*Wn*Sheet2!A1577) + (Vo/Wn - (Po*(w/Wn))/(K*(1-(w/Wn)^2)))*SIN(2*PI()*Wn*Sheet2!A1577) +(Po*SIN(2*PI()*w*Sheet2!A1577))/(K*(1-(w/Wn)^2))</f>
        <v>-19.628293623215999</v>
      </c>
      <c r="C1577">
        <f t="shared" si="98"/>
        <v>-4.7962114708654342</v>
      </c>
      <c r="D1577">
        <f t="shared" si="99"/>
        <v>-783.43641330047205</v>
      </c>
      <c r="R1577">
        <f t="shared" si="96"/>
        <v>1.575</v>
      </c>
      <c r="S1577">
        <f t="shared" si="97"/>
        <v>-4.7962114708654342</v>
      </c>
    </row>
    <row r="1578" spans="1:19" x14ac:dyDescent="0.3">
      <c r="A1578">
        <v>1.5760000000000001</v>
      </c>
      <c r="B1578">
        <f>Uo*COS(2*PI()*Wn*Sheet2!A1578) + (Vo/Wn - (Po*(w/Wn))/(K*(1-(w/Wn)^2)))*SIN(2*PI()*Wn*Sheet2!A1578) +(Po*SIN(2*PI()*w*Sheet2!A1578))/(K*(1-(w/Wn)^2))</f>
        <v>-19.555721512973975</v>
      </c>
      <c r="C1578">
        <f t="shared" si="98"/>
        <v>-4.7817663644940787</v>
      </c>
      <c r="D1578">
        <f t="shared" si="99"/>
        <v>-781.07687965729076</v>
      </c>
      <c r="R1578">
        <f t="shared" si="96"/>
        <v>1.5760000000000001</v>
      </c>
      <c r="S1578">
        <f t="shared" si="97"/>
        <v>-4.7817663644940787</v>
      </c>
    </row>
    <row r="1579" spans="1:19" x14ac:dyDescent="0.3">
      <c r="A1579">
        <v>1.577</v>
      </c>
      <c r="B1579">
        <f>Uo*COS(2*PI()*Wn*Sheet2!A1579) + (Vo/Wn - (Po*(w/Wn))/(K*(1-(w/Wn)^2)))*SIN(2*PI()*Wn*Sheet2!A1579) +(Po*SIN(2*PI()*w*Sheet2!A1579))/(K*(1-(w/Wn)^2))</f>
        <v>-19.476760924105733</v>
      </c>
      <c r="C1579">
        <f t="shared" si="98"/>
        <v>-4.7657866430764591</v>
      </c>
      <c r="D1579">
        <f t="shared" si="99"/>
        <v>-778.46667455916122</v>
      </c>
      <c r="R1579">
        <f t="shared" si="96"/>
        <v>1.577</v>
      </c>
      <c r="S1579">
        <f t="shared" si="97"/>
        <v>-4.7657866430764591</v>
      </c>
    </row>
    <row r="1580" spans="1:19" x14ac:dyDescent="0.3">
      <c r="A1580">
        <v>1.5780000000000001</v>
      </c>
      <c r="B1580">
        <f>Uo*COS(2*PI()*Wn*Sheet2!A1580) + (Vo/Wn - (Po*(w/Wn))/(K*(1-(w/Wn)^2)))*SIN(2*PI()*Wn*Sheet2!A1580) +(Po*SIN(2*PI()*w*Sheet2!A1580))/(K*(1-(w/Wn)^2))</f>
        <v>-19.391437651519098</v>
      </c>
      <c r="C1580">
        <f t="shared" si="98"/>
        <v>-4.7482802934096178</v>
      </c>
      <c r="D1580">
        <f t="shared" si="99"/>
        <v>-775.60710260819815</v>
      </c>
      <c r="R1580">
        <f t="shared" si="96"/>
        <v>1.5780000000000001</v>
      </c>
      <c r="S1580">
        <f t="shared" si="97"/>
        <v>-4.7482802934096178</v>
      </c>
    </row>
    <row r="1581" spans="1:19" x14ac:dyDescent="0.3">
      <c r="A1581">
        <v>1.579</v>
      </c>
      <c r="B1581">
        <f>Uo*COS(2*PI()*Wn*Sheet2!A1581) + (Vo/Wn - (Po*(w/Wn))/(K*(1-(w/Wn)^2)))*SIN(2*PI()*Wn*Sheet2!A1581) +(Po*SIN(2*PI()*w*Sheet2!A1581))/(K*(1-(w/Wn)^2))</f>
        <v>-19.299779568688528</v>
      </c>
      <c r="C1581">
        <f t="shared" si="98"/>
        <v>-4.7292557861375624</v>
      </c>
      <c r="D1581">
        <f t="shared" si="99"/>
        <v>-772.4995474404235</v>
      </c>
      <c r="R1581">
        <f t="shared" si="96"/>
        <v>1.579</v>
      </c>
      <c r="S1581">
        <f t="shared" si="97"/>
        <v>-4.7292557861375624</v>
      </c>
    </row>
    <row r="1582" spans="1:19" x14ac:dyDescent="0.3">
      <c r="A1582">
        <v>1.58</v>
      </c>
      <c r="B1582">
        <f>Uo*COS(2*PI()*Wn*Sheet2!A1582) + (Vo/Wn - (Po*(w/Wn))/(K*(1-(w/Wn)^2)))*SIN(2*PI()*Wn*Sheet2!A1582) +(Po*SIN(2*PI()*w*Sheet2!A1582))/(K*(1-(w/Wn)^2))</f>
        <v>-19.201816618549202</v>
      </c>
      <c r="C1582">
        <f t="shared" si="98"/>
        <v>-4.708722072112784</v>
      </c>
      <c r="D1582">
        <f t="shared" si="99"/>
        <v>-769.14547113143897</v>
      </c>
      <c r="R1582">
        <f t="shared" si="96"/>
        <v>1.58</v>
      </c>
      <c r="S1582">
        <f t="shared" si="97"/>
        <v>-4.708722072112784</v>
      </c>
    </row>
    <row r="1583" spans="1:19" x14ac:dyDescent="0.3">
      <c r="A1583">
        <v>1.581</v>
      </c>
      <c r="B1583">
        <f>Uo*COS(2*PI()*Wn*Sheet2!A1583) + (Vo/Wn - (Po*(w/Wn))/(K*(1-(w/Wn)^2)))*SIN(2*PI()*Wn*Sheet2!A1583) +(Po*SIN(2*PI()*w*Sheet2!A1583))/(K*(1-(w/Wn)^2))</f>
        <v>-19.097580803715491</v>
      </c>
      <c r="C1583">
        <f t="shared" si="98"/>
        <v>-4.6866885786076979</v>
      </c>
      <c r="D1583">
        <f t="shared" si="99"/>
        <v>-765.54641357758396</v>
      </c>
      <c r="R1583">
        <f t="shared" si="96"/>
        <v>1.581</v>
      </c>
      <c r="S1583">
        <f t="shared" si="97"/>
        <v>-4.6866885786076979</v>
      </c>
    </row>
    <row r="1584" spans="1:19" x14ac:dyDescent="0.3">
      <c r="A1584">
        <v>1.5820000000000001</v>
      </c>
      <c r="B1584">
        <f>Uo*COS(2*PI()*Wn*Sheet2!A1584) + (Vo/Wn - (Po*(w/Wn))/(K*(1-(w/Wn)^2)))*SIN(2*PI()*Wn*Sheet2!A1584) +(Po*SIN(2*PI()*w*Sheet2!A1584))/(K*(1-(w/Wn)^2))</f>
        <v>-18.987106176026082</v>
      </c>
      <c r="C1584">
        <f t="shared" si="98"/>
        <v>-4.6631652053773527</v>
      </c>
      <c r="D1584">
        <f t="shared" si="99"/>
        <v>-761.7039918528003</v>
      </c>
      <c r="R1584">
        <f t="shared" si="96"/>
        <v>1.5820000000000001</v>
      </c>
      <c r="S1584">
        <f t="shared" si="97"/>
        <v>-4.6631652053773527</v>
      </c>
    </row>
    <row r="1585" spans="1:19" x14ac:dyDescent="0.3">
      <c r="A1585">
        <v>1.583</v>
      </c>
      <c r="B1585">
        <f>Uo*COS(2*PI()*Wn*Sheet2!A1585) + (Vo/Wn - (Po*(w/Wn))/(K*(1-(w/Wn)^2)))*SIN(2*PI()*Wn*Sheet2!A1585) +(Po*SIN(2*PI()*w*Sheet2!A1585))/(K*(1-(w/Wn)^2))</f>
        <v>-18.870428825420099</v>
      </c>
      <c r="C1585">
        <f t="shared" si="98"/>
        <v>-4.6381623205751081</v>
      </c>
      <c r="D1585">
        <f t="shared" si="99"/>
        <v>-757.61989954147839</v>
      </c>
      <c r="R1585">
        <f t="shared" si="96"/>
        <v>1.583</v>
      </c>
      <c r="S1585">
        <f t="shared" si="97"/>
        <v>-4.6381623205751081</v>
      </c>
    </row>
    <row r="1586" spans="1:19" x14ac:dyDescent="0.3">
      <c r="A1586">
        <v>1.5840000000000001</v>
      </c>
      <c r="B1586">
        <f>Uo*COS(2*PI()*Wn*Sheet2!A1586) + (Vo/Wn - (Po*(w/Wn))/(K*(1-(w/Wn)^2)))*SIN(2*PI()*Wn*Sheet2!A1586) +(Po*SIN(2*PI()*w*Sheet2!A1586))/(K*(1-(w/Wn)^2))</f>
        <v>-18.747586868146968</v>
      </c>
      <c r="C1586">
        <f t="shared" si="98"/>
        <v>-4.6116907565227159</v>
      </c>
      <c r="D1586">
        <f t="shared" si="99"/>
        <v>-753.29590604752229</v>
      </c>
      <c r="R1586">
        <f t="shared" si="96"/>
        <v>1.5840000000000001</v>
      </c>
      <c r="S1586">
        <f t="shared" si="97"/>
        <v>-4.6116907565227159</v>
      </c>
    </row>
    <row r="1587" spans="1:19" x14ac:dyDescent="0.3">
      <c r="A1587">
        <v>1.585</v>
      </c>
      <c r="B1587">
        <f>Uo*COS(2*PI()*Wn*Sheet2!A1587) + (Vo/Wn - (Po*(w/Wn))/(K*(1-(w/Wn)^2)))*SIN(2*PI()*Wn*Sheet2!A1587) +(Po*SIN(2*PI()*w*Sheet2!A1587))/(K*(1-(w/Wn)^2))</f>
        <v>-18.618620434314856</v>
      </c>
      <c r="C1587">
        <f t="shared" si="98"/>
        <v>-4.5837618053366596</v>
      </c>
      <c r="D1587">
        <f t="shared" si="99"/>
        <v>-748.73385587993459</v>
      </c>
      <c r="R1587">
        <f t="shared" si="96"/>
        <v>1.585</v>
      </c>
      <c r="S1587">
        <f t="shared" si="97"/>
        <v>-4.5837618053366596</v>
      </c>
    </row>
    <row r="1588" spans="1:19" x14ac:dyDescent="0.3">
      <c r="A1588">
        <v>1.5860000000000001</v>
      </c>
      <c r="B1588">
        <f>Uo*COS(2*PI()*Wn*Sheet2!A1588) + (Vo/Wn - (Po*(w/Wn))/(K*(1-(w/Wn)^2)))*SIN(2*PI()*Wn*Sheet2!A1588) +(Po*SIN(2*PI()*w*Sheet2!A1588))/(K*(1-(w/Wn)^2))</f>
        <v>-18.48357165478069</v>
      </c>
      <c r="C1588">
        <f t="shared" si="98"/>
        <v>-4.5543872144122215</v>
      </c>
      <c r="D1588">
        <f t="shared" si="99"/>
        <v>-743.93566791516207</v>
      </c>
      <c r="R1588">
        <f t="shared" si="96"/>
        <v>1.5860000000000001</v>
      </c>
      <c r="S1588">
        <f t="shared" si="97"/>
        <v>-4.5543872144122215</v>
      </c>
    </row>
    <row r="1589" spans="1:19" x14ac:dyDescent="0.3">
      <c r="A1589">
        <v>1.587</v>
      </c>
      <c r="B1589">
        <f>Uo*COS(2*PI()*Wn*Sheet2!A1589) + (Vo/Wn - (Po*(w/Wn))/(K*(1-(w/Wn)^2)))*SIN(2*PI()*Wn*Sheet2!A1589) +(Po*SIN(2*PI()*w*Sheet2!A1589))/(K*(1-(w/Wn)^2))</f>
        <v>-18.342484647387046</v>
      </c>
      <c r="C1589">
        <f t="shared" si="98"/>
        <v>-4.5235791817671753</v>
      </c>
      <c r="D1589">
        <f t="shared" si="99"/>
        <v>-738.90333463651211</v>
      </c>
      <c r="R1589">
        <f t="shared" si="96"/>
        <v>1.587</v>
      </c>
      <c r="S1589">
        <f t="shared" si="97"/>
        <v>-4.5235791817671753</v>
      </c>
    </row>
    <row r="1590" spans="1:19" x14ac:dyDescent="0.3">
      <c r="A1590">
        <v>1.5880000000000001</v>
      </c>
      <c r="B1590">
        <f>Uo*COS(2*PI()*Wn*Sheet2!A1590) + (Vo/Wn - (Po*(w/Wn))/(K*(1-(w/Wn)^2)))*SIN(2*PI()*Wn*Sheet2!A1590) +(Po*SIN(2*PI()*w*Sheet2!A1590))/(K*(1-(w/Wn)^2))</f>
        <v>-18.195405502549377</v>
      </c>
      <c r="C1590">
        <f t="shared" si="98"/>
        <v>-4.4913503512467345</v>
      </c>
      <c r="D1590">
        <f t="shared" si="99"/>
        <v>-733.63892135090543</v>
      </c>
      <c r="R1590">
        <f t="shared" si="96"/>
        <v>1.5880000000000001</v>
      </c>
      <c r="S1590">
        <f t="shared" si="97"/>
        <v>-4.4913503512467345</v>
      </c>
    </row>
    <row r="1591" spans="1:19" x14ac:dyDescent="0.3">
      <c r="A1591">
        <v>1.589</v>
      </c>
      <c r="B1591">
        <f>Uo*COS(2*PI()*Wn*Sheet2!A1591) + (Vo/Wn - (Po*(w/Wn))/(K*(1-(w/Wn)^2)))*SIN(2*PI()*Wn*Sheet2!A1591) +(Po*SIN(2*PI()*w*Sheet2!A1591))/(K*(1-(w/Wn)^2))</f>
        <v>-18.042382268199539</v>
      </c>
      <c r="C1591">
        <f t="shared" si="98"/>
        <v>-4.4577138075917606</v>
      </c>
      <c r="D1591">
        <f t="shared" si="99"/>
        <v>-728.14456538329364</v>
      </c>
      <c r="R1591">
        <f t="shared" si="96"/>
        <v>1.589</v>
      </c>
      <c r="S1591">
        <f t="shared" si="97"/>
        <v>-4.4577138075917606</v>
      </c>
    </row>
    <row r="1592" spans="1:19" x14ac:dyDescent="0.3">
      <c r="A1592">
        <v>1.59</v>
      </c>
      <c r="B1592">
        <f>Uo*COS(2*PI()*Wn*Sheet2!A1592) + (Vo/Wn - (Po*(w/Wn))/(K*(1-(w/Wn)^2)))*SIN(2*PI()*Wn*Sheet2!A1592) +(Po*SIN(2*PI()*w*Sheet2!A1592))/(K*(1-(w/Wn)^2))</f>
        <v>-17.88346493408914</v>
      </c>
      <c r="C1592">
        <f t="shared" si="98"/>
        <v>-4.4226830713718526</v>
      </c>
      <c r="D1592">
        <f t="shared" si="99"/>
        <v>-722.42247524900529</v>
      </c>
      <c r="R1592">
        <f t="shared" si="96"/>
        <v>1.59</v>
      </c>
      <c r="S1592">
        <f t="shared" si="97"/>
        <v>-4.4226830713718526</v>
      </c>
    </row>
    <row r="1593" spans="1:19" x14ac:dyDescent="0.3">
      <c r="A1593">
        <v>1.591</v>
      </c>
      <c r="B1593">
        <f>Uo*COS(2*PI()*Wn*Sheet2!A1593) + (Vo/Wn - (Po*(w/Wn))/(K*(1-(w/Wn)^2)))*SIN(2*PI()*Wn*Sheet2!A1593) +(Po*SIN(2*PI()*w*Sheet2!A1593))/(K*(1-(w/Wn)^2))</f>
        <v>-17.718705415459091</v>
      </c>
      <c r="C1593">
        <f t="shared" si="98"/>
        <v>-4.3862720937854478</v>
      </c>
      <c r="D1593">
        <f t="shared" si="99"/>
        <v>-716.47492980436925</v>
      </c>
      <c r="R1593">
        <f t="shared" si="96"/>
        <v>1.591</v>
      </c>
      <c r="S1593">
        <f t="shared" si="97"/>
        <v>-4.3862720937854478</v>
      </c>
    </row>
    <row r="1594" spans="1:19" x14ac:dyDescent="0.3">
      <c r="A1594">
        <v>1.5920000000000001</v>
      </c>
      <c r="B1594">
        <f>Uo*COS(2*PI()*Wn*Sheet2!A1594) + (Vo/Wn - (Po*(w/Wn))/(K*(1-(w/Wn)^2)))*SIN(2*PI()*Wn*Sheet2!A1594) +(Po*SIN(2*PI()*w*Sheet2!A1594))/(K*(1-(w/Wn)^2))</f>
        <v>-17.548157536079682</v>
      </c>
      <c r="C1594">
        <f t="shared" si="98"/>
        <v>-4.3484952513286617</v>
      </c>
      <c r="D1594">
        <f t="shared" si="99"/>
        <v>-710.30427737589719</v>
      </c>
      <c r="R1594">
        <f t="shared" si="96"/>
        <v>1.5920000000000001</v>
      </c>
      <c r="S1594">
        <f t="shared" si="97"/>
        <v>-4.3484952513286617</v>
      </c>
    </row>
    <row r="1595" spans="1:19" x14ac:dyDescent="0.3">
      <c r="A1595">
        <v>1.593</v>
      </c>
      <c r="B1595">
        <f>Uo*COS(2*PI()*Wn*Sheet2!A1595) + (Vo/Wn - (Po*(w/Wn))/(K*(1-(w/Wn)^2)))*SIN(2*PI()*Wn*Sheet2!A1595) +(Po*SIN(2*PI()*w*Sheet2!A1595))/(K*(1-(w/Wn)^2))</f>
        <v>-17.371877010667522</v>
      </c>
      <c r="C1595">
        <f t="shared" si="98"/>
        <v>-4.3093673403350179</v>
      </c>
      <c r="D1595">
        <f t="shared" si="99"/>
        <v>-703.91293486837651</v>
      </c>
      <c r="R1595">
        <f t="shared" si="96"/>
        <v>1.593</v>
      </c>
      <c r="S1595">
        <f t="shared" si="97"/>
        <v>-4.3093673403350179</v>
      </c>
    </row>
    <row r="1596" spans="1:19" x14ac:dyDescent="0.3">
      <c r="A1596">
        <v>1.5940000000000001</v>
      </c>
      <c r="B1596">
        <f>Uo*COS(2*PI()*Wn*Sheet2!A1596) + (Vo/Wn - (Po*(w/Wn))/(K*(1-(w/Wn)^2)))*SIN(2*PI()*Wn*Sheet2!A1596) +(Po*SIN(2*PI()*w*Sheet2!A1596))/(K*(1-(w/Wn)^2))</f>
        <v>-17.189921426684542</v>
      </c>
      <c r="C1596">
        <f t="shared" si="98"/>
        <v>-4.2689035713879759</v>
      </c>
      <c r="D1596">
        <f t="shared" si="99"/>
        <v>-697.30338685218589</v>
      </c>
      <c r="R1596">
        <f t="shared" si="96"/>
        <v>1.5940000000000001</v>
      </c>
      <c r="S1596">
        <f t="shared" si="97"/>
        <v>-4.2689035713879759</v>
      </c>
    </row>
    <row r="1597" spans="1:19" x14ac:dyDescent="0.3">
      <c r="A1597">
        <v>1.595</v>
      </c>
      <c r="B1597">
        <f>Uo*COS(2*PI()*Wn*Sheet2!A1597) + (Vo/Wn - (Po*(w/Wn))/(K*(1-(w/Wn)^2)))*SIN(2*PI()*Wn*Sheet2!A1597) +(Po*SIN(2*PI()*w*Sheet2!A1597))/(K*(1-(w/Wn)^2))</f>
        <v>-17.002350225525408</v>
      </c>
      <c r="C1597">
        <f t="shared" si="98"/>
        <v>-4.2271195636083769</v>
      </c>
      <c r="D1597">
        <f t="shared" si="99"/>
        <v>-690.47818463017848</v>
      </c>
      <c r="R1597">
        <f t="shared" si="96"/>
        <v>1.595</v>
      </c>
      <c r="S1597">
        <f t="shared" si="97"/>
        <v>-4.2271195636083769</v>
      </c>
    </row>
    <row r="1598" spans="1:19" x14ac:dyDescent="0.3">
      <c r="A1598">
        <v>1.5960000000000001</v>
      </c>
      <c r="B1598">
        <f>Uo*COS(2*PI()*Wn*Sheet2!A1598) + (Vo/Wn - (Po*(w/Wn))/(K*(1-(w/Wn)^2)))*SIN(2*PI()*Wn*Sheet2!A1598) +(Po*SIN(2*PI()*w*Sheet2!A1598))/(K*(1-(w/Wn)^2))</f>
        <v>-16.809224683098975</v>
      </c>
      <c r="C1598">
        <f t="shared" si="98"/>
        <v>-4.1840313388187935</v>
      </c>
      <c r="D1598">
        <f t="shared" si="99"/>
        <v>-683.4399452844591</v>
      </c>
      <c r="R1598">
        <f t="shared" si="96"/>
        <v>1.5960000000000001</v>
      </c>
      <c r="S1598">
        <f t="shared" si="97"/>
        <v>-4.1840313388187935</v>
      </c>
    </row>
    <row r="1599" spans="1:19" x14ac:dyDescent="0.3">
      <c r="A1599">
        <v>1.597</v>
      </c>
      <c r="B1599">
        <f>Uo*COS(2*PI()*Wn*Sheet2!A1599) + (Vo/Wn - (Po*(w/Wn))/(K*(1-(w/Wn)^2)))*SIN(2*PI()*Wn*Sheet2!A1599) +(Po*SIN(2*PI()*w*Sheet2!A1599))/(K*(1-(w/Wn)^2))</f>
        <v>-16.610607889810726</v>
      </c>
      <c r="C1599">
        <f t="shared" si="98"/>
        <v>-4.1396553155870572</v>
      </c>
      <c r="D1599">
        <f t="shared" si="99"/>
        <v>-676.19135070342475</v>
      </c>
      <c r="R1599">
        <f t="shared" si="96"/>
        <v>1.597</v>
      </c>
      <c r="S1599">
        <f t="shared" si="97"/>
        <v>-4.1396553155870572</v>
      </c>
    </row>
    <row r="1600" spans="1:19" x14ac:dyDescent="0.3">
      <c r="A1600">
        <v>1.5980000000000001</v>
      </c>
      <c r="B1600">
        <f>Uo*COS(2*PI()*Wn*Sheet2!A1600) + (Vo/Wn - (Po*(w/Wn))/(K*(1-(w/Wn)^2)))*SIN(2*PI()*Wn*Sheet2!A1600) +(Po*SIN(2*PI()*w*Sheet2!A1600))/(K*(1-(w/Wn)^2))</f>
        <v>-16.406564729952315</v>
      </c>
      <c r="C1600">
        <f t="shared" si="98"/>
        <v>-4.0940083031510071</v>
      </c>
      <c r="D1600">
        <f t="shared" si="99"/>
        <v>-668.73514658940383</v>
      </c>
      <c r="R1600">
        <f t="shared" si="96"/>
        <v>1.5980000000000001</v>
      </c>
      <c r="S1600">
        <f t="shared" si="97"/>
        <v>-4.0940083031510071</v>
      </c>
    </row>
    <row r="1601" spans="1:19" x14ac:dyDescent="0.3">
      <c r="A1601">
        <v>1.599</v>
      </c>
      <c r="B1601">
        <f>Uo*COS(2*PI()*Wn*Sheet2!A1601) + (Vo/Wn - (Po*(w/Wn))/(K*(1-(w/Wn)^2)))*SIN(2*PI()*Wn*Sheet2!A1601) +(Po*SIN(2*PI()*w*Sheet2!A1601))/(K*(1-(w/Wn)^2))</f>
        <v>-16.197161860505233</v>
      </c>
      <c r="C1601">
        <f t="shared" si="98"/>
        <v>-4.0471074952267445</v>
      </c>
      <c r="D1601">
        <f t="shared" si="99"/>
        <v>-661.07414144726647</v>
      </c>
      <c r="R1601">
        <f t="shared" ref="R1601:R1664" si="100">A1601</f>
        <v>1.599</v>
      </c>
      <c r="S1601">
        <f t="shared" ref="S1601:S1664" si="101">C1601</f>
        <v>-4.0471074952267445</v>
      </c>
    </row>
    <row r="1602" spans="1:19" x14ac:dyDescent="0.3">
      <c r="A1602">
        <v>1.6</v>
      </c>
      <c r="B1602">
        <f>Uo*COS(2*PI()*Wn*Sheet2!A1602) + (Vo/Wn - (Po*(w/Wn))/(K*(1-(w/Wn)^2)))*SIN(2*PI()*Wn*Sheet2!A1602) +(Po*SIN(2*PI()*w*Sheet2!A1602))/(K*(1-(w/Wn)^2))</f>
        <v>-15.982467689365054</v>
      </c>
      <c r="C1602">
        <f t="shared" ref="C1602:C1665" si="102">EXP(-zeta*Wn*A1602*2*PI())*($H$1*COS(wnD*2*PI()*A1602) + $H$2*SIN(wnD*2*PI()*A1602)) + $H$3*SIN(w*2*PI()*A1602) + $H$4*COS(w*2*PI()*A1602)</f>
        <v>-3.9989704637024985</v>
      </c>
      <c r="D1602">
        <f t="shared" ref="D1602:D1665" si="103">K*C1602</f>
        <v>-653.2112055543497</v>
      </c>
      <c r="R1602">
        <f t="shared" si="100"/>
        <v>1.6</v>
      </c>
      <c r="S1602">
        <f t="shared" si="101"/>
        <v>-3.9989704637024985</v>
      </c>
    </row>
    <row r="1603" spans="1:19" x14ac:dyDescent="0.3">
      <c r="A1603">
        <v>1.601</v>
      </c>
      <c r="B1603">
        <f>Uo*COS(2*PI()*Wn*Sheet2!A1603) + (Vo/Wn - (Po*(w/Wn))/(K*(1-(w/Wn)^2)))*SIN(2*PI()*Wn*Sheet2!A1603) +(Po*SIN(2*PI()*w*Sheet2!A1603))/(K*(1-(w/Wn)^2))</f>
        <v>-15.762552352994014</v>
      </c>
      <c r="C1603">
        <f t="shared" si="102"/>
        <v>-3.9496151522205336</v>
      </c>
      <c r="D1603">
        <f t="shared" si="103"/>
        <v>-645.14926991209552</v>
      </c>
      <c r="R1603">
        <f t="shared" si="100"/>
        <v>1.601</v>
      </c>
      <c r="S1603">
        <f t="shared" si="101"/>
        <v>-3.9496151522205336</v>
      </c>
    </row>
    <row r="1604" spans="1:19" x14ac:dyDescent="0.3">
      <c r="A1604">
        <v>1.6020000000000001</v>
      </c>
      <c r="B1604">
        <f>Uo*COS(2*PI()*Wn*Sheet2!A1604) + (Vo/Wn - (Po*(w/Wn))/(K*(1-(w/Wn)^2)))*SIN(2*PI()*Wn*Sheet2!A1604) +(Po*SIN(2*PI()*w*Sheet2!A1604))/(K*(1-(w/Wn)^2))</f>
        <v>-15.537487693508716</v>
      </c>
      <c r="C1604">
        <f t="shared" si="102"/>
        <v>-3.8990598696492658</v>
      </c>
      <c r="D1604">
        <f t="shared" si="103"/>
        <v>-636.89132517975463</v>
      </c>
      <c r="R1604">
        <f t="shared" si="100"/>
        <v>1.6020000000000001</v>
      </c>
      <c r="S1604">
        <f t="shared" si="101"/>
        <v>-3.8990598696492658</v>
      </c>
    </row>
    <row r="1605" spans="1:19" x14ac:dyDescent="0.3">
      <c r="A1605">
        <v>1.603</v>
      </c>
      <c r="B1605">
        <f>Uo*COS(2*PI()*Wn*Sheet2!A1605) + (Vo/Wn - (Po*(w/Wn))/(K*(1-(w/Wn)^2)))*SIN(2*PI()*Wn*Sheet2!A1605) +(Po*SIN(2*PI()*w*Sheet2!A1605))/(K*(1-(w/Wn)^2))</f>
        <v>-15.307347235210853</v>
      </c>
      <c r="C1605">
        <f t="shared" si="102"/>
        <v>-3.8473232834480031</v>
      </c>
      <c r="D1605">
        <f t="shared" si="103"/>
        <v>-628.44042059055096</v>
      </c>
      <c r="R1605">
        <f t="shared" si="100"/>
        <v>1.603</v>
      </c>
      <c r="S1605">
        <f t="shared" si="101"/>
        <v>-3.8473232834480031</v>
      </c>
    </row>
    <row r="1606" spans="1:19" x14ac:dyDescent="0.3">
      <c r="A1606">
        <v>1.6040000000000001</v>
      </c>
      <c r="B1606">
        <f>Uo*COS(2*PI()*Wn*Sheet2!A1606) + (Vo/Wn - (Po*(w/Wn))/(K*(1-(w/Wn)^2)))*SIN(2*PI()*Wn*Sheet2!A1606) +(Po*SIN(2*PI()*w*Sheet2!A1606))/(K*(1-(w/Wn)^2))</f>
        <v>-15.072206160567925</v>
      </c>
      <c r="C1606">
        <f t="shared" si="102"/>
        <v>-3.794424412926543</v>
      </c>
      <c r="D1606">
        <f t="shared" si="103"/>
        <v>-619.79966285067167</v>
      </c>
      <c r="R1606">
        <f t="shared" si="100"/>
        <v>1.6040000000000001</v>
      </c>
      <c r="S1606">
        <f t="shared" si="101"/>
        <v>-3.794424412926543</v>
      </c>
    </row>
    <row r="1607" spans="1:19" x14ac:dyDescent="0.3">
      <c r="A1607">
        <v>1.605</v>
      </c>
      <c r="B1607">
        <f>Uo*COS(2*PI()*Wn*Sheet2!A1607) + (Vo/Wn - (Po*(w/Wn))/(K*(1-(w/Wn)^2)))*SIN(2*PI()*Wn*Sheet2!A1607) +(Po*SIN(2*PI()*w*Sheet2!A1607))/(K*(1-(w/Wn)^2))</f>
        <v>-14.832141285652977</v>
      </c>
      <c r="C1607">
        <f t="shared" si="102"/>
        <v>-3.7403826224022483</v>
      </c>
      <c r="D1607">
        <f t="shared" si="103"/>
        <v>-610.97221502151046</v>
      </c>
      <c r="R1607">
        <f t="shared" si="100"/>
        <v>1.605</v>
      </c>
      <c r="S1607">
        <f t="shared" si="101"/>
        <v>-3.7403826224022483</v>
      </c>
    </row>
    <row r="1608" spans="1:19" x14ac:dyDescent="0.3">
      <c r="A1608">
        <v>1.6060000000000001</v>
      </c>
      <c r="B1608">
        <f>Uo*COS(2*PI()*Wn*Sheet2!A1608) + (Vo/Wn - (Po*(w/Wn))/(K*(1-(w/Wn)^2)))*SIN(2*PI()*Wn*Sheet2!A1608) +(Po*SIN(2*PI()*w*Sheet2!A1608))/(K*(1-(w/Wn)^2))</f>
        <v>-14.587231035049717</v>
      </c>
      <c r="C1608">
        <f t="shared" si="102"/>
        <v>-3.6852176142566595</v>
      </c>
      <c r="D1608">
        <f t="shared" si="103"/>
        <v>-601.96129538550178</v>
      </c>
      <c r="R1608">
        <f t="shared" si="100"/>
        <v>1.6060000000000001</v>
      </c>
      <c r="S1608">
        <f t="shared" si="101"/>
        <v>-3.6852176142566595</v>
      </c>
    </row>
    <row r="1609" spans="1:19" x14ac:dyDescent="0.3">
      <c r="A1609">
        <v>1.607</v>
      </c>
      <c r="B1609">
        <f>Uo*COS(2*PI()*Wn*Sheet2!A1609) + (Vo/Wn - (Po*(w/Wn))/(K*(1-(w/Wn)^2)))*SIN(2*PI()*Wn*Sheet2!A1609) +(Po*SIN(2*PI()*w*Sheet2!A1609))/(K*(1-(w/Wn)^2))</f>
        <v>-14.337555416233345</v>
      </c>
      <c r="C1609">
        <f t="shared" si="102"/>
        <v>-3.6289494218945855</v>
      </c>
      <c r="D1609">
        <f t="shared" si="103"/>
        <v>-592.77017629602392</v>
      </c>
      <c r="R1609">
        <f t="shared" si="100"/>
        <v>1.607</v>
      </c>
      <c r="S1609">
        <f t="shared" si="101"/>
        <v>-3.6289494218945855</v>
      </c>
    </row>
    <row r="1610" spans="1:19" x14ac:dyDescent="0.3">
      <c r="A1610">
        <v>1.6080000000000001</v>
      </c>
      <c r="B1610">
        <f>Uo*COS(2*PI()*Wn*Sheet2!A1610) + (Vo/Wn - (Po*(w/Wn))/(K*(1-(w/Wn)^2)))*SIN(2*PI()*Wn*Sheet2!A1610) +(Po*SIN(2*PI()*w*Sheet2!A1610))/(K*(1-(w/Wn)^2))</f>
        <v>-14.083195993433101</v>
      </c>
      <c r="C1610">
        <f t="shared" si="102"/>
        <v>-3.5715984026075867</v>
      </c>
      <c r="D1610">
        <f t="shared" si="103"/>
        <v>-583.40218301168579</v>
      </c>
      <c r="R1610">
        <f t="shared" si="100"/>
        <v>1.6080000000000001</v>
      </c>
      <c r="S1610">
        <f t="shared" si="101"/>
        <v>-3.5715984026075867</v>
      </c>
    </row>
    <row r="1611" spans="1:19" x14ac:dyDescent="0.3">
      <c r="A1611">
        <v>1.609</v>
      </c>
      <c r="B1611">
        <f>Uo*COS(2*PI()*Wn*Sheet2!A1611) + (Vo/Wn - (Po*(w/Wn))/(K*(1-(w/Wn)^2)))*SIN(2*PI()*Wn*Sheet2!A1611) +(Po*SIN(2*PI()*w*Sheet2!A1611))/(K*(1-(w/Wn)^2))</f>
        <v>-13.824235860987276</v>
      </c>
      <c r="C1611">
        <f t="shared" si="102"/>
        <v>-3.5131852303448734</v>
      </c>
      <c r="D1611">
        <f t="shared" si="103"/>
        <v>-573.86069251549111</v>
      </c>
      <c r="R1611">
        <f t="shared" si="100"/>
        <v>1.609</v>
      </c>
      <c r="S1611">
        <f t="shared" si="101"/>
        <v>-3.5131852303448734</v>
      </c>
    </row>
    <row r="1612" spans="1:19" x14ac:dyDescent="0.3">
      <c r="A1612">
        <v>1.61</v>
      </c>
      <c r="B1612">
        <f>Uo*COS(2*PI()*Wn*Sheet2!A1612) + (Vo/Wn - (Po*(w/Wn))/(K*(1-(w/Wn)^2)))*SIN(2*PI()*Wn*Sheet2!A1612) +(Po*SIN(2*PI()*w*Sheet2!A1612))/(K*(1-(w/Wn)^2))</f>
        <v>-13.560759616197283</v>
      </c>
      <c r="C1612">
        <f t="shared" si="102"/>
        <v>-3.453730888393661</v>
      </c>
      <c r="D1612">
        <f t="shared" si="103"/>
        <v>-564.14913231921128</v>
      </c>
      <c r="R1612">
        <f t="shared" si="100"/>
        <v>1.61</v>
      </c>
      <c r="S1612">
        <f t="shared" si="101"/>
        <v>-3.453730888393661</v>
      </c>
    </row>
    <row r="1613" spans="1:19" x14ac:dyDescent="0.3">
      <c r="A1613">
        <v>1.611</v>
      </c>
      <c r="B1613">
        <f>Uo*COS(2*PI()*Wn*Sheet2!A1613) + (Vo/Wn - (Po*(w/Wn))/(K*(1-(w/Wn)^2)))*SIN(2*PI()*Wn*Sheet2!A1613) +(Po*SIN(2*PI()*w*Sheet2!A1613))/(K*(1-(w/Wn)^2))</f>
        <v>-13.292853331692054</v>
      </c>
      <c r="C1613">
        <f t="shared" si="102"/>
        <v>-3.3932566619720728</v>
      </c>
      <c r="D1613">
        <f t="shared" si="103"/>
        <v>-554.27097925347482</v>
      </c>
      <c r="R1613">
        <f t="shared" si="100"/>
        <v>1.611</v>
      </c>
      <c r="S1613">
        <f t="shared" si="101"/>
        <v>-3.3932566619720728</v>
      </c>
    </row>
    <row r="1614" spans="1:19" x14ac:dyDescent="0.3">
      <c r="A1614">
        <v>1.6120000000000001</v>
      </c>
      <c r="B1614">
        <f>Uo*COS(2*PI()*Wn*Sheet2!A1614) + (Vo/Wn - (Po*(w/Wn))/(K*(1-(w/Wn)^2)))*SIN(2*PI()*Wn*Sheet2!A1614) +(Po*SIN(2*PI()*w*Sheet2!A1614))/(K*(1-(w/Wn)^2))</f>
        <v>-13.020604527309166</v>
      </c>
      <c r="C1614">
        <f t="shared" si="102"/>
        <v>-3.3317841307365756</v>
      </c>
      <c r="D1614">
        <f t="shared" si="103"/>
        <v>-544.2297582438955</v>
      </c>
      <c r="R1614">
        <f t="shared" si="100"/>
        <v>1.6120000000000001</v>
      </c>
      <c r="S1614">
        <f t="shared" si="101"/>
        <v>-3.3317841307365756</v>
      </c>
    </row>
    <row r="1615" spans="1:19" x14ac:dyDescent="0.3">
      <c r="A1615">
        <v>1.613</v>
      </c>
      <c r="B1615">
        <f>Uo*COS(2*PI()*Wn*Sheet2!A1615) + (Vo/Wn - (Po*(w/Wn))/(K*(1-(w/Wn)^2)))*SIN(2*PI()*Wn*Sheet2!A1615) +(Po*SIN(2*PI()*w*Sheet2!A1615))/(K*(1-(w/Wn)^2))</f>
        <v>-12.744102141504285</v>
      </c>
      <c r="C1615">
        <f t="shared" si="102"/>
        <v>-3.2693351612071022</v>
      </c>
      <c r="D1615">
        <f t="shared" si="103"/>
        <v>-534.02904107375514</v>
      </c>
      <c r="R1615">
        <f t="shared" si="100"/>
        <v>1.613</v>
      </c>
      <c r="S1615">
        <f t="shared" si="101"/>
        <v>-3.2693351612071022</v>
      </c>
    </row>
    <row r="1616" spans="1:19" x14ac:dyDescent="0.3">
      <c r="A1616">
        <v>1.6140000000000001</v>
      </c>
      <c r="B1616">
        <f>Uo*COS(2*PI()*Wn*Sheet2!A1616) + (Vo/Wn - (Po*(w/Wn))/(K*(1-(w/Wn)^2)))*SIN(2*PI()*Wn*Sheet2!A1616) +(Po*SIN(2*PI()*w*Sheet2!A1616))/(K*(1-(w/Wn)^2))</f>
        <v>-12.463436502296068</v>
      </c>
      <c r="C1616">
        <f t="shared" si="102"/>
        <v>-3.2059318991119654</v>
      </c>
      <c r="D1616">
        <f t="shared" si="103"/>
        <v>-523.67244513358469</v>
      </c>
      <c r="R1616">
        <f t="shared" si="100"/>
        <v>1.6140000000000001</v>
      </c>
      <c r="S1616">
        <f t="shared" si="101"/>
        <v>-3.2059318991119654</v>
      </c>
    </row>
    <row r="1617" spans="1:19" x14ac:dyDescent="0.3">
      <c r="A1617">
        <v>1.615</v>
      </c>
      <c r="B1617">
        <f>Uo*COS(2*PI()*Wn*Sheet2!A1617) + (Vo/Wn - (Po*(w/Wn))/(K*(1-(w/Wn)^2)))*SIN(2*PI()*Wn*Sheet2!A1617) +(Po*SIN(2*PI()*w*Sheet2!A1617))/(K*(1-(w/Wn)^2))</f>
        <v>-12.17869929775847</v>
      </c>
      <c r="C1617">
        <f t="shared" si="102"/>
        <v>-3.1415967616557712</v>
      </c>
      <c r="D1617">
        <f t="shared" si="103"/>
        <v>-513.16363215816796</v>
      </c>
      <c r="R1617">
        <f t="shared" si="100"/>
        <v>1.615</v>
      </c>
      <c r="S1617">
        <f t="shared" si="101"/>
        <v>-3.1415967616557712</v>
      </c>
    </row>
    <row r="1618" spans="1:19" x14ac:dyDescent="0.3">
      <c r="A1618">
        <v>1.6160000000000001</v>
      </c>
      <c r="B1618">
        <f>Uo*COS(2*PI()*Wn*Sheet2!A1618) + (Vo/Wn - (Po*(w/Wn))/(K*(1-(w/Wn)^2)))*SIN(2*PI()*Wn*Sheet2!A1618) +(Po*SIN(2*PI()*w*Sheet2!A1618))/(K*(1-(w/Wn)^2))</f>
        <v>-11.889983546067374</v>
      </c>
      <c r="C1618">
        <f t="shared" si="102"/>
        <v>-3.0763524297123821</v>
      </c>
      <c r="D1618">
        <f t="shared" si="103"/>
        <v>-502.50630695130189</v>
      </c>
      <c r="R1618">
        <f t="shared" si="100"/>
        <v>1.6160000000000001</v>
      </c>
      <c r="S1618">
        <f t="shared" si="101"/>
        <v>-3.0763524297123821</v>
      </c>
    </row>
    <row r="1619" spans="1:19" x14ac:dyDescent="0.3">
      <c r="A1619">
        <v>1.617</v>
      </c>
      <c r="B1619">
        <f>Uo*COS(2*PI()*Wn*Sheet2!A1619) + (Vo/Wn - (Po*(w/Wn))/(K*(1-(w/Wn)^2)))*SIN(2*PI()*Wn*Sheet2!A1619) +(Po*SIN(2*PI()*w*Sheet2!A1619))/(K*(1-(w/Wn)^2))</f>
        <v>-11.597383565113876</v>
      </c>
      <c r="C1619">
        <f t="shared" si="102"/>
        <v>-3.0102218399461833</v>
      </c>
      <c r="D1619">
        <f t="shared" si="103"/>
        <v>-491.70421609884681</v>
      </c>
      <c r="R1619">
        <f t="shared" si="100"/>
        <v>1.617</v>
      </c>
      <c r="S1619">
        <f t="shared" si="101"/>
        <v>-3.0102218399461833</v>
      </c>
    </row>
    <row r="1620" spans="1:19" x14ac:dyDescent="0.3">
      <c r="A1620">
        <v>1.6180000000000001</v>
      </c>
      <c r="B1620">
        <f>Uo*COS(2*PI()*Wn*Sheet2!A1620) + (Vo/Wn - (Po*(w/Wn))/(K*(1-(w/Wn)^2)))*SIN(2*PI()*Wn*Sheet2!A1620) +(Po*SIN(2*PI()*w*Sheet2!A1620))/(K*(1-(w/Wn)^2))</f>
        <v>-11.30099494169178</v>
      </c>
      <c r="C1620">
        <f t="shared" si="102"/>
        <v>-2.9432281768638258</v>
      </c>
      <c r="D1620">
        <f t="shared" si="103"/>
        <v>-480.76114667041895</v>
      </c>
      <c r="R1620">
        <f t="shared" si="100"/>
        <v>1.6180000000000001</v>
      </c>
      <c r="S1620">
        <f t="shared" si="101"/>
        <v>-2.9432281768638258</v>
      </c>
    </row>
    <row r="1621" spans="1:19" x14ac:dyDescent="0.3">
      <c r="A1621">
        <v>1.619</v>
      </c>
      <c r="B1621">
        <f>Uo*COS(2*PI()*Wn*Sheet2!A1621) + (Vo/Wn - (Po*(w/Wn))/(K*(1-(w/Wn)^2)))*SIN(2*PI()*Wn*Sheet2!A1621) +(Po*SIN(2*PI()*w*Sheet2!A1621))/(K*(1-(w/Wn)^2))</f>
        <v>-11.000914500272017</v>
      </c>
      <c r="C1621">
        <f t="shared" si="102"/>
        <v>-2.8753948647997447</v>
      </c>
      <c r="D1621">
        <f t="shared" si="103"/>
        <v>-469.68092491026664</v>
      </c>
      <c r="R1621">
        <f t="shared" si="100"/>
        <v>1.619</v>
      </c>
      <c r="S1621">
        <f t="shared" si="101"/>
        <v>-2.8753948647997447</v>
      </c>
    </row>
    <row r="1622" spans="1:19" x14ac:dyDescent="0.3">
      <c r="A1622">
        <v>1.62</v>
      </c>
      <c r="B1622">
        <f>Uo*COS(2*PI()*Wn*Sheet2!A1622) + (Vo/Wn - (Po*(w/Wn))/(K*(1-(w/Wn)^2)))*SIN(2*PI()*Wn*Sheet2!A1622) +(Po*SIN(2*PI()*w*Sheet2!A1622))/(K*(1-(w/Wn)^2))</f>
        <v>-10.697240271371257</v>
      </c>
      <c r="C1622">
        <f t="shared" si="102"/>
        <v>-2.8067455598375508</v>
      </c>
      <c r="D1622">
        <f t="shared" si="103"/>
        <v>-458.46741491767102</v>
      </c>
      <c r="R1622">
        <f t="shared" si="100"/>
        <v>1.62</v>
      </c>
      <c r="S1622">
        <f t="shared" si="101"/>
        <v>-2.8067455598375508</v>
      </c>
    </row>
    <row r="1623" spans="1:19" x14ac:dyDescent="0.3">
      <c r="A1623">
        <v>1.621</v>
      </c>
      <c r="B1623">
        <f>Uo*COS(2*PI()*Wn*Sheet2!A1623) + (Vo/Wn - (Po*(w/Wn))/(K*(1-(w/Wn)^2)))*SIN(2*PI()*Wn*Sheet2!A1623) +(Po*SIN(2*PI()*w*Sheet2!A1623))/(K*(1-(w/Wn)^2))</f>
        <v>-10.390071459527825</v>
      </c>
      <c r="C1623">
        <f t="shared" si="102"/>
        <v>-2.7373041416706636</v>
      </c>
      <c r="D1623">
        <f t="shared" si="103"/>
        <v>-447.12451731742237</v>
      </c>
      <c r="R1623">
        <f t="shared" si="100"/>
        <v>1.621</v>
      </c>
      <c r="S1623">
        <f t="shared" si="101"/>
        <v>-2.7373041416706636</v>
      </c>
    </row>
    <row r="1624" spans="1:19" x14ac:dyDescent="0.3">
      <c r="A1624">
        <v>1.6220000000000001</v>
      </c>
      <c r="B1624">
        <f>Uo*COS(2*PI()*Wn*Sheet2!A1624) + (Vo/Wn - (Po*(w/Wn))/(K*(1-(w/Wn)^2)))*SIN(2*PI()*Wn*Sheet2!A1624) +(Po*SIN(2*PI()*w*Sheet2!A1624))/(K*(1-(w/Wn)^2))</f>
        <v>-10.079508410892743</v>
      </c>
      <c r="C1624">
        <f t="shared" si="102"/>
        <v>-2.6670947054043492</v>
      </c>
      <c r="D1624">
        <f t="shared" si="103"/>
        <v>-435.65616792072569</v>
      </c>
      <c r="R1624">
        <f t="shared" si="100"/>
        <v>1.6220000000000001</v>
      </c>
      <c r="S1624">
        <f t="shared" si="101"/>
        <v>-2.6670947054043492</v>
      </c>
    </row>
    <row r="1625" spans="1:19" x14ac:dyDescent="0.3">
      <c r="A1625">
        <v>1.623</v>
      </c>
      <c r="B1625">
        <f>Uo*COS(2*PI()*Wn*Sheet2!A1625) + (Vo/Wn - (Po*(w/Wn))/(K*(1-(w/Wn)^2)))*SIN(2*PI()*Wn*Sheet2!A1625) +(Po*SIN(2*PI()*w*Sheet2!A1625))/(K*(1-(w/Wn)^2))</f>
        <v>-9.7656525804494354</v>
      </c>
      <c r="C1625">
        <f t="shared" si="102"/>
        <v>-2.5961415533026195</v>
      </c>
      <c r="D1625">
        <f t="shared" si="103"/>
        <v>-424.06633637709865</v>
      </c>
      <c r="R1625">
        <f t="shared" si="100"/>
        <v>1.623</v>
      </c>
      <c r="S1625">
        <f t="shared" si="101"/>
        <v>-2.5961415533026195</v>
      </c>
    </row>
    <row r="1626" spans="1:19" x14ac:dyDescent="0.3">
      <c r="A1626">
        <v>1.6240000000000001</v>
      </c>
      <c r="B1626">
        <f>Uo*COS(2*PI()*Wn*Sheet2!A1626) + (Vo/Wn - (Po*(w/Wn))/(K*(1-(w/Wn)^2)))*SIN(2*PI()*Wn*Sheet2!A1626) +(Po*SIN(2*PI()*w*Sheet2!A1626))/(K*(1-(w/Wn)^2))</f>
        <v>-9.448606498869589</v>
      </c>
      <c r="C1626">
        <f t="shared" si="102"/>
        <v>-2.5244691864820643</v>
      </c>
      <c r="D1626">
        <f t="shared" si="103"/>
        <v>-412.3590248176024</v>
      </c>
      <c r="R1626">
        <f t="shared" si="100"/>
        <v>1.6240000000000001</v>
      </c>
      <c r="S1626">
        <f t="shared" si="101"/>
        <v>-2.5244691864820643</v>
      </c>
    </row>
    <row r="1627" spans="1:19" x14ac:dyDescent="0.3">
      <c r="A1627">
        <v>1.625</v>
      </c>
      <c r="B1627">
        <f>Uo*COS(2*PI()*Wn*Sheet2!A1627) + (Vo/Wn - (Po*(w/Wn))/(K*(1-(w/Wn)^2)))*SIN(2*PI()*Wn*Sheet2!A1627) +(Po*SIN(2*PI()*w*Sheet2!A1627))/(K*(1-(w/Wn)^2))</f>
        <v>-9.1284737390189132</v>
      </c>
      <c r="C1627">
        <f t="shared" si="102"/>
        <v>-2.4521022965560806</v>
      </c>
      <c r="D1627">
        <f t="shared" si="103"/>
        <v>-400.53826648996915</v>
      </c>
      <c r="R1627">
        <f t="shared" si="100"/>
        <v>1.625</v>
      </c>
      <c r="S1627">
        <f t="shared" si="101"/>
        <v>-2.4521022965560806</v>
      </c>
    </row>
    <row r="1628" spans="1:19" x14ac:dyDescent="0.3">
      <c r="A1628">
        <v>1.6259999999999999</v>
      </c>
      <c r="B1628">
        <f>Uo*COS(2*PI()*Wn*Sheet2!A1628) + (Vo/Wn - (Po*(w/Wn))/(K*(1-(w/Wn)^2)))*SIN(2*PI()*Wn*Sheet2!A1628) +(Po*SIN(2*PI()*w*Sheet2!A1628))/(K*(1-(w/Wn)^2))</f>
        <v>-8.8053588821215065</v>
      </c>
      <c r="C1628">
        <f t="shared" si="102"/>
        <v>-2.3790657572317282</v>
      </c>
      <c r="D1628">
        <f t="shared" si="103"/>
        <v>-388.60812438599208</v>
      </c>
      <c r="R1628">
        <f t="shared" si="100"/>
        <v>1.6259999999999999</v>
      </c>
      <c r="S1628">
        <f t="shared" si="101"/>
        <v>-2.3790657572317282</v>
      </c>
    </row>
    <row r="1629" spans="1:19" x14ac:dyDescent="0.3">
      <c r="A1629">
        <v>1.627</v>
      </c>
      <c r="B1629">
        <f>Uo*COS(2*PI()*Wn*Sheet2!A1629) + (Vo/Wn - (Po*(w/Wn))/(K*(1-(w/Wn)^2)))*SIN(2*PI()*Wn*Sheet2!A1629) +(Po*SIN(2*PI()*w*Sheet2!A1629))/(K*(1-(w/Wn)^2))</f>
        <v>-8.4793674835950981</v>
      </c>
      <c r="C1629">
        <f t="shared" si="102"/>
        <v>-2.3053846158625939</v>
      </c>
      <c r="D1629">
        <f t="shared" si="103"/>
        <v>-376.57268986172915</v>
      </c>
      <c r="R1629">
        <f t="shared" si="100"/>
        <v>1.627</v>
      </c>
      <c r="S1629">
        <f t="shared" si="101"/>
        <v>-2.3053846158625939</v>
      </c>
    </row>
    <row r="1630" spans="1:19" x14ac:dyDescent="0.3">
      <c r="A1630">
        <v>1.6279999999999999</v>
      </c>
      <c r="B1630">
        <f>Uo*COS(2*PI()*Wn*Sheet2!A1630) + (Vo/Wn - (Po*(w/Wn))/(K*(1-(w/Wn)^2)))*SIN(2*PI()*Wn*Sheet2!A1630) +(Po*SIN(2*PI()*w*Sheet2!A1630))/(K*(1-(w/Wn)^2))</f>
        <v>-8.1506060385687089</v>
      </c>
      <c r="C1630">
        <f t="shared" si="102"/>
        <v>-2.2310840849601177</v>
      </c>
      <c r="D1630">
        <f t="shared" si="103"/>
        <v>-364.43608125092214</v>
      </c>
      <c r="R1630">
        <f t="shared" si="100"/>
        <v>1.6279999999999999</v>
      </c>
      <c r="S1630">
        <f t="shared" si="101"/>
        <v>-2.2310840849601177</v>
      </c>
    </row>
    <row r="1631" spans="1:19" x14ac:dyDescent="0.3">
      <c r="A1631">
        <v>1.629</v>
      </c>
      <c r="B1631">
        <f>Uo*COS(2*PI()*Wn*Sheet2!A1631) + (Vo/Wn - (Po*(w/Wn))/(K*(1-(w/Wn)^2)))*SIN(2*PI()*Wn*Sheet2!A1631) +(Po*SIN(2*PI()*w*Sheet2!A1631))/(K*(1-(w/Wn)^2))</f>
        <v>-7.819181947092023</v>
      </c>
      <c r="C1631">
        <f t="shared" si="102"/>
        <v>-2.1561895336662458</v>
      </c>
      <c r="D1631">
        <f t="shared" si="103"/>
        <v>-352.20244247209826</v>
      </c>
      <c r="R1631">
        <f t="shared" si="100"/>
        <v>1.629</v>
      </c>
      <c r="S1631">
        <f t="shared" si="101"/>
        <v>-2.1561895336662458</v>
      </c>
    </row>
    <row r="1632" spans="1:19" x14ac:dyDescent="0.3">
      <c r="A1632">
        <v>1.63</v>
      </c>
      <c r="B1632">
        <f>Uo*COS(2*PI()*Wn*Sheet2!A1632) + (Vo/Wn - (Po*(w/Wn))/(K*(1-(w/Wn)^2)))*SIN(2*PI()*Wn*Sheet2!A1632) +(Po*SIN(2*PI()*w*Sheet2!A1632))/(K*(1-(w/Wn)^2))</f>
        <v>-7.4852034790505115</v>
      </c>
      <c r="C1632">
        <f t="shared" si="102"/>
        <v>-2.0807264791905915</v>
      </c>
      <c r="D1632">
        <f t="shared" si="103"/>
        <v>-339.87594162987477</v>
      </c>
      <c r="R1632">
        <f t="shared" si="100"/>
        <v>1.63</v>
      </c>
      <c r="S1632">
        <f t="shared" si="101"/>
        <v>-2.0807264791905915</v>
      </c>
    </row>
    <row r="1633" spans="1:19" x14ac:dyDescent="0.3">
      <c r="A1633">
        <v>1.631</v>
      </c>
      <c r="B1633">
        <f>Uo*COS(2*PI()*Wn*Sheet2!A1633) + (Vo/Wn - (Po*(w/Wn))/(K*(1-(w/Wn)^2)))*SIN(2*PI()*Wn*Sheet2!A1633) +(Po*SIN(2*PI()*w*Sheet2!A1633))/(K*(1-(w/Wn)^2))</f>
        <v>-7.1487797387949445</v>
      </c>
      <c r="C1633">
        <f t="shared" si="102"/>
        <v>-2.0047205782144255</v>
      </c>
      <c r="D1633">
        <f t="shared" si="103"/>
        <v>-327.46076961084498</v>
      </c>
      <c r="R1633">
        <f t="shared" si="100"/>
        <v>1.631</v>
      </c>
      <c r="S1633">
        <f t="shared" si="101"/>
        <v>-2.0047205782144255</v>
      </c>
    </row>
    <row r="1634" spans="1:19" x14ac:dyDescent="0.3">
      <c r="A1634">
        <v>1.6319999999999999</v>
      </c>
      <c r="B1634">
        <f>Uo*COS(2*PI()*Wn*Sheet2!A1634) + (Vo/Wn - (Po*(w/Wn))/(K*(1-(w/Wn)^2)))*SIN(2*PI()*Wn*Sheet2!A1634) +(Po*SIN(2*PI()*w*Sheet2!A1634))/(K*(1-(w/Wn)^2))</f>
        <v>-6.8100206295000252</v>
      </c>
      <c r="C1634">
        <f t="shared" si="102"/>
        <v>-1.9281976182650387</v>
      </c>
      <c r="D1634">
        <f t="shared" si="103"/>
        <v>-314.96113867462486</v>
      </c>
      <c r="R1634">
        <f t="shared" si="100"/>
        <v>1.6319999999999999</v>
      </c>
      <c r="S1634">
        <f t="shared" si="101"/>
        <v>-1.9281976182650387</v>
      </c>
    </row>
    <row r="1635" spans="1:19" x14ac:dyDescent="0.3">
      <c r="A1635">
        <v>1.633</v>
      </c>
      <c r="B1635">
        <f>Uo*COS(2*PI()*Wn*Sheet2!A1635) + (Vo/Wn - (Po*(w/Wn))/(K*(1-(w/Wn)^2)))*SIN(2*PI()*Wn*Sheet2!A1635) +(Po*SIN(2*PI()*w*Sheet2!A1635))/(K*(1-(w/Wn)^2))</f>
        <v>-6.4690368172603332</v>
      </c>
      <c r="C1635">
        <f t="shared" si="102"/>
        <v>-1.8511835090626028</v>
      </c>
      <c r="D1635">
        <f t="shared" si="103"/>
        <v>-302.38128104040754</v>
      </c>
      <c r="R1635">
        <f t="shared" si="100"/>
        <v>1.633</v>
      </c>
      <c r="S1635">
        <f t="shared" si="101"/>
        <v>-1.8511835090626028</v>
      </c>
    </row>
    <row r="1636" spans="1:19" x14ac:dyDescent="0.3">
      <c r="A1636">
        <v>1.6339999999999999</v>
      </c>
      <c r="B1636">
        <f>Uo*COS(2*PI()*Wn*Sheet2!A1636) + (Vo/Wn - (Po*(w/Wn))/(K*(1-(w/Wn)^2)))*SIN(2*PI()*Wn*Sheet2!A1636) +(Po*SIN(2*PI()*w*Sheet2!A1636))/(K*(1-(w/Wn)^2))</f>
        <v>-6.1259396949385101</v>
      </c>
      <c r="C1636">
        <f t="shared" si="102"/>
        <v>-1.773704273843099</v>
      </c>
      <c r="D1636">
        <f t="shared" si="103"/>
        <v>-289.72544746960824</v>
      </c>
      <c r="R1636">
        <f t="shared" si="100"/>
        <v>1.6339999999999999</v>
      </c>
      <c r="S1636">
        <f t="shared" si="101"/>
        <v>-1.773704273843099</v>
      </c>
    </row>
    <row r="1637" spans="1:19" x14ac:dyDescent="0.3">
      <c r="A1637">
        <v>1.635</v>
      </c>
      <c r="B1637">
        <f>Uo*COS(2*PI()*Wn*Sheet2!A1637) + (Vo/Wn - (Po*(w/Wn))/(K*(1-(w/Wn)^2)))*SIN(2*PI()*Wn*Sheet2!A1637) +(Po*SIN(2*PI()*w*Sheet2!A1637))/(K*(1-(w/Wn)^2))</f>
        <v>-5.7808413457745385</v>
      </c>
      <c r="C1637">
        <f t="shared" si="102"/>
        <v>-1.6957860406595318</v>
      </c>
      <c r="D1637">
        <f t="shared" si="103"/>
        <v>-276.99790584496236</v>
      </c>
      <c r="R1637">
        <f t="shared" si="100"/>
        <v>1.635</v>
      </c>
      <c r="S1637">
        <f t="shared" si="101"/>
        <v>-1.6957860406595318</v>
      </c>
    </row>
    <row r="1638" spans="1:19" x14ac:dyDescent="0.3">
      <c r="A1638">
        <v>1.6359999999999999</v>
      </c>
      <c r="B1638">
        <f>Uo*COS(2*PI()*Wn*Sheet2!A1638) + (Vo/Wn - (Po*(w/Wn))/(K*(1-(w/Wn)^2)))*SIN(2*PI()*Wn*Sheet2!A1638) +(Po*SIN(2*PI()*w*Sheet2!A1638))/(K*(1-(w/Wn)^2))</f>
        <v>-5.4338545067712509</v>
      </c>
      <c r="C1638">
        <f t="shared" si="102"/>
        <v>-1.6174550336650368</v>
      </c>
      <c r="D1638">
        <f t="shared" si="103"/>
        <v>-264.2029397466664</v>
      </c>
      <c r="R1638">
        <f t="shared" si="100"/>
        <v>1.6359999999999999</v>
      </c>
      <c r="S1638">
        <f t="shared" si="101"/>
        <v>-1.6174550336650368</v>
      </c>
    </row>
    <row r="1639" spans="1:19" x14ac:dyDescent="0.3">
      <c r="A1639">
        <v>1.637</v>
      </c>
      <c r="B1639">
        <f>Uo*COS(2*PI()*Wn*Sheet2!A1639) + (Vo/Wn - (Po*(w/Wn))/(K*(1-(w/Wn)^2)))*SIN(2*PI()*Wn*Sheet2!A1639) +(Po*SIN(2*PI()*w*Sheet2!A1639))/(K*(1-(w/Wn)^2))</f>
        <v>-5.0850925318644959</v>
      </c>
      <c r="C1639">
        <f t="shared" si="102"/>
        <v>-1.5387375643799694</v>
      </c>
      <c r="D1639">
        <f t="shared" si="103"/>
        <v>-251.34484702590166</v>
      </c>
      <c r="R1639">
        <f t="shared" si="100"/>
        <v>1.637</v>
      </c>
      <c r="S1639">
        <f t="shared" si="101"/>
        <v>-1.5387375643799694</v>
      </c>
    </row>
    <row r="1640" spans="1:19" x14ac:dyDescent="0.3">
      <c r="A1640">
        <v>1.6379999999999999</v>
      </c>
      <c r="B1640">
        <f>Uo*COS(2*PI()*Wn*Sheet2!A1640) + (Vo/Wn - (Po*(w/Wn))/(K*(1-(w/Wn)^2)))*SIN(2*PI()*Wn*Sheet2!A1640) +(Po*SIN(2*PI()*w*Sheet2!A1640))/(K*(1-(w/Wn)^2))</f>
        <v>-4.7346693548932715</v>
      </c>
      <c r="C1640">
        <f t="shared" si="102"/>
        <v>-1.4596600229465821</v>
      </c>
      <c r="D1640">
        <f t="shared" si="103"/>
        <v>-238.42793837633087</v>
      </c>
      <c r="R1640">
        <f t="shared" si="100"/>
        <v>1.6379999999999999</v>
      </c>
      <c r="S1640">
        <f t="shared" si="101"/>
        <v>-1.4596600229465821</v>
      </c>
    </row>
    <row r="1641" spans="1:19" x14ac:dyDescent="0.3">
      <c r="A1641">
        <v>1.639</v>
      </c>
      <c r="B1641">
        <f>Uo*COS(2*PI()*Wn*Sheet2!A1641) + (Vo/Wn - (Po*(w/Wn))/(K*(1-(w/Wn)^2)))*SIN(2*PI()*Wn*Sheet2!A1641) +(Po*SIN(2*PI()*w*Sheet2!A1641))/(K*(1-(w/Wn)^2))</f>
        <v>-4.3826994523789056</v>
      </c>
      <c r="C1641">
        <f t="shared" si="102"/>
        <v>-1.3802488693734964</v>
      </c>
      <c r="D1641">
        <f t="shared" si="103"/>
        <v>-225.45653590392794</v>
      </c>
      <c r="R1641">
        <f t="shared" si="100"/>
        <v>1.639</v>
      </c>
      <c r="S1641">
        <f t="shared" si="101"/>
        <v>-1.3802488693734964</v>
      </c>
    </row>
    <row r="1642" spans="1:19" x14ac:dyDescent="0.3">
      <c r="A1642">
        <v>1.64</v>
      </c>
      <c r="B1642">
        <f>Uo*COS(2*PI()*Wn*Sheet2!A1642) + (Vo/Wn - (Po*(w/Wn))/(K*(1-(w/Wn)^2)))*SIN(2*PI()*Wn*Sheet2!A1642) +(Po*SIN(2*PI()*w*Sheet2!A1642))/(K*(1-(w/Wn)^2))</f>
        <v>-4.0292978061287332</v>
      </c>
      <c r="C1642">
        <f t="shared" si="102"/>
        <v>-1.3005306247735846</v>
      </c>
      <c r="D1642">
        <f t="shared" si="103"/>
        <v>-212.43497169573106</v>
      </c>
      <c r="R1642">
        <f t="shared" si="100"/>
        <v>1.64</v>
      </c>
      <c r="S1642">
        <f t="shared" si="101"/>
        <v>-1.3005306247735846</v>
      </c>
    </row>
    <row r="1643" spans="1:19" x14ac:dyDescent="0.3">
      <c r="A1643">
        <v>1.641</v>
      </c>
      <c r="B1643">
        <f>Uo*COS(2*PI()*Wn*Sheet2!A1643) + (Vo/Wn - (Po*(w/Wn))/(K*(1-(w/Wn)^2)))*SIN(2*PI()*Wn*Sheet2!A1643) +(Po*SIN(2*PI()*w*Sheet2!A1643))/(K*(1-(w/Wn)^2))</f>
        <v>-3.6745798656729272</v>
      </c>
      <c r="C1643">
        <f t="shared" si="102"/>
        <v>-1.2205318625973249</v>
      </c>
      <c r="D1643">
        <f t="shared" si="103"/>
        <v>-199.36758638785651</v>
      </c>
      <c r="R1643">
        <f t="shared" si="100"/>
        <v>1.641</v>
      </c>
      <c r="S1643">
        <f t="shared" si="101"/>
        <v>-1.2205318625973249</v>
      </c>
    </row>
    <row r="1644" spans="1:19" x14ac:dyDescent="0.3">
      <c r="A1644">
        <v>1.6419999999999999</v>
      </c>
      <c r="B1644">
        <f>Uo*COS(2*PI()*Wn*Sheet2!A1644) + (Vo/Wn - (Po*(w/Wn))/(K*(1-(w/Wn)^2)))*SIN(2*PI()*Wn*Sheet2!A1644) +(Po*SIN(2*PI()*w*Sheet2!A1644))/(K*(1-(w/Wn)^2))</f>
        <v>-3.3186615105500423</v>
      </c>
      <c r="C1644">
        <f t="shared" si="102"/>
        <v>-1.1402791998652511</v>
      </c>
      <c r="D1644">
        <f t="shared" si="103"/>
        <v>-186.25872773336445</v>
      </c>
      <c r="R1644">
        <f t="shared" si="100"/>
        <v>1.6419999999999999</v>
      </c>
      <c r="S1644">
        <f t="shared" si="101"/>
        <v>-1.1402791998652511</v>
      </c>
    </row>
    <row r="1645" spans="1:19" x14ac:dyDescent="0.3">
      <c r="A1645">
        <v>1.643</v>
      </c>
      <c r="B1645">
        <f>Uo*COS(2*PI()*Wn*Sheet2!A1645) + (Vo/Wn - (Po*(w/Wn))/(K*(1-(w/Wn)^2)))*SIN(2*PI()*Wn*Sheet2!A1645) +(Po*SIN(2*PI()*w*Sheet2!A1645))/(K*(1-(w/Wn)^2))</f>
        <v>-2.9616590124505597</v>
      </c>
      <c r="C1645">
        <f t="shared" si="102"/>
        <v>-1.0597992884016689</v>
      </c>
      <c r="D1645">
        <f t="shared" si="103"/>
        <v>-173.1127491703318</v>
      </c>
      <c r="R1645">
        <f t="shared" si="100"/>
        <v>1.643</v>
      </c>
      <c r="S1645">
        <f t="shared" si="101"/>
        <v>-1.0597992884016689</v>
      </c>
    </row>
    <row r="1646" spans="1:19" x14ac:dyDescent="0.3">
      <c r="A1646">
        <v>1.6439999999999999</v>
      </c>
      <c r="B1646">
        <f>Uo*COS(2*PI()*Wn*Sheet2!A1646) + (Vo/Wn - (Po*(w/Wn))/(K*(1-(w/Wn)^2)))*SIN(2*PI()*Wn*Sheet2!A1646) +(Po*SIN(2*PI()*w*Sheet2!A1646))/(K*(1-(w/Wn)^2))</f>
        <v>-2.603688997234141</v>
      </c>
      <c r="C1646">
        <f t="shared" si="102"/>
        <v>-0.97911880607324975</v>
      </c>
      <c r="D1646">
        <f t="shared" si="103"/>
        <v>-159.93400839072152</v>
      </c>
      <c r="R1646">
        <f t="shared" si="100"/>
        <v>1.6439999999999999</v>
      </c>
      <c r="S1646">
        <f t="shared" si="101"/>
        <v>-0.97911880607324975</v>
      </c>
    </row>
    <row r="1647" spans="1:19" x14ac:dyDescent="0.3">
      <c r="A1647">
        <v>1.645</v>
      </c>
      <c r="B1647">
        <f>Uo*COS(2*PI()*Wn*Sheet2!A1647) + (Vo/Wn - (Po*(w/Wn))/(K*(1-(w/Wn)^2)))*SIN(2*PI()*Wn*Sheet2!A1647) +(Po*SIN(2*PI()*w*Sheet2!A1647))/(K*(1-(w/Wn)^2))</f>
        <v>-2.244868406829355</v>
      </c>
      <c r="C1647">
        <f t="shared" si="102"/>
        <v>-0.89826444803454031</v>
      </c>
      <c r="D1647">
        <f t="shared" si="103"/>
        <v>-146.72686591038197</v>
      </c>
      <c r="R1647">
        <f t="shared" si="100"/>
        <v>1.645</v>
      </c>
      <c r="S1647">
        <f t="shared" si="101"/>
        <v>-0.89826444803454031</v>
      </c>
    </row>
    <row r="1648" spans="1:19" x14ac:dyDescent="0.3">
      <c r="A1648">
        <v>1.6459999999999999</v>
      </c>
      <c r="B1648">
        <f>Uo*COS(2*PI()*Wn*Sheet2!A1648) + (Vo/Wn - (Po*(w/Wn))/(K*(1-(w/Wn)^2)))*SIN(2*PI()*Wn*Sheet2!A1648) +(Po*SIN(2*PI()*w*Sheet2!A1648))/(K*(1-(w/Wn)^2))</f>
        <v>-1.885314461031701</v>
      </c>
      <c r="C1648">
        <f t="shared" si="102"/>
        <v>-0.81726291798398221</v>
      </c>
      <c r="D1648">
        <f t="shared" si="103"/>
        <v>-133.49568364076262</v>
      </c>
      <c r="R1648">
        <f t="shared" si="100"/>
        <v>1.6459999999999999</v>
      </c>
      <c r="S1648">
        <f t="shared" si="101"/>
        <v>-0.81726291798398221</v>
      </c>
    </row>
    <row r="1649" spans="1:19" x14ac:dyDescent="0.3">
      <c r="A1649">
        <v>1.647</v>
      </c>
      <c r="B1649">
        <f>Uo*COS(2*PI()*Wn*Sheet2!A1649) + (Vo/Wn - (Po*(w/Wn))/(K*(1-(w/Wn)^2)))*SIN(2*PI()*Wn*Sheet2!A1649) +(Po*SIN(2*PI()*w*Sheet2!A1649))/(K*(1-(w/Wn)^2))</f>
        <v>-1.5251446192093057</v>
      </c>
      <c r="C1649">
        <f t="shared" si="102"/>
        <v>-0.73614091943258764</v>
      </c>
      <c r="D1649">
        <f t="shared" si="103"/>
        <v>-120.24482346269737</v>
      </c>
      <c r="R1649">
        <f t="shared" si="100"/>
        <v>1.647</v>
      </c>
      <c r="S1649">
        <f t="shared" si="101"/>
        <v>-0.73614091943258764</v>
      </c>
    </row>
    <row r="1650" spans="1:19" x14ac:dyDescent="0.3">
      <c r="A1650">
        <v>1.6479999999999999</v>
      </c>
      <c r="B1650">
        <f>Uo*COS(2*PI()*Wn*Sheet2!A1650) + (Vo/Wn - (Po*(w/Wn))/(K*(1-(w/Wn)^2)))*SIN(2*PI()*Wn*Sheet2!A1650) +(Po*SIN(2*PI()*w*Sheet2!A1650))/(K*(1-(w/Wn)^2))</f>
        <v>-1.1644765419321932</v>
      </c>
      <c r="C1650">
        <f t="shared" si="102"/>
        <v>-0.65492514698885462</v>
      </c>
      <c r="D1650">
        <f t="shared" si="103"/>
        <v>-106.97864580284023</v>
      </c>
      <c r="R1650">
        <f t="shared" si="100"/>
        <v>1.6479999999999999</v>
      </c>
      <c r="S1650">
        <f t="shared" si="101"/>
        <v>-0.65492514698885462</v>
      </c>
    </row>
    <row r="1651" spans="1:19" x14ac:dyDescent="0.3">
      <c r="A1651">
        <v>1.649</v>
      </c>
      <c r="B1651">
        <f>Uo*COS(2*PI()*Wn*Sheet2!A1651) + (Vo/Wn - (Po*(w/Wn))/(K*(1-(w/Wn)^2)))*SIN(2*PI()*Wn*Sheet2!A1651) +(Po*SIN(2*PI()*w*Sheet2!A1651))/(K*(1-(w/Wn)^2))</f>
        <v>-0.80342805253398708</v>
      </c>
      <c r="C1651">
        <f t="shared" si="102"/>
        <v>-0.57364227766191256</v>
      </c>
      <c r="D1651">
        <f t="shared" si="103"/>
        <v>-93.701508213079222</v>
      </c>
      <c r="R1651">
        <f t="shared" si="100"/>
        <v>1.649</v>
      </c>
      <c r="S1651">
        <f t="shared" si="101"/>
        <v>-0.57364227766191256</v>
      </c>
    </row>
    <row r="1652" spans="1:19" x14ac:dyDescent="0.3">
      <c r="A1652">
        <v>1.65</v>
      </c>
      <c r="B1652">
        <f>Uo*COS(2*PI()*Wn*Sheet2!A1652) + (Vo/Wn - (Po*(w/Wn))/(K*(1-(w/Wn)^2)))*SIN(2*PI()*Wn*Sheet2!A1652) +(Po*SIN(2*PI()*w*Sheet2!A1652))/(K*(1-(w/Wn)^2))</f>
        <v>-0.44211709862192833</v>
      </c>
      <c r="C1652">
        <f t="shared" si="102"/>
        <v>-0.49231896218645255</v>
      </c>
      <c r="D1652">
        <f t="shared" si="103"/>
        <v>-80.417763953508242</v>
      </c>
      <c r="R1652">
        <f t="shared" si="100"/>
        <v>1.65</v>
      </c>
      <c r="S1652">
        <f t="shared" si="101"/>
        <v>-0.49231896218645255</v>
      </c>
    </row>
    <row r="1653" spans="1:19" x14ac:dyDescent="0.3">
      <c r="A1653">
        <v>1.651</v>
      </c>
      <c r="B1653">
        <f>Uo*COS(2*PI()*Wn*Sheet2!A1653) + (Vo/Wn - (Po*(w/Wn))/(K*(1-(w/Wn)^2)))*SIN(2*PI()*Wn*Sheet2!A1653) +(Po*SIN(2*PI()*w*Sheet2!A1653))/(K*(1-(w/Wn)^2))</f>
        <v>-8.0661713545160926E-2</v>
      </c>
      <c r="C1653">
        <f t="shared" si="102"/>
        <v>-0.41098181637164222</v>
      </c>
      <c r="D1653">
        <f t="shared" si="103"/>
        <v>-67.131760579317088</v>
      </c>
      <c r="R1653">
        <f t="shared" si="100"/>
        <v>1.651</v>
      </c>
      <c r="S1653">
        <f t="shared" si="101"/>
        <v>-0.41098181637164222</v>
      </c>
    </row>
    <row r="1654" spans="1:19" x14ac:dyDescent="0.3">
      <c r="A1654">
        <v>1.6519999999999999</v>
      </c>
      <c r="B1654">
        <f>Uo*COS(2*PI()*Wn*Sheet2!A1654) + (Vo/Wn - (Po*(w/Wn))/(K*(1-(w/Wn)^2)))*SIN(2*PI()*Wn*Sheet2!A1654) +(Po*SIN(2*PI()*w*Sheet2!A1654))/(K*(1-(w/Wn)^2))</f>
        <v>0.2808200221642127</v>
      </c>
      <c r="C1654">
        <f t="shared" si="102"/>
        <v>-0.32965741247723829</v>
      </c>
      <c r="D1654">
        <f t="shared" si="103"/>
        <v>-53.847838532123788</v>
      </c>
      <c r="R1654">
        <f t="shared" si="100"/>
        <v>1.6519999999999999</v>
      </c>
      <c r="S1654">
        <f t="shared" si="101"/>
        <v>-0.32965741247723829</v>
      </c>
    </row>
    <row r="1655" spans="1:19" x14ac:dyDescent="0.3">
      <c r="A1655">
        <v>1.653</v>
      </c>
      <c r="B1655">
        <f>Uo*COS(2*PI()*Wn*Sheet2!A1655) + (Vo/Wn - (Po*(w/Wn))/(K*(1-(w/Wn)^2)))*SIN(2*PI()*Wn*Sheet2!A1655) +(Po*SIN(2*PI()*w*Sheet2!A1655))/(K*(1-(w/Wn)^2))</f>
        <v>0.64221001936591549</v>
      </c>
      <c r="C1655">
        <f t="shared" si="102"/>
        <v>-0.24837227061939077</v>
      </c>
      <c r="D1655">
        <f t="shared" si="103"/>
        <v>-40.570329736157099</v>
      </c>
      <c r="R1655">
        <f t="shared" si="100"/>
        <v>1.653</v>
      </c>
      <c r="S1655">
        <f t="shared" si="101"/>
        <v>-0.24837227061939077</v>
      </c>
    </row>
    <row r="1656" spans="1:19" x14ac:dyDescent="0.3">
      <c r="A1656">
        <v>1.6539999999999999</v>
      </c>
      <c r="B1656">
        <f>Uo*COS(2*PI()*Wn*Sheet2!A1656) + (Vo/Wn - (Po*(w/Wn))/(K*(1-(w/Wn)^2)))*SIN(2*PI()*Wn*Sheet2!A1656) +(Po*SIN(2*PI()*w*Sheet2!A1656))/(K*(1-(w/Wn)^2))</f>
        <v>1.0033902188886663</v>
      </c>
      <c r="C1656">
        <f t="shared" si="102"/>
        <v>-0.16715285020908113</v>
      </c>
      <c r="D1656">
        <f t="shared" si="103"/>
        <v>-27.303556199769513</v>
      </c>
      <c r="R1656">
        <f t="shared" si="100"/>
        <v>1.6539999999999999</v>
      </c>
      <c r="S1656">
        <f t="shared" si="101"/>
        <v>-0.16715285020908113</v>
      </c>
    </row>
    <row r="1657" spans="1:19" x14ac:dyDescent="0.3">
      <c r="A1657">
        <v>1.655</v>
      </c>
      <c r="B1657">
        <f>Uo*COS(2*PI()*Wn*Sheet2!A1657) + (Vo/Wn - (Po*(w/Wn))/(K*(1-(w/Wn)^2)))*SIN(2*PI()*Wn*Sheet2!A1657) +(Po*SIN(2*PI()*w*Sheet2!A1657))/(K*(1-(w/Wn)^2))</f>
        <v>1.3642426300982686</v>
      </c>
      <c r="C1657">
        <f t="shared" si="102"/>
        <v>-8.6025541425674687E-2</v>
      </c>
      <c r="D1657">
        <f t="shared" si="103"/>
        <v>-14.051828622685983</v>
      </c>
      <c r="R1657">
        <f t="shared" si="100"/>
        <v>1.655</v>
      </c>
      <c r="S1657">
        <f t="shared" si="101"/>
        <v>-8.6025541425674687E-2</v>
      </c>
    </row>
    <row r="1658" spans="1:19" x14ac:dyDescent="0.3">
      <c r="A1658">
        <v>1.6559999999999999</v>
      </c>
      <c r="B1658">
        <f>Uo*COS(2*PI()*Wn*Sheet2!A1658) + (Vo/Wn - (Po*(w/Wn))/(K*(1-(w/Wn)^2)))*SIN(2*PI()*Wn*Sheet2!A1658) +(Po*SIN(2*PI()*w*Sheet2!A1658))/(K*(1-(w/Wn)^2))</f>
        <v>1.7246493694426015</v>
      </c>
      <c r="C1658">
        <f t="shared" si="102"/>
        <v>-5.0166567286265796E-3</v>
      </c>
      <c r="D1658">
        <f t="shared" si="103"/>
        <v>-0.81944500948489474</v>
      </c>
      <c r="R1658">
        <f t="shared" si="100"/>
        <v>1.6559999999999999</v>
      </c>
      <c r="S1658">
        <f t="shared" si="101"/>
        <v>-5.0166567286265796E-3</v>
      </c>
    </row>
    <row r="1659" spans="1:19" x14ac:dyDescent="0.3">
      <c r="A1659">
        <v>1.657</v>
      </c>
      <c r="B1659">
        <f>Uo*COS(2*PI()*Wn*Sheet2!A1659) + (Vo/Wn - (Po*(w/Wn))/(K*(1-(w/Wn)^2)))*SIN(2*PI()*Wn*Sheet2!A1659) +(Po*SIN(2*PI()*w*Sheet2!A1659))/(K*(1-(w/Wn)^2))</f>
        <v>2.084492698962054</v>
      </c>
      <c r="C1659">
        <f t="shared" si="102"/>
        <v>7.5847577590213391E-2</v>
      </c>
      <c r="D1659">
        <f t="shared" si="103"/>
        <v>12.389310710289408</v>
      </c>
      <c r="R1659">
        <f t="shared" si="100"/>
        <v>1.657</v>
      </c>
      <c r="S1659">
        <f t="shared" si="101"/>
        <v>7.5847577590213391E-2</v>
      </c>
    </row>
    <row r="1660" spans="1:19" x14ac:dyDescent="0.3">
      <c r="A1660">
        <v>1.6579999999999999</v>
      </c>
      <c r="B1660">
        <f>Uo*COS(2*PI()*Wn*Sheet2!A1660) + (Vo/Wn - (Po*(w/Wn))/(K*(1-(w/Wn)^2)))*SIN(2*PI()*Wn*Sheet2!A1660) +(Po*SIN(2*PI()*w*Sheet2!A1660))/(K*(1-(w/Wn)^2))</f>
        <v>2.443655064751971</v>
      </c>
      <c r="C1660">
        <f t="shared" si="102"/>
        <v>0.15654102981082157</v>
      </c>
      <c r="D1660">
        <f t="shared" si="103"/>
        <v>25.57017005491274</v>
      </c>
      <c r="R1660">
        <f t="shared" si="100"/>
        <v>1.6579999999999999</v>
      </c>
      <c r="S1660">
        <f t="shared" si="101"/>
        <v>0.15654102981082157</v>
      </c>
    </row>
    <row r="1661" spans="1:19" x14ac:dyDescent="0.3">
      <c r="A1661">
        <v>1.659</v>
      </c>
      <c r="B1661">
        <f>Uo*COS(2*PI()*Wn*Sheet2!A1661) + (Vo/Wn - (Po*(w/Wn))/(K*(1-(w/Wn)^2)))*SIN(2*PI()*Wn*Sheet2!A1661) +(Po*SIN(2*PI()*w*Sheet2!A1661))/(K*(1-(w/Wn)^2))</f>
        <v>2.8020191353656814</v>
      </c>
      <c r="C1661">
        <f t="shared" si="102"/>
        <v>0.23703767114333607</v>
      </c>
      <c r="D1661">
        <f t="shared" si="103"/>
        <v>38.718881355772112</v>
      </c>
      <c r="R1661">
        <f t="shared" si="100"/>
        <v>1.659</v>
      </c>
      <c r="S1661">
        <f t="shared" si="101"/>
        <v>0.23703767114333607</v>
      </c>
    </row>
    <row r="1662" spans="1:19" x14ac:dyDescent="0.3">
      <c r="A1662">
        <v>1.66</v>
      </c>
      <c r="B1662">
        <f>Uo*COS(2*PI()*Wn*Sheet2!A1662) + (Vo/Wn - (Po*(w/Wn))/(K*(1-(w/Wn)^2)))*SIN(2*PI()*Wn*Sheet2!A1662) +(Po*SIN(2*PI()*w*Sheet2!A1662))/(K*(1-(w/Wn)^2))</f>
        <v>3.1594678401441456</v>
      </c>
      <c r="C1662">
        <f t="shared" si="102"/>
        <v>0.31731158403754589</v>
      </c>
      <c r="D1662">
        <f t="shared" si="103"/>
        <v>51.831211114677927</v>
      </c>
      <c r="R1662">
        <f t="shared" si="100"/>
        <v>1.66</v>
      </c>
      <c r="S1662">
        <f t="shared" si="101"/>
        <v>0.31731158403754589</v>
      </c>
    </row>
    <row r="1663" spans="1:19" x14ac:dyDescent="0.3">
      <c r="A1663">
        <v>1.661</v>
      </c>
      <c r="B1663">
        <f>Uo*COS(2*PI()*Wn*Sheet2!A1663) + (Vo/Wn - (Po*(w/Wn))/(K*(1-(w/Wn)^2)))*SIN(2*PI()*Wn*Sheet2!A1663) +(Po*SIN(2*PI()*w*Sheet2!A1663))/(K*(1-(w/Wn)^2))</f>
        <v>3.5158844074608315</v>
      </c>
      <c r="C1663">
        <f t="shared" si="102"/>
        <v>0.39733697044116223</v>
      </c>
      <c r="D1663">
        <f t="shared" si="103"/>
        <v>64.902945352810008</v>
      </c>
      <c r="R1663">
        <f t="shared" si="100"/>
        <v>1.661</v>
      </c>
      <c r="S1663">
        <f t="shared" si="101"/>
        <v>0.39733697044116223</v>
      </c>
    </row>
    <row r="1664" spans="1:19" x14ac:dyDescent="0.3">
      <c r="A1664">
        <v>1.6619999999999999</v>
      </c>
      <c r="B1664">
        <f>Uo*COS(2*PI()*Wn*Sheet2!A1664) + (Vo/Wn - (Po*(w/Wn))/(K*(1-(w/Wn)^2)))*SIN(2*PI()*Wn*Sheet2!A1664) +(Po*SIN(2*PI()*w*Sheet2!A1664))/(K*(1-(w/Wn)^2))</f>
        <v>3.8711524028684812</v>
      </c>
      <c r="C1664">
        <f t="shared" si="102"/>
        <v>0.47708816000407905</v>
      </c>
      <c r="D1664">
        <f t="shared" si="103"/>
        <v>77.929890950841283</v>
      </c>
      <c r="R1664">
        <f t="shared" si="100"/>
        <v>1.6619999999999999</v>
      </c>
      <c r="S1664">
        <f t="shared" si="101"/>
        <v>0.47708816000407905</v>
      </c>
    </row>
    <row r="1665" spans="1:19" x14ac:dyDescent="0.3">
      <c r="A1665">
        <v>1.663</v>
      </c>
      <c r="B1665">
        <f>Uo*COS(2*PI()*Wn*Sheet2!A1665) + (Vo/Wn - (Po*(w/Wn))/(K*(1-(w/Wn)^2)))*SIN(2*PI()*Wn*Sheet2!A1665) +(Po*SIN(2*PI()*w*Sheet2!A1665))/(K*(1-(w/Wn)^2))</f>
        <v>4.225155767136501</v>
      </c>
      <c r="C1665">
        <f t="shared" si="102"/>
        <v>0.5565396182263127</v>
      </c>
      <c r="D1665">
        <f t="shared" si="103"/>
        <v>90.907876979861697</v>
      </c>
      <c r="R1665">
        <f t="shared" ref="R1665:R1728" si="104">A1665</f>
        <v>1.663</v>
      </c>
      <c r="S1665">
        <f t="shared" ref="S1665:S1728" si="105">C1665</f>
        <v>0.5565396182263127</v>
      </c>
    </row>
    <row r="1666" spans="1:19" x14ac:dyDescent="0.3">
      <c r="A1666">
        <v>1.6639999999999999</v>
      </c>
      <c r="B1666">
        <f>Uo*COS(2*PI()*Wn*Sheet2!A1666) + (Vo/Wn - (Po*(w/Wn))/(K*(1-(w/Wn)^2)))*SIN(2*PI()*Wn*Sheet2!A1666) +(Po*SIN(2*PI()*w*Sheet2!A1666))/(K*(1-(w/Wn)^2))</f>
        <v>4.577778854164654</v>
      </c>
      <c r="C1666">
        <f t="shared" ref="C1666:C1729" si="106">EXP(-zeta*Wn*A1666*2*PI())*($H$1*COS(wnD*2*PI()*A1666) + $H$2*SIN(wnD*2*PI()*A1666)) + $H$3*SIN(w*2*PI()*A1666) + $H$4*COS(w*2*PI()*A1666)</f>
        <v>0.63566595454663588</v>
      </c>
      <c r="D1666">
        <f t="shared" ref="D1666:D1729" si="107">K*C1666</f>
        <v>103.83275602261483</v>
      </c>
      <c r="R1666">
        <f t="shared" si="104"/>
        <v>1.6639999999999999</v>
      </c>
      <c r="S1666">
        <f t="shared" si="105"/>
        <v>0.63566595454663588</v>
      </c>
    </row>
    <row r="1667" spans="1:19" x14ac:dyDescent="0.3">
      <c r="A1667">
        <v>1.665</v>
      </c>
      <c r="B1667">
        <f>Uo*COS(2*PI()*Wn*Sheet2!A1667) + (Vo/Wn - (Po*(w/Wn))/(K*(1-(w/Wn)^2)))*SIN(2*PI()*Wn*Sheet2!A1667) +(Po*SIN(2*PI()*w*Sheet2!A1667))/(K*(1-(w/Wn)^2))</f>
        <v>4.92890646876325</v>
      </c>
      <c r="C1667">
        <f t="shared" si="106"/>
        <v>0.71444193036995407</v>
      </c>
      <c r="D1667">
        <f t="shared" si="107"/>
        <v>116.70040548472852</v>
      </c>
      <c r="R1667">
        <f t="shared" si="104"/>
        <v>1.665</v>
      </c>
      <c r="S1667">
        <f t="shared" si="105"/>
        <v>0.71444193036995407</v>
      </c>
    </row>
    <row r="1668" spans="1:19" x14ac:dyDescent="0.3">
      <c r="A1668">
        <v>1.6659999999999999</v>
      </c>
      <c r="B1668">
        <f>Uo*COS(2*PI()*Wn*Sheet2!A1668) + (Vo/Wn - (Po*(w/Wn))/(K*(1-(w/Wn)^2)))*SIN(2*PI()*Wn*Sheet2!A1668) +(Po*SIN(2*PI()*w*Sheet2!A1668))/(K*(1-(w/Wn)^2))</f>
        <v>5.2784239042842369</v>
      </c>
      <c r="C1668">
        <f t="shared" si="106"/>
        <v>0.79284246703018058</v>
      </c>
      <c r="D1668">
        <f t="shared" si="107"/>
        <v>129.50672889540937</v>
      </c>
      <c r="R1668">
        <f t="shared" si="104"/>
        <v>1.6659999999999999</v>
      </c>
      <c r="S1668">
        <f t="shared" si="105"/>
        <v>0.79284246703018058</v>
      </c>
    </row>
    <row r="1669" spans="1:19" x14ac:dyDescent="0.3">
      <c r="A1669">
        <v>1.667</v>
      </c>
      <c r="B1669">
        <f>Uo*COS(2*PI()*Wn*Sheet2!A1669) + (Vo/Wn - (Po*(w/Wn))/(K*(1-(w/Wn)^2)))*SIN(2*PI()*Wn*Sheet2!A1669) +(Po*SIN(2*PI()*w*Sheet2!A1669))/(K*(1-(w/Wn)^2))</f>
        <v>5.6262169800944895</v>
      </c>
      <c r="C1669">
        <f t="shared" si="106"/>
        <v>0.87084265368693936</v>
      </c>
      <c r="D1669">
        <f t="shared" si="107"/>
        <v>142.24765719732846</v>
      </c>
      <c r="R1669">
        <f t="shared" si="104"/>
        <v>1.667</v>
      </c>
      <c r="S1669">
        <f t="shared" si="105"/>
        <v>0.87084265368693936</v>
      </c>
    </row>
    <row r="1670" spans="1:19" x14ac:dyDescent="0.3">
      <c r="A1670">
        <v>1.6679999999999999</v>
      </c>
      <c r="B1670">
        <f>Uo*COS(2*PI()*Wn*Sheet2!A1670) + (Vo/Wn - (Po*(w/Wn))/(K*(1-(w/Wn)^2)))*SIN(2*PI()*Wn*Sheet2!A1670) +(Po*SIN(2*PI()*w*Sheet2!A1670))/(K*(1-(w/Wn)^2))</f>
        <v>5.9721720788757331</v>
      </c>
      <c r="C1670">
        <f t="shared" si="106"/>
        <v>0.94841775515288951</v>
      </c>
      <c r="D1670">
        <f t="shared" si="107"/>
        <v>154.9191500251745</v>
      </c>
      <c r="R1670">
        <f t="shared" si="104"/>
        <v>1.6679999999999999</v>
      </c>
      <c r="S1670">
        <f t="shared" si="105"/>
        <v>0.94841775515288951</v>
      </c>
    </row>
    <row r="1671" spans="1:19" x14ac:dyDescent="0.3">
      <c r="A1671">
        <v>1.669</v>
      </c>
      <c r="B1671">
        <f>Uo*COS(2*PI()*Wn*Sheet2!A1671) + (Vo/Wn - (Po*(w/Wn))/(K*(1-(w/Wn)^2)))*SIN(2*PI()*Wn*Sheet2!A1671) +(Po*SIN(2*PI()*w*Sheet2!A1671))/(K*(1-(w/Wn)^2))</f>
        <v>6.316176183741967</v>
      </c>
      <c r="C1671">
        <f t="shared" si="106"/>
        <v>1.0255432196499248</v>
      </c>
      <c r="D1671">
        <f t="shared" si="107"/>
        <v>167.51719697258889</v>
      </c>
      <c r="R1671">
        <f t="shared" si="104"/>
        <v>1.669</v>
      </c>
      <c r="S1671">
        <f t="shared" si="105"/>
        <v>1.0255432196499248</v>
      </c>
    </row>
    <row r="1672" spans="1:19" x14ac:dyDescent="0.3">
      <c r="A1672">
        <v>1.67</v>
      </c>
      <c r="B1672">
        <f>Uo*COS(2*PI()*Wn*Sheet2!A1672) + (Vo/Wn - (Po*(w/Wn))/(K*(1-(w/Wn)^2)))*SIN(2*PI()*Wn*Sheet2!A1672) +(Po*SIN(2*PI()*w*Sheet2!A1672))/(K*(1-(w/Wn)^2))</f>
        <v>6.6581169151589599</v>
      </c>
      <c r="C1672">
        <f t="shared" si="106"/>
        <v>1.1021946864911012</v>
      </c>
      <c r="D1672">
        <f t="shared" si="107"/>
        <v>180.03781884696915</v>
      </c>
      <c r="R1672">
        <f t="shared" si="104"/>
        <v>1.67</v>
      </c>
      <c r="S1672">
        <f t="shared" si="105"/>
        <v>1.1021946864911012</v>
      </c>
    </row>
    <row r="1673" spans="1:19" x14ac:dyDescent="0.3">
      <c r="A1673">
        <v>1.671</v>
      </c>
      <c r="B1673">
        <f>Uo*COS(2*PI()*Wn*Sheet2!A1673) + (Vo/Wn - (Po*(w/Wn))/(K*(1-(w/Wn)^2)))*SIN(2*PI()*Wn*Sheet2!A1673) +(Po*SIN(2*PI()*w*Sheet2!A1673))/(K*(1-(w/Wn)^2))</f>
        <v>6.9978825676572889</v>
      </c>
      <c r="C1673">
        <f t="shared" si="106"/>
        <v>1.1783479936867287</v>
      </c>
      <c r="D1673">
        <f t="shared" si="107"/>
        <v>192.47706891188469</v>
      </c>
      <c r="R1673">
        <f t="shared" si="104"/>
        <v>1.671</v>
      </c>
      <c r="S1673">
        <f t="shared" si="105"/>
        <v>1.1783479936867287</v>
      </c>
    </row>
    <row r="1674" spans="1:19" x14ac:dyDescent="0.3">
      <c r="A1674">
        <v>1.6719999999999999</v>
      </c>
      <c r="B1674">
        <f>Uo*COS(2*PI()*Wn*Sheet2!A1674) + (Vo/Wn - (Po*(w/Wn))/(K*(1-(w/Wn)^2)))*SIN(2*PI()*Wn*Sheet2!A1674) +(Po*SIN(2*PI()*w*Sheet2!A1674))/(K*(1-(w/Wn)^2))</f>
        <v>7.3353621463237069</v>
      </c>
      <c r="C1674">
        <f t="shared" si="106"/>
        <v>1.2539791854715339</v>
      </c>
      <c r="D1674">
        <f t="shared" si="107"/>
        <v>204.83103411659997</v>
      </c>
      <c r="R1674">
        <f t="shared" si="104"/>
        <v>1.6719999999999999</v>
      </c>
      <c r="S1674">
        <f t="shared" si="105"/>
        <v>1.2539791854715339</v>
      </c>
    </row>
    <row r="1675" spans="1:19" x14ac:dyDescent="0.3">
      <c r="A1675">
        <v>1.673</v>
      </c>
      <c r="B1675">
        <f>Uo*COS(2*PI()*Wn*Sheet2!A1675) + (Vo/Wn - (Po*(w/Wn))/(K*(1-(w/Wn)^2)))*SIN(2*PI()*Wn*Sheet2!A1675) +(Po*SIN(2*PI()*w*Sheet2!A1675))/(K*(1-(w/Wn)^2))</f>
        <v>7.6704454030618479</v>
      </c>
      <c r="C1675">
        <f t="shared" si="106"/>
        <v>1.3290645197512569</v>
      </c>
      <c r="D1675">
        <f t="shared" si="107"/>
        <v>217.09583631243785</v>
      </c>
      <c r="R1675">
        <f t="shared" si="104"/>
        <v>1.673</v>
      </c>
      <c r="S1675">
        <f t="shared" si="105"/>
        <v>1.3290645197512569</v>
      </c>
    </row>
    <row r="1676" spans="1:19" x14ac:dyDescent="0.3">
      <c r="A1676">
        <v>1.6739999999999999</v>
      </c>
      <c r="B1676">
        <f>Uo*COS(2*PI()*Wn*Sheet2!A1676) + (Vo/Wn - (Po*(w/Wn))/(K*(1-(w/Wn)^2)))*SIN(2*PI()*Wn*Sheet2!A1676) +(Po*SIN(2*PI()*w*Sheet2!A1676))/(K*(1-(w/Wn)^2))</f>
        <v>8.003022872607227</v>
      </c>
      <c r="C1676">
        <f t="shared" si="106"/>
        <v>1.4035804754656682</v>
      </c>
      <c r="D1676">
        <f t="shared" si="107"/>
        <v>229.26763345549028</v>
      </c>
      <c r="R1676">
        <f t="shared" si="104"/>
        <v>1.6739999999999999</v>
      </c>
      <c r="S1676">
        <f t="shared" si="105"/>
        <v>1.4035804754656682</v>
      </c>
    </row>
    <row r="1677" spans="1:19" x14ac:dyDescent="0.3">
      <c r="A1677">
        <v>1.675</v>
      </c>
      <c r="B1677">
        <f>Uo*COS(2*PI()*Wn*Sheet2!A1677) + (Vo/Wn - (Po*(w/Wn))/(K*(1-(w/Wn)^2)))*SIN(2*PI()*Wn*Sheet2!A1677) +(Po*SIN(2*PI()*w*Sheet2!A1677))/(K*(1-(w/Wn)^2))</f>
        <v>8.3329859082882418</v>
      </c>
      <c r="C1677">
        <f t="shared" si="106"/>
        <v>1.4775037598665413</v>
      </c>
      <c r="D1677">
        <f t="shared" si="107"/>
        <v>241.34262079543768</v>
      </c>
      <c r="R1677">
        <f t="shared" si="104"/>
        <v>1.675</v>
      </c>
      <c r="S1677">
        <f t="shared" si="105"/>
        <v>1.4775037598665413</v>
      </c>
    </row>
    <row r="1678" spans="1:19" x14ac:dyDescent="0.3">
      <c r="A1678">
        <v>1.6759999999999999</v>
      </c>
      <c r="B1678">
        <f>Uo*COS(2*PI()*Wn*Sheet2!A1678) + (Vo/Wn - (Po*(w/Wn))/(K*(1-(w/Wn)^2)))*SIN(2*PI()*Wn*Sheet2!A1678) +(Po*SIN(2*PI()*w*Sheet2!A1678))/(K*(1-(w/Wn)^2))</f>
        <v>8.6602267175182934</v>
      </c>
      <c r="C1678">
        <f t="shared" si="106"/>
        <v>1.550811315707632</v>
      </c>
      <c r="D1678">
        <f t="shared" si="107"/>
        <v>253.31703204999505</v>
      </c>
      <c r="R1678">
        <f t="shared" si="104"/>
        <v>1.6759999999999999</v>
      </c>
      <c r="S1678">
        <f t="shared" si="105"/>
        <v>1.550811315707632</v>
      </c>
    </row>
    <row r="1679" spans="1:19" x14ac:dyDescent="0.3">
      <c r="A1679">
        <v>1.677</v>
      </c>
      <c r="B1679">
        <f>Uo*COS(2*PI()*Wn*Sheet2!A1679) + (Vo/Wn - (Po*(w/Wn))/(K*(1-(w/Wn)^2)))*SIN(2*PI()*Wn*Sheet2!A1679) +(Po*SIN(2*PI()*w*Sheet2!A1679))/(K*(1-(w/Wn)^2))</f>
        <v>8.9846383970103325</v>
      </c>
      <c r="C1679">
        <f t="shared" si="106"/>
        <v>1.6234803283451367</v>
      </c>
      <c r="D1679">
        <f t="shared" si="107"/>
        <v>265.18714056473505</v>
      </c>
      <c r="R1679">
        <f t="shared" si="104"/>
        <v>1.677</v>
      </c>
      <c r="S1679">
        <f t="shared" si="105"/>
        <v>1.6234803283451367</v>
      </c>
    </row>
    <row r="1680" spans="1:19" x14ac:dyDescent="0.3">
      <c r="A1680">
        <v>1.6779999999999999</v>
      </c>
      <c r="B1680">
        <f>Uo*COS(2*PI()*Wn*Sheet2!A1680) + (Vo/Wn - (Po*(w/Wn))/(K*(1-(w/Wn)^2)))*SIN(2*PI()*Wn*Sheet2!A1680) +(Po*SIN(2*PI()*w*Sheet2!A1680))/(K*(1-(w/Wn)^2))</f>
        <v>9.306114967699207</v>
      </c>
      <c r="C1680">
        <f t="shared" si="106"/>
        <v>1.6954882327457665</v>
      </c>
      <c r="D1680">
        <f t="shared" si="107"/>
        <v>276.94926045782086</v>
      </c>
      <c r="R1680">
        <f t="shared" si="104"/>
        <v>1.6779999999999999</v>
      </c>
      <c r="S1680">
        <f t="shared" si="105"/>
        <v>1.6954882327457665</v>
      </c>
    </row>
    <row r="1681" spans="1:19" x14ac:dyDescent="0.3">
      <c r="A1681">
        <v>1.679</v>
      </c>
      <c r="B1681">
        <f>Uo*COS(2*PI()*Wn*Sheet2!A1681) + (Vo/Wn - (Po*(w/Wn))/(K*(1-(w/Wn)^2)))*SIN(2*PI()*Wn*Sheet2!A1681) +(Po*SIN(2*PI()*w*Sheet2!A1681))/(K*(1-(w/Wn)^2))</f>
        <v>9.6245514093637592</v>
      </c>
      <c r="C1681">
        <f t="shared" si="106"/>
        <v>1.76681272040107</v>
      </c>
      <c r="D1681">
        <f t="shared" si="107"/>
        <v>288.59974774942521</v>
      </c>
      <c r="R1681">
        <f t="shared" si="104"/>
        <v>1.679</v>
      </c>
      <c r="S1681">
        <f t="shared" si="105"/>
        <v>1.76681272040107</v>
      </c>
    </row>
    <row r="1682" spans="1:19" x14ac:dyDescent="0.3">
      <c r="A1682">
        <v>1.68</v>
      </c>
      <c r="B1682">
        <f>Uo*COS(2*PI()*Wn*Sheet2!A1682) + (Vo/Wn - (Po*(w/Wn))/(K*(1-(w/Wn)^2)))*SIN(2*PI()*Wn*Sheet2!A1682) +(Po*SIN(2*PI()*w*Sheet2!A1682))/(K*(1-(w/Wn)^2))</f>
        <v>9.9398436949342823</v>
      </c>
      <c r="C1682">
        <f t="shared" si="106"/>
        <v>1.8374317461452359</v>
      </c>
      <c r="D1682">
        <f t="shared" si="107"/>
        <v>300.13500147538321</v>
      </c>
      <c r="R1682">
        <f t="shared" si="104"/>
        <v>1.68</v>
      </c>
      <c r="S1682">
        <f t="shared" si="105"/>
        <v>1.8374317461452359</v>
      </c>
    </row>
    <row r="1683" spans="1:19" x14ac:dyDescent="0.3">
      <c r="A1683">
        <v>1.681</v>
      </c>
      <c r="B1683">
        <f>Uo*COS(2*PI()*Wn*Sheet2!A1683) + (Vo/Wn - (Po*(w/Wn))/(K*(1-(w/Wn)^2)))*SIN(2*PI()*Wn*Sheet2!A1683) +(Po*SIN(2*PI()*w*Sheet2!A1683))/(K*(1-(w/Wn)^2))</f>
        <v>10.251888824476907</v>
      </c>
      <c r="C1683">
        <f t="shared" si="106"/>
        <v>1.907323534874936</v>
      </c>
      <c r="D1683">
        <f t="shared" si="107"/>
        <v>311.55146478484409</v>
      </c>
      <c r="R1683">
        <f t="shared" si="104"/>
        <v>1.681</v>
      </c>
      <c r="S1683">
        <f t="shared" si="105"/>
        <v>1.907323534874936</v>
      </c>
    </row>
    <row r="1684" spans="1:19" x14ac:dyDescent="0.3">
      <c r="A1684">
        <v>1.6819999999999999</v>
      </c>
      <c r="B1684">
        <f>Uo*COS(2*PI()*Wn*Sheet2!A1684) + (Vo/Wn - (Po*(w/Wn))/(K*(1-(w/Wn)^2)))*SIN(2*PI()*Wn*Sheet2!A1684) +(Po*SIN(2*PI()*w*Sheet2!A1684))/(K*(1-(w/Wn)^2))</f>
        <v>10.560584858840844</v>
      </c>
      <c r="C1684">
        <f t="shared" si="106"/>
        <v>1.9764665881685286</v>
      </c>
      <c r="D1684">
        <f t="shared" si="107"/>
        <v>322.84562602148389</v>
      </c>
      <c r="R1684">
        <f t="shared" si="104"/>
        <v>1.6819999999999999</v>
      </c>
      <c r="S1684">
        <f t="shared" si="105"/>
        <v>1.9764665881685286</v>
      </c>
    </row>
    <row r="1685" spans="1:19" x14ac:dyDescent="0.3">
      <c r="A1685">
        <v>1.6830000000000001</v>
      </c>
      <c r="B1685">
        <f>Uo*COS(2*PI()*Wn*Sheet2!A1685) + (Vo/Wn - (Po*(w/Wn))/(K*(1-(w/Wn)^2)))*SIN(2*PI()*Wn*Sheet2!A1685) +(Po*SIN(2*PI()*w*Sheet2!A1685))/(K*(1-(w/Wn)^2))</f>
        <v>10.865830952960682</v>
      </c>
      <c r="C1685">
        <f t="shared" si="106"/>
        <v>2.0448396908033644</v>
      </c>
      <c r="D1685">
        <f t="shared" si="107"/>
        <v>334.01401978807388</v>
      </c>
      <c r="R1685">
        <f t="shared" si="104"/>
        <v>1.6830000000000001</v>
      </c>
      <c r="S1685">
        <f t="shared" si="105"/>
        <v>2.0448396908033644</v>
      </c>
    </row>
    <row r="1686" spans="1:19" x14ac:dyDescent="0.3">
      <c r="A1686">
        <v>1.6839999999999999</v>
      </c>
      <c r="B1686">
        <f>Uo*COS(2*PI()*Wn*Sheet2!A1686) + (Vo/Wn - (Po*(w/Wn))/(K*(1-(w/Wn)^2)))*SIN(2*PI()*Wn*Sheet2!A1686) +(Po*SIN(2*PI()*w*Sheet2!A1686))/(K*(1-(w/Wn)^2))</f>
        <v>11.167527388799986</v>
      </c>
      <c r="C1686">
        <f t="shared" si="106"/>
        <v>2.1124219171686036</v>
      </c>
      <c r="D1686">
        <f t="shared" si="107"/>
        <v>345.05322799398101</v>
      </c>
      <c r="R1686">
        <f t="shared" si="104"/>
        <v>1.6839999999999999</v>
      </c>
      <c r="S1686">
        <f t="shared" si="105"/>
        <v>2.1124219171686036</v>
      </c>
    </row>
    <row r="1687" spans="1:19" x14ac:dyDescent="0.3">
      <c r="A1687">
        <v>1.6850000000000001</v>
      </c>
      <c r="B1687">
        <f>Uo*COS(2*PI()*Wn*Sheet2!A1687) + (Vo/Wn - (Po*(w/Wn))/(K*(1-(w/Wn)^2)))*SIN(2*PI()*Wn*Sheet2!A1687) +(Po*SIN(2*PI()*w*Sheet2!A1687))/(K*(1-(w/Wn)^2))</f>
        <v>11.465575607927681</v>
      </c>
      <c r="C1687">
        <f t="shared" si="106"/>
        <v>2.1791926375721413</v>
      </c>
      <c r="D1687">
        <f t="shared" si="107"/>
        <v>355.95988088537177</v>
      </c>
      <c r="R1687">
        <f t="shared" si="104"/>
        <v>1.6850000000000001</v>
      </c>
      <c r="S1687">
        <f t="shared" si="105"/>
        <v>2.1791926375721413</v>
      </c>
    </row>
    <row r="1688" spans="1:19" x14ac:dyDescent="0.3">
      <c r="A1688">
        <v>1.6859999999999999</v>
      </c>
      <c r="B1688">
        <f>Uo*COS(2*PI()*Wn*Sheet2!A1688) + (Vo/Wn - (Po*(w/Wn))/(K*(1-(w/Wn)^2)))*SIN(2*PI()*Wn*Sheet2!A1688) +(Po*SIN(2*PI()*w*Sheet2!A1688))/(K*(1-(w/Wn)^2))</f>
        <v>11.759878243714969</v>
      </c>
      <c r="C1688">
        <f t="shared" si="106"/>
        <v>2.2451315244394192</v>
      </c>
      <c r="D1688">
        <f t="shared" si="107"/>
        <v>366.73065805775622</v>
      </c>
      <c r="R1688">
        <f t="shared" si="104"/>
        <v>1.6859999999999999</v>
      </c>
      <c r="S1688">
        <f t="shared" si="105"/>
        <v>2.2451315244394192</v>
      </c>
    </row>
    <row r="1689" spans="1:19" x14ac:dyDescent="0.3">
      <c r="A1689">
        <v>1.6870000000000001</v>
      </c>
      <c r="B1689">
        <f>Uo*COS(2*PI()*Wn*Sheet2!A1689) + (Vo/Wn - (Po*(w/Wn))/(K*(1-(w/Wn)^2)))*SIN(2*PI()*Wn*Sheet2!A1689) +(Po*SIN(2*PI()*w*Sheet2!A1689))/(K*(1-(w/Wn)^2))</f>
        <v>12.050339153143243</v>
      </c>
      <c r="C1689">
        <f t="shared" si="106"/>
        <v>2.3102185584025015</v>
      </c>
      <c r="D1689">
        <f t="shared" si="107"/>
        <v>377.36228945060685</v>
      </c>
      <c r="R1689">
        <f t="shared" si="104"/>
        <v>1.6870000000000001</v>
      </c>
      <c r="S1689">
        <f t="shared" si="105"/>
        <v>2.3102185584025015</v>
      </c>
    </row>
    <row r="1690" spans="1:19" x14ac:dyDescent="0.3">
      <c r="A1690">
        <v>1.6879999999999999</v>
      </c>
      <c r="B1690">
        <f>Uo*COS(2*PI()*Wn*Sheet2!A1690) + (Vo/Wn - (Po*(w/Wn))/(K*(1-(w/Wn)^2)))*SIN(2*PI()*Wn*Sheet2!A1690) +(Po*SIN(2*PI()*w*Sheet2!A1690))/(K*(1-(w/Wn)^2))</f>
        <v>12.336863448211945</v>
      </c>
      <c r="C1690">
        <f t="shared" si="106"/>
        <v>2.3744340342775057</v>
      </c>
      <c r="D1690">
        <f t="shared" si="107"/>
        <v>387.85155632374131</v>
      </c>
      <c r="R1690">
        <f t="shared" si="104"/>
        <v>1.6879999999999999</v>
      </c>
      <c r="S1690">
        <f t="shared" si="105"/>
        <v>2.3744340342775057</v>
      </c>
    </row>
    <row r="1691" spans="1:19" x14ac:dyDescent="0.3">
      <c r="A1691">
        <v>1.6890000000000001</v>
      </c>
      <c r="B1691">
        <f>Uo*COS(2*PI()*Wn*Sheet2!A1691) + (Vo/Wn - (Po*(w/Wn))/(K*(1-(w/Wn)^2)))*SIN(2*PI()*Wn*Sheet2!A1691) +(Po*SIN(2*PI()*w*Sheet2!A1691))/(K*(1-(w/Wn)^2))</f>
        <v>12.619357526936989</v>
      </c>
      <c r="C1691">
        <f t="shared" si="106"/>
        <v>2.4377585669287987</v>
      </c>
      <c r="D1691">
        <f t="shared" si="107"/>
        <v>398.1952922152085</v>
      </c>
      <c r="R1691">
        <f t="shared" si="104"/>
        <v>1.6890000000000001</v>
      </c>
      <c r="S1691">
        <f t="shared" si="105"/>
        <v>2.4377585669287987</v>
      </c>
    </row>
    <row r="1692" spans="1:19" x14ac:dyDescent="0.3">
      <c r="A1692">
        <v>1.69</v>
      </c>
      <c r="B1692">
        <f>Uo*COS(2*PI()*Wn*Sheet2!A1692) + (Vo/Wn - (Po*(w/Wn))/(K*(1-(w/Wn)^2)))*SIN(2*PI()*Wn*Sheet2!A1692) +(Po*SIN(2*PI()*w*Sheet2!A1692))/(K*(1-(w/Wn)^2))</f>
        <v>12.897729103928508</v>
      </c>
      <c r="C1692">
        <f t="shared" si="106"/>
        <v>2.5001730970180329</v>
      </c>
      <c r="D1692">
        <f t="shared" si="107"/>
        <v>408.39038388036414</v>
      </c>
      <c r="R1692">
        <f t="shared" si="104"/>
        <v>1.69</v>
      </c>
      <c r="S1692">
        <f t="shared" si="105"/>
        <v>2.5001730970180329</v>
      </c>
    </row>
    <row r="1693" spans="1:19" x14ac:dyDescent="0.3">
      <c r="A1693">
        <v>1.6910000000000001</v>
      </c>
      <c r="B1693">
        <f>Uo*COS(2*PI()*Wn*Sheet2!A1693) + (Vo/Wn - (Po*(w/Wn))/(K*(1-(w/Wn)^2)))*SIN(2*PI()*Wn*Sheet2!A1693) +(Po*SIN(2*PI()*w*Sheet2!A1693))/(K*(1-(w/Wn)^2))</f>
        <v>13.171887240538826</v>
      </c>
      <c r="C1693">
        <f t="shared" si="106"/>
        <v>2.5616588966365339</v>
      </c>
      <c r="D1693">
        <f t="shared" si="107"/>
        <v>418.43377221189201</v>
      </c>
      <c r="R1693">
        <f t="shared" si="104"/>
        <v>1.6910000000000001</v>
      </c>
      <c r="S1693">
        <f t="shared" si="105"/>
        <v>2.5616588966365339</v>
      </c>
    </row>
    <row r="1694" spans="1:19" x14ac:dyDescent="0.3">
      <c r="A1694">
        <v>1.6919999999999999</v>
      </c>
      <c r="B1694">
        <f>Uo*COS(2*PI()*Wn*Sheet2!A1694) + (Vo/Wn - (Po*(w/Wn))/(K*(1-(w/Wn)^2)))*SIN(2*PI()*Wn*Sheet2!A1694) +(Po*SIN(2*PI()*w*Sheet2!A1694))/(K*(1-(w/Wn)^2))</f>
        <v>13.441742374570154</v>
      </c>
      <c r="C1694">
        <f t="shared" si="106"/>
        <v>2.6221975748192712</v>
      </c>
      <c r="D1694">
        <f t="shared" si="107"/>
        <v>428.32245314048276</v>
      </c>
      <c r="R1694">
        <f t="shared" si="104"/>
        <v>1.6919999999999999</v>
      </c>
      <c r="S1694">
        <f t="shared" si="105"/>
        <v>2.6221975748192712</v>
      </c>
    </row>
    <row r="1695" spans="1:19" x14ac:dyDescent="0.3">
      <c r="A1695">
        <v>1.6930000000000001</v>
      </c>
      <c r="B1695">
        <f>Uo*COS(2*PI()*Wn*Sheet2!A1695) + (Vo/Wn - (Po*(w/Wn))/(K*(1-(w/Wn)^2)))*SIN(2*PI()*Wn*Sheet2!A1695) +(Po*SIN(2*PI()*w*Sheet2!A1695))/(K*(1-(w/Wn)^2))</f>
        <v>13.707206349533163</v>
      </c>
      <c r="C1695">
        <f t="shared" si="106"/>
        <v>2.6817710829390142</v>
      </c>
      <c r="D1695">
        <f t="shared" si="107"/>
        <v>438.05347851594155</v>
      </c>
      <c r="R1695">
        <f t="shared" si="104"/>
        <v>1.6930000000000001</v>
      </c>
      <c r="S1695">
        <f t="shared" si="105"/>
        <v>2.6817710829390142</v>
      </c>
    </row>
    <row r="1696" spans="1:19" x14ac:dyDescent="0.3">
      <c r="A1696">
        <v>1.694</v>
      </c>
      <c r="B1696">
        <f>Uo*COS(2*PI()*Wn*Sheet2!A1696) + (Vo/Wn - (Po*(w/Wn))/(K*(1-(w/Wn)^2)))*SIN(2*PI()*Wn*Sheet2!A1696) +(Po*SIN(2*PI()*w*Sheet2!A1696))/(K*(1-(w/Wn)^2))</f>
        <v>13.968192443445799</v>
      </c>
      <c r="C1696">
        <f t="shared" si="106"/>
        <v>2.740361719978905</v>
      </c>
      <c r="D1696">
        <f t="shared" si="107"/>
        <v>447.62395696843549</v>
      </c>
      <c r="R1696">
        <f t="shared" si="104"/>
        <v>1.694</v>
      </c>
      <c r="S1696">
        <f t="shared" si="105"/>
        <v>2.740361719978905</v>
      </c>
    </row>
    <row r="1697" spans="1:19" x14ac:dyDescent="0.3">
      <c r="A1697">
        <v>1.6950000000000001</v>
      </c>
      <c r="B1697">
        <f>Uo*COS(2*PI()*Wn*Sheet2!A1697) + (Vo/Wn - (Po*(w/Wn))/(K*(1-(w/Wn)^2)))*SIN(2*PI()*Wn*Sheet2!A1697) +(Po*SIN(2*PI()*w*Sheet2!A1697))/(K*(1-(w/Wn)^2))</f>
        <v>14.224615397163799</v>
      </c>
      <c r="C1697">
        <f t="shared" si="106"/>
        <v>2.7979521376821128</v>
      </c>
      <c r="D1697">
        <f t="shared" si="107"/>
        <v>457.03105474966321</v>
      </c>
      <c r="R1697">
        <f t="shared" si="104"/>
        <v>1.6950000000000001</v>
      </c>
      <c r="S1697">
        <f t="shared" si="105"/>
        <v>2.7979521376821128</v>
      </c>
    </row>
    <row r="1698" spans="1:19" x14ac:dyDescent="0.3">
      <c r="A1698">
        <v>1.696</v>
      </c>
      <c r="B1698">
        <f>Uo*COS(2*PI()*Wn*Sheet2!A1698) + (Vo/Wn - (Po*(w/Wn))/(K*(1-(w/Wn)^2)))*SIN(2*PI()*Wn*Sheet2!A1698) +(Po*SIN(2*PI()*w*Sheet2!A1698))/(K*(1-(w/Wn)^2))</f>
        <v>14.476391442233002</v>
      </c>
      <c r="C1698">
        <f t="shared" si="106"/>
        <v>2.8545253455769899</v>
      </c>
      <c r="D1698">
        <f t="shared" si="107"/>
        <v>466.27199655368815</v>
      </c>
      <c r="R1698">
        <f t="shared" si="104"/>
        <v>1.696</v>
      </c>
      <c r="S1698">
        <f t="shared" si="105"/>
        <v>2.8545253455769899</v>
      </c>
    </row>
    <row r="1699" spans="1:19" x14ac:dyDescent="0.3">
      <c r="A1699">
        <v>1.6970000000000001</v>
      </c>
      <c r="B1699">
        <f>Uo*COS(2*PI()*Wn*Sheet2!A1699) + (Vo/Wn - (Po*(w/Wn))/(K*(1-(w/Wn)^2)))*SIN(2*PI()*Wn*Sheet2!A1699) +(Po*SIN(2*PI()*w*Sheet2!A1699))/(K*(1-(w/Wn)^2))</f>
        <v>14.723438328255254</v>
      </c>
      <c r="C1699">
        <f t="shared" si="106"/>
        <v>2.9100647158765018</v>
      </c>
      <c r="D1699">
        <f t="shared" si="107"/>
        <v>475.34406631723533</v>
      </c>
      <c r="R1699">
        <f t="shared" si="104"/>
        <v>1.6970000000000001</v>
      </c>
      <c r="S1699">
        <f t="shared" si="105"/>
        <v>2.9100647158765018</v>
      </c>
    </row>
    <row r="1700" spans="1:19" x14ac:dyDescent="0.3">
      <c r="A1700">
        <v>1.698</v>
      </c>
      <c r="B1700">
        <f>Uo*COS(2*PI()*Wn*Sheet2!A1700) + (Vo/Wn - (Po*(w/Wn))/(K*(1-(w/Wn)^2)))*SIN(2*PI()*Wn*Sheet2!A1700) +(Po*SIN(2*PI()*w*Sheet2!A1700))/(K*(1-(w/Wn)^2))</f>
        <v>14.965675349757596</v>
      </c>
      <c r="C1700">
        <f t="shared" si="106"/>
        <v>2.9645539882502598</v>
      </c>
      <c r="D1700">
        <f t="shared" si="107"/>
        <v>484.24460799917802</v>
      </c>
      <c r="R1700">
        <f t="shared" si="104"/>
        <v>1.698</v>
      </c>
      <c r="S1700">
        <f t="shared" si="105"/>
        <v>2.9645539882502598</v>
      </c>
    </row>
    <row r="1701" spans="1:19" x14ac:dyDescent="0.3">
      <c r="A1701">
        <v>1.6990000000000001</v>
      </c>
      <c r="B1701">
        <f>Uo*COS(2*PI()*Wn*Sheet2!A1701) + (Vo/Wn - (Po*(w/Wn))/(K*(1-(w/Wn)^2)))*SIN(2*PI()*Wn*Sheet2!A1701) +(Po*SIN(2*PI()*w*Sheet2!A1701))/(K*(1-(w/Wn)^2))</f>
        <v>15.203023372557755</v>
      </c>
      <c r="C1701">
        <f t="shared" si="106"/>
        <v>3.0179772744682247</v>
      </c>
      <c r="D1701">
        <f t="shared" si="107"/>
        <v>492.97102633906303</v>
      </c>
      <c r="R1701">
        <f t="shared" si="104"/>
        <v>1.6990000000000001</v>
      </c>
      <c r="S1701">
        <f t="shared" si="105"/>
        <v>3.0179772744682247</v>
      </c>
    </row>
    <row r="1702" spans="1:19" x14ac:dyDescent="0.3">
      <c r="A1702">
        <v>1.7</v>
      </c>
      <c r="B1702">
        <f>Uo*COS(2*PI()*Wn*Sheet2!A1702) + (Vo/Wn - (Po*(w/Wn))/(K*(1-(w/Wn)^2)))*SIN(2*PI()*Wn*Sheet2!A1702) +(Po*SIN(2*PI()*w*Sheet2!A1702))/(K*(1-(w/Wn)^2))</f>
        <v>15.43540485961511</v>
      </c>
      <c r="C1702">
        <f t="shared" si="106"/>
        <v>3.0703190629143018</v>
      </c>
      <c r="D1702">
        <f t="shared" si="107"/>
        <v>501.52078759438302</v>
      </c>
      <c r="R1702">
        <f t="shared" si="104"/>
        <v>1.7</v>
      </c>
      <c r="S1702">
        <f t="shared" si="105"/>
        <v>3.0703190629143018</v>
      </c>
    </row>
    <row r="1703" spans="1:19" x14ac:dyDescent="0.3">
      <c r="A1703">
        <v>1.7010000000000001</v>
      </c>
      <c r="B1703">
        <f>Uo*COS(2*PI()*Wn*Sheet2!A1703) + (Vo/Wn - (Po*(w/Wn))/(K*(1-(w/Wn)^2)))*SIN(2*PI()*Wn*Sheet2!A1703) +(Po*SIN(2*PI()*w*Sheet2!A1703))/(K*(1-(w/Wn)^2))</f>
        <v>15.662743896361102</v>
      </c>
      <c r="C1703">
        <f t="shared" si="106"/>
        <v>3.1215642229691389</v>
      </c>
      <c r="D1703">
        <f t="shared" si="107"/>
        <v>509.89142025648414</v>
      </c>
      <c r="R1703">
        <f t="shared" si="104"/>
        <v>1.7010000000000001</v>
      </c>
      <c r="S1703">
        <f t="shared" si="105"/>
        <v>3.1215642229691389</v>
      </c>
    </row>
    <row r="1704" spans="1:19" x14ac:dyDescent="0.3">
      <c r="A1704">
        <v>1.702</v>
      </c>
      <c r="B1704">
        <f>Uo*COS(2*PI()*Wn*Sheet2!A1704) + (Vo/Wn - (Po*(w/Wn))/(K*(1-(w/Wn)^2)))*SIN(2*PI()*Wn*Sheet2!A1704) +(Po*SIN(2*PI()*w*Sheet2!A1704))/(K*(1-(w/Wn)^2))</f>
        <v>15.884966215498629</v>
      </c>
      <c r="C1704">
        <f t="shared" si="106"/>
        <v>3.171698009260433</v>
      </c>
      <c r="D1704">
        <f t="shared" si="107"/>
        <v>518.08051574483147</v>
      </c>
      <c r="R1704">
        <f t="shared" si="104"/>
        <v>1.702</v>
      </c>
      <c r="S1704">
        <f t="shared" si="105"/>
        <v>3.171698009260433</v>
      </c>
    </row>
    <row r="1705" spans="1:19" x14ac:dyDescent="0.3">
      <c r="A1705">
        <v>1.7030000000000001</v>
      </c>
      <c r="B1705">
        <f>Uo*COS(2*PI()*Wn*Sheet2!A1705) + (Vo/Wn - (Po*(w/Wn))/(K*(1-(w/Wn)^2)))*SIN(2*PI()*Wn*Sheet2!A1705) +(Po*SIN(2*PI()*w*Sheet2!A1705))/(K*(1-(w/Wn)^2))</f>
        <v>16.101999221264258</v>
      </c>
      <c r="C1705">
        <f t="shared" si="106"/>
        <v>3.2207060657800395</v>
      </c>
      <c r="D1705">
        <f t="shared" si="107"/>
        <v>526.08572907951771</v>
      </c>
      <c r="R1705">
        <f t="shared" si="104"/>
        <v>1.7030000000000001</v>
      </c>
      <c r="S1705">
        <f t="shared" si="105"/>
        <v>3.2207060657800395</v>
      </c>
    </row>
    <row r="1706" spans="1:19" x14ac:dyDescent="0.3">
      <c r="A1706">
        <v>1.704</v>
      </c>
      <c r="B1706">
        <f>Uo*COS(2*PI()*Wn*Sheet2!A1706) + (Vo/Wn - (Po*(w/Wn))/(K*(1-(w/Wn)^2)))*SIN(2*PI()*Wn*Sheet2!A1706) +(Po*SIN(2*PI()*w*Sheet2!A1706))/(K*(1-(w/Wn)^2))</f>
        <v>16.313772013143264</v>
      </c>
      <c r="C1706">
        <f t="shared" si="106"/>
        <v>3.2685744298663049</v>
      </c>
      <c r="D1706">
        <f t="shared" si="107"/>
        <v>533.90477953175684</v>
      </c>
      <c r="R1706">
        <f t="shared" si="104"/>
        <v>1.704</v>
      </c>
      <c r="S1706">
        <f t="shared" si="105"/>
        <v>3.2685744298663049</v>
      </c>
    </row>
    <row r="1707" spans="1:19" x14ac:dyDescent="0.3">
      <c r="A1707">
        <v>1.7050000000000001</v>
      </c>
      <c r="B1707">
        <f>Uo*COS(2*PI()*Wn*Sheet2!A1707) + (Vo/Wn - (Po*(w/Wn))/(K*(1-(w/Wn)^2)))*SIN(2*PI()*Wn*Sheet2!A1707) +(Po*SIN(2*PI()*w*Sheet2!A1707))/(K*(1-(w/Wn)^2))</f>
        <v>16.520215409031987</v>
      </c>
      <c r="C1707">
        <f t="shared" si="106"/>
        <v>3.3152895360510843</v>
      </c>
      <c r="D1707">
        <f t="shared" si="107"/>
        <v>541.53545125227436</v>
      </c>
      <c r="R1707">
        <f t="shared" si="104"/>
        <v>1.7050000000000001</v>
      </c>
      <c r="S1707">
        <f t="shared" si="105"/>
        <v>3.3152895360510843</v>
      </c>
    </row>
    <row r="1708" spans="1:19" x14ac:dyDescent="0.3">
      <c r="A1708">
        <v>1.706</v>
      </c>
      <c r="B1708">
        <f>Uo*COS(2*PI()*Wn*Sheet2!A1708) + (Vo/Wn - (Po*(w/Wn))/(K*(1-(w/Wn)^2)))*SIN(2*PI()*Wn*Sheet2!A1708) +(Po*SIN(2*PI()*w*Sheet2!A1708))/(K*(1-(w/Wn)^2))</f>
        <v>16.721261967837872</v>
      </c>
      <c r="C1708">
        <f t="shared" si="106"/>
        <v>3.3608382197699633</v>
      </c>
      <c r="D1708">
        <f t="shared" si="107"/>
        <v>548.97559387735282</v>
      </c>
      <c r="R1708">
        <f t="shared" si="104"/>
        <v>1.706</v>
      </c>
      <c r="S1708">
        <f t="shared" si="105"/>
        <v>3.3608382197699633</v>
      </c>
    </row>
    <row r="1709" spans="1:19" x14ac:dyDescent="0.3">
      <c r="A1709">
        <v>1.7070000000000001</v>
      </c>
      <c r="B1709">
        <f>Uo*COS(2*PI()*Wn*Sheet2!A1709) + (Vo/Wn - (Po*(w/Wn))/(K*(1-(w/Wn)^2)))*SIN(2*PI()*Wn*Sheet2!A1709) +(Po*SIN(2*PI()*w*Sheet2!A1709))/(K*(1-(w/Wn)^2))</f>
        <v>16.916846011511669</v>
      </c>
      <c r="C1709">
        <f t="shared" si="106"/>
        <v>3.4052077209351319</v>
      </c>
      <c r="D1709">
        <f t="shared" si="107"/>
        <v>556.22312311244275</v>
      </c>
      <c r="R1709">
        <f t="shared" si="104"/>
        <v>1.7070000000000001</v>
      </c>
      <c r="S1709">
        <f t="shared" si="105"/>
        <v>3.4052077209351319</v>
      </c>
    </row>
    <row r="1710" spans="1:19" x14ac:dyDescent="0.3">
      <c r="A1710">
        <v>1.708</v>
      </c>
      <c r="B1710">
        <f>Uo*COS(2*PI()*Wn*Sheet2!A1710) + (Vo/Wn - (Po*(w/Wn))/(K*(1-(w/Wn)^2)))*SIN(2*PI()*Wn*Sheet2!A1710) +(Po*SIN(2*PI()*w*Sheet2!A1710))/(K*(1-(w/Wn)^2))</f>
        <v>17.106903646502623</v>
      </c>
      <c r="C1710">
        <f t="shared" si="106"/>
        <v>3.4483856873695529</v>
      </c>
      <c r="D1710">
        <f t="shared" si="107"/>
        <v>563.27602129311595</v>
      </c>
      <c r="R1710">
        <f t="shared" si="104"/>
        <v>1.708</v>
      </c>
      <c r="S1710">
        <f t="shared" si="105"/>
        <v>3.4483856873695529</v>
      </c>
    </row>
    <row r="1711" spans="1:19" x14ac:dyDescent="0.3">
      <c r="A1711">
        <v>1.7090000000000001</v>
      </c>
      <c r="B1711">
        <f>Uo*COS(2*PI()*Wn*Sheet2!A1711) + (Vo/Wn - (Po*(w/Wn))/(K*(1-(w/Wn)^2)))*SIN(2*PI()*Wn*Sheet2!A1711) +(Po*SIN(2*PI()*w*Sheet2!A1711))/(K*(1-(w/Wn)^2))</f>
        <v>17.291372784631754</v>
      </c>
      <c r="C1711">
        <f t="shared" si="106"/>
        <v>3.4903601781020299</v>
      </c>
      <c r="D1711">
        <f t="shared" si="107"/>
        <v>570.13233792329822</v>
      </c>
      <c r="R1711">
        <f t="shared" si="104"/>
        <v>1.7090000000000001</v>
      </c>
      <c r="S1711">
        <f t="shared" si="105"/>
        <v>3.4903601781020299</v>
      </c>
    </row>
    <row r="1712" spans="1:19" x14ac:dyDescent="0.3">
      <c r="A1712">
        <v>1.71</v>
      </c>
      <c r="B1712">
        <f>Uo*COS(2*PI()*Wn*Sheet2!A1712) + (Vo/Wn - (Po*(w/Wn))/(K*(1-(w/Wn)^2)))*SIN(2*PI()*Wn*Sheet2!A1712) +(Po*SIN(2*PI()*w*Sheet2!A1712))/(K*(1-(w/Wn)^2))</f>
        <v>17.470193163374493</v>
      </c>
      <c r="C1712">
        <f t="shared" si="106"/>
        <v>3.5311196665219184</v>
      </c>
      <c r="D1712">
        <f t="shared" si="107"/>
        <v>576.79019019057489</v>
      </c>
      <c r="R1712">
        <f t="shared" si="104"/>
        <v>1.71</v>
      </c>
      <c r="S1712">
        <f t="shared" si="105"/>
        <v>3.5311196665219184</v>
      </c>
    </row>
    <row r="1713" spans="1:19" x14ac:dyDescent="0.3">
      <c r="A1713">
        <v>1.7110000000000001</v>
      </c>
      <c r="B1713">
        <f>Uo*COS(2*PI()*Wn*Sheet2!A1713) + (Vo/Wn - (Po*(w/Wn))/(K*(1-(w/Wn)^2)))*SIN(2*PI()*Wn*Sheet2!A1713) +(Po*SIN(2*PI()*w*Sheet2!A1713))/(K*(1-(w/Wn)^2))</f>
        <v>17.643306365547705</v>
      </c>
      <c r="C1713">
        <f t="shared" si="106"/>
        <v>3.5706530433930879</v>
      </c>
      <c r="D1713">
        <f t="shared" si="107"/>
        <v>583.24776345850591</v>
      </c>
      <c r="R1713">
        <f t="shared" si="104"/>
        <v>1.7110000000000001</v>
      </c>
      <c r="S1713">
        <f t="shared" si="105"/>
        <v>3.5706530433930879</v>
      </c>
    </row>
    <row r="1714" spans="1:19" x14ac:dyDescent="0.3">
      <c r="A1714">
        <v>1.712</v>
      </c>
      <c r="B1714">
        <f>Uo*COS(2*PI()*Wn*Sheet2!A1714) + (Vo/Wn - (Po*(w/Wn))/(K*(1-(w/Wn)^2)))*SIN(2*PI()*Wn*Sheet2!A1714) +(Po*SIN(2*PI()*w*Sheet2!A1714))/(K*(1-(w/Wn)^2))</f>
        <v>17.810655838393</v>
      </c>
      <c r="C1714">
        <f t="shared" si="106"/>
        <v>3.608949619725994</v>
      </c>
      <c r="D1714">
        <f t="shared" si="107"/>
        <v>589.50331173576444</v>
      </c>
      <c r="R1714">
        <f t="shared" si="104"/>
        <v>1.712</v>
      </c>
      <c r="S1714">
        <f t="shared" si="105"/>
        <v>3.608949619725994</v>
      </c>
    </row>
    <row r="1715" spans="1:19" x14ac:dyDescent="0.3">
      <c r="A1715">
        <v>1.7130000000000001</v>
      </c>
      <c r="B1715">
        <f>Uo*COS(2*PI()*Wn*Sheet2!A1715) + (Vo/Wn - (Po*(w/Wn))/(K*(1-(w/Wn)^2)))*SIN(2*PI()*Wn*Sheet2!A1715) +(Po*SIN(2*PI()*w*Sheet2!A1715))/(K*(1-(w/Wn)^2))</f>
        <v>17.972186912051818</v>
      </c>
      <c r="C1715">
        <f t="shared" si="106"/>
        <v>3.6459991295076217</v>
      </c>
      <c r="D1715">
        <f t="shared" si="107"/>
        <v>595.55515812205851</v>
      </c>
      <c r="R1715">
        <f t="shared" si="104"/>
        <v>1.7130000000000001</v>
      </c>
      <c r="S1715">
        <f t="shared" si="105"/>
        <v>3.6459991295076217</v>
      </c>
    </row>
    <row r="1716" spans="1:19" x14ac:dyDescent="0.3">
      <c r="A1716">
        <v>1.714</v>
      </c>
      <c r="B1716">
        <f>Uo*COS(2*PI()*Wn*Sheet2!A1716) + (Vo/Wn - (Po*(w/Wn))/(K*(1-(w/Wn)^2)))*SIN(2*PI()*Wn*Sheet2!A1716) +(Po*SIN(2*PI()*w*Sheet2!A1716))/(K*(1-(w/Wn)^2))</f>
        <v>18.127846817424704</v>
      </c>
      <c r="C1716">
        <f t="shared" si="106"/>
        <v>3.6817917322882616</v>
      </c>
      <c r="D1716">
        <f t="shared" si="107"/>
        <v>601.40169523066788</v>
      </c>
      <c r="R1716">
        <f t="shared" si="104"/>
        <v>1.714</v>
      </c>
      <c r="S1716">
        <f t="shared" si="105"/>
        <v>3.6817917322882616</v>
      </c>
    </row>
    <row r="1717" spans="1:19" x14ac:dyDescent="0.3">
      <c r="A1717">
        <v>1.7150000000000001</v>
      </c>
      <c r="B1717">
        <f>Uo*COS(2*PI()*Wn*Sheet2!A1717) + (Vo/Wn - (Po*(w/Wn))/(K*(1-(w/Wn)^2)))*SIN(2*PI()*Wn*Sheet2!A1717) +(Po*SIN(2*PI()*w*Sheet2!A1717))/(K*(1-(w/Wn)^2))</f>
        <v>18.277584703410341</v>
      </c>
      <c r="C1717">
        <f t="shared" si="106"/>
        <v>3.7163180156249012</v>
      </c>
      <c r="D1717">
        <f t="shared" si="107"/>
        <v>607.04138558755949</v>
      </c>
      <c r="R1717">
        <f t="shared" si="104"/>
        <v>1.7150000000000001</v>
      </c>
      <c r="S1717">
        <f t="shared" si="105"/>
        <v>3.7163180156249012</v>
      </c>
    </row>
    <row r="1718" spans="1:19" x14ac:dyDescent="0.3">
      <c r="A1718">
        <v>1.716</v>
      </c>
      <c r="B1718">
        <f>Uo*COS(2*PI()*Wn*Sheet2!A1718) + (Vo/Wn - (Po*(w/Wn))/(K*(1-(w/Wn)^2)))*SIN(2*PI()*Wn*Sheet2!A1718) +(Po*SIN(2*PI()*w*Sheet2!A1718))/(K*(1-(w/Wn)^2))</f>
        <v>18.421351653517188</v>
      </c>
      <c r="C1718">
        <f t="shared" si="106"/>
        <v>3.7495689973802917</v>
      </c>
      <c r="D1718">
        <f t="shared" si="107"/>
        <v>612.47276200692784</v>
      </c>
      <c r="R1718">
        <f t="shared" si="104"/>
        <v>1.716</v>
      </c>
      <c r="S1718">
        <f t="shared" si="105"/>
        <v>3.7495689973802917</v>
      </c>
    </row>
    <row r="1719" spans="1:19" x14ac:dyDescent="0.3">
      <c r="A1719">
        <v>1.7170000000000001</v>
      </c>
      <c r="B1719">
        <f>Uo*COS(2*PI()*Wn*Sheet2!A1719) + (Vo/Wn - (Po*(w/Wn))/(K*(1-(w/Wn)^2)))*SIN(2*PI()*Wn*Sheet2!A1719) +(Po*SIN(2*PI()*w*Sheet2!A1719))/(K*(1-(w/Wn)^2))</f>
        <v>18.559100701843928</v>
      </c>
      <c r="C1719">
        <f t="shared" si="106"/>
        <v>3.7815361278776227</v>
      </c>
      <c r="D1719">
        <f t="shared" si="107"/>
        <v>617.69442794315023</v>
      </c>
      <c r="R1719">
        <f t="shared" si="104"/>
        <v>1.7170000000000001</v>
      </c>
      <c r="S1719">
        <f t="shared" si="105"/>
        <v>3.7815361278776227</v>
      </c>
    </row>
    <row r="1720" spans="1:19" x14ac:dyDescent="0.3">
      <c r="A1720">
        <v>1.718</v>
      </c>
      <c r="B1720">
        <f>Uo*COS(2*PI()*Wn*Sheet2!A1720) + (Vo/Wn - (Po*(w/Wn))/(K*(1-(w/Wn)^2)))*SIN(2*PI()*Wn*Sheet2!A1720) +(Po*SIN(2*PI()*w*Sheet2!A1720))/(K*(1-(w/Wn)^2))</f>
        <v>18.690786848422064</v>
      </c>
      <c r="C1720">
        <f t="shared" si="106"/>
        <v>3.8122112919100175</v>
      </c>
      <c r="D1720">
        <f t="shared" si="107"/>
        <v>622.70505781902739</v>
      </c>
      <c r="R1720">
        <f t="shared" si="104"/>
        <v>1.718</v>
      </c>
      <c r="S1720">
        <f t="shared" si="105"/>
        <v>3.8122112919100175</v>
      </c>
    </row>
    <row r="1721" spans="1:19" x14ac:dyDescent="0.3">
      <c r="A1721">
        <v>1.7190000000000001</v>
      </c>
      <c r="B1721">
        <f>Uo*COS(2*PI()*Wn*Sheet2!A1721) + (Vo/Wn - (Po*(w/Wn))/(K*(1-(w/Wn)^2)))*SIN(2*PI()*Wn*Sheet2!A1721) +(Po*SIN(2*PI()*w*Sheet2!A1721))/(K*(1-(w/Wn)^2))</f>
        <v>18.816367073916727</v>
      </c>
      <c r="C1721">
        <f t="shared" si="106"/>
        <v>3.8415868106046727</v>
      </c>
      <c r="D1721">
        <f t="shared" si="107"/>
        <v>627.50339733028113</v>
      </c>
      <c r="R1721">
        <f t="shared" si="104"/>
        <v>1.7190000000000001</v>
      </c>
      <c r="S1721">
        <f t="shared" si="105"/>
        <v>3.8415868106046727</v>
      </c>
    </row>
    <row r="1722" spans="1:19" x14ac:dyDescent="0.3">
      <c r="A1722">
        <v>1.72</v>
      </c>
      <c r="B1722">
        <f>Uo*COS(2*PI()*Wn*Sheet2!A1722) + (Vo/Wn - (Po*(w/Wn))/(K*(1-(w/Wn)^2)))*SIN(2*PI()*Wn*Sheet2!A1722) +(Po*SIN(2*PI()*w*Sheet2!A1722))/(K*(1-(w/Wn)^2))</f>
        <v>18.935800353680175</v>
      </c>
      <c r="C1722">
        <f t="shared" si="106"/>
        <v>3.8696554431411783</v>
      </c>
      <c r="D1722">
        <f t="shared" si="107"/>
        <v>632.08826372623275</v>
      </c>
      <c r="R1722">
        <f t="shared" si="104"/>
        <v>1.72</v>
      </c>
      <c r="S1722">
        <f t="shared" si="105"/>
        <v>3.8696554431411783</v>
      </c>
    </row>
    <row r="1723" spans="1:19" x14ac:dyDescent="0.3">
      <c r="A1723">
        <v>1.7210000000000001</v>
      </c>
      <c r="B1723">
        <f>Uo*COS(2*PI()*Wn*Sheet2!A1723) + (Vo/Wn - (Po*(w/Wn))/(K*(1-(w/Wn)^2)))*SIN(2*PI()*Wn*Sheet2!A1723) +(Po*SIN(2*PI()*w*Sheet2!A1723))/(K*(1-(w/Wn)^2))</f>
        <v>19.049047671153797</v>
      </c>
      <c r="C1723">
        <f t="shared" si="106"/>
        <v>3.8964103883237771</v>
      </c>
      <c r="D1723">
        <f t="shared" si="107"/>
        <v>636.45854606662419</v>
      </c>
      <c r="R1723">
        <f t="shared" si="104"/>
        <v>1.7210000000000001</v>
      </c>
      <c r="S1723">
        <f t="shared" si="105"/>
        <v>3.8964103883237771</v>
      </c>
    </row>
    <row r="1724" spans="1:19" x14ac:dyDescent="0.3">
      <c r="A1724">
        <v>1.722</v>
      </c>
      <c r="B1724">
        <f>Uo*COS(2*PI()*Wn*Sheet2!A1724) + (Vo/Wn - (Po*(w/Wn))/(K*(1-(w/Wn)^2)))*SIN(2*PI()*Wn*Sheet2!A1724) +(Po*SIN(2*PI()*w*Sheet2!A1724))/(K*(1-(w/Wn)^2))</f>
        <v>19.156072030613991</v>
      </c>
      <c r="C1724">
        <f t="shared" si="106"/>
        <v>3.9218452860072786</v>
      </c>
      <c r="D1724">
        <f t="shared" si="107"/>
        <v>640.61320545453293</v>
      </c>
      <c r="R1724">
        <f t="shared" si="104"/>
        <v>1.722</v>
      </c>
      <c r="S1724">
        <f t="shared" si="105"/>
        <v>3.9218452860072786</v>
      </c>
    </row>
    <row r="1725" spans="1:19" x14ac:dyDescent="0.3">
      <c r="A1725">
        <v>1.7230000000000001</v>
      </c>
      <c r="B1725">
        <f>Uo*COS(2*PI()*Wn*Sheet2!A1725) + (Vo/Wn - (Po*(w/Wn))/(K*(1-(w/Wn)^2)))*SIN(2*PI()*Wn*Sheet2!A1725) +(Po*SIN(2*PI()*w*Sheet2!A1725))/(K*(1-(w/Wn)^2))</f>
        <v>19.256838469258074</v>
      </c>
      <c r="C1725">
        <f t="shared" si="106"/>
        <v>3.9459542183764849</v>
      </c>
      <c r="D1725">
        <f t="shared" si="107"/>
        <v>644.55127524536033</v>
      </c>
      <c r="R1725">
        <f t="shared" si="104"/>
        <v>1.7230000000000001</v>
      </c>
      <c r="S1725">
        <f t="shared" si="105"/>
        <v>3.9459542183764849</v>
      </c>
    </row>
    <row r="1726" spans="1:19" x14ac:dyDescent="0.3">
      <c r="A1726">
        <v>1.724</v>
      </c>
      <c r="B1726">
        <f>Uo*COS(2*PI()*Wn*Sheet2!A1726) + (Vo/Wn - (Po*(w/Wn))/(K*(1-(w/Wn)^2)))*SIN(2*PI()*Wn*Sheet2!A1726) +(Po*SIN(2*PI()*w*Sheet2!A1726))/(K*(1-(w/Wn)^2))</f>
        <v>19.351314068625886</v>
      </c>
      <c r="C1726">
        <f t="shared" si="106"/>
        <v>3.9687317110788989</v>
      </c>
      <c r="D1726">
        <f t="shared" si="107"/>
        <v>648.27186123185288</v>
      </c>
      <c r="R1726">
        <f t="shared" si="104"/>
        <v>1.724</v>
      </c>
      <c r="S1726">
        <f t="shared" si="105"/>
        <v>3.9687317110788989</v>
      </c>
    </row>
    <row r="1727" spans="1:19" x14ac:dyDescent="0.3">
      <c r="A1727">
        <v>1.7250000000000001</v>
      </c>
      <c r="B1727">
        <f>Uo*COS(2*PI()*Wn*Sheet2!A1727) + (Vo/Wn - (Po*(w/Wn))/(K*(1-(w/Wn)^2)))*SIN(2*PI()*Wn*Sheet2!A1727) +(Po*SIN(2*PI()*w*Sheet2!A1727))/(K*(1-(w/Wn)^2))</f>
        <v>19.439467965353657</v>
      </c>
      <c r="C1727">
        <f t="shared" si="106"/>
        <v>3.9901727342106565</v>
      </c>
      <c r="D1727">
        <f t="shared" si="107"/>
        <v>651.77414180514995</v>
      </c>
      <c r="R1727">
        <f t="shared" si="104"/>
        <v>1.7250000000000001</v>
      </c>
      <c r="S1727">
        <f t="shared" si="105"/>
        <v>3.9901727342106565</v>
      </c>
    </row>
    <row r="1728" spans="1:19" x14ac:dyDescent="0.3">
      <c r="A1728">
        <v>1.726</v>
      </c>
      <c r="B1728">
        <f>Uo*COS(2*PI()*Wn*Sheet2!A1728) + (Vo/Wn - (Po*(w/Wn))/(K*(1-(w/Wn)^2)))*SIN(2*PI()*Wn*Sheet2!A1728) +(Po*SIN(2*PI()*w*Sheet2!A1728))/(K*(1-(w/Wn)^2))</f>
        <v>19.521271361256392</v>
      </c>
      <c r="C1728">
        <f t="shared" si="106"/>
        <v>4.0102727031556187</v>
      </c>
      <c r="D1728">
        <f t="shared" si="107"/>
        <v>655.05736809184464</v>
      </c>
      <c r="R1728">
        <f t="shared" si="104"/>
        <v>1.726</v>
      </c>
      <c r="S1728">
        <f t="shared" si="105"/>
        <v>4.0102727031556187</v>
      </c>
    </row>
    <row r="1729" spans="1:19" x14ac:dyDescent="0.3">
      <c r="A1729">
        <v>1.7270000000000001</v>
      </c>
      <c r="B1729">
        <f>Uo*COS(2*PI()*Wn*Sheet2!A1729) + (Vo/Wn - (Po*(w/Wn))/(K*(1-(w/Wn)^2)))*SIN(2*PI()*Wn*Sheet2!A1729) +(Po*SIN(2*PI()*w*Sheet2!A1729))/(K*(1-(w/Wn)^2))</f>
        <v>19.59669753273581</v>
      </c>
      <c r="C1729">
        <f t="shared" si="106"/>
        <v>4.0290274792776248</v>
      </c>
      <c r="D1729">
        <f t="shared" si="107"/>
        <v>658.12086406705998</v>
      </c>
      <c r="R1729">
        <f t="shared" ref="R1729:R1792" si="108">A1729</f>
        <v>1.7270000000000001</v>
      </c>
      <c r="S1729">
        <f t="shared" ref="S1729:S1792" si="109">C1729</f>
        <v>4.0290274792776248</v>
      </c>
    </row>
    <row r="1730" spans="1:19" x14ac:dyDescent="0.3">
      <c r="A1730">
        <v>1.728</v>
      </c>
      <c r="B1730">
        <f>Uo*COS(2*PI()*Wn*Sheet2!A1730) + (Vo/Wn - (Po*(w/Wn))/(K*(1-(w/Wn)^2)))*SIN(2*PI()*Wn*Sheet2!A1730) +(Po*SIN(2*PI()*w*Sheet2!A1730))/(K*(1-(w/Wn)^2))</f>
        <v>19.665721839510336</v>
      </c>
      <c r="C1730">
        <f t="shared" ref="C1730:C1793" si="110">EXP(-zeta*Wn*A1730*2*PI())*($H$1*COS(wnD*2*PI()*A1730) + $H$2*SIN(wnD*2*PI()*A1730)) + $H$3*SIN(w*2*PI()*A1730) + $H$4*COS(w*2*PI()*A1730)</f>
        <v>4.0464333704659152</v>
      </c>
      <c r="D1730">
        <f t="shared" ref="D1730:D1793" si="111">K*C1730</f>
        <v>660.96402664354082</v>
      </c>
      <c r="R1730">
        <f t="shared" si="108"/>
        <v>1.728</v>
      </c>
      <c r="S1730">
        <f t="shared" si="109"/>
        <v>4.0464333704659152</v>
      </c>
    </row>
    <row r="1731" spans="1:19" x14ac:dyDescent="0.3">
      <c r="A1731">
        <v>1.7290000000000001</v>
      </c>
      <c r="B1731">
        <f>Uo*COS(2*PI()*Wn*Sheet2!A1731) + (Vo/Wn - (Po*(w/Wn))/(K*(1-(w/Wn)^2)))*SIN(2*PI()*Wn*Sheet2!A1731) +(Po*SIN(2*PI()*w*Sheet2!A1731))/(K*(1-(w/Wn)^2))</f>
        <v>19.728321732664661</v>
      </c>
      <c r="C1731">
        <f t="shared" si="110"/>
        <v>4.0624871315338416</v>
      </c>
      <c r="D1731">
        <f t="shared" si="111"/>
        <v>663.58632573678108</v>
      </c>
      <c r="R1731">
        <f t="shared" si="108"/>
        <v>1.7290000000000001</v>
      </c>
      <c r="S1731">
        <f t="shared" si="109"/>
        <v>4.0624871315338416</v>
      </c>
    </row>
    <row r="1732" spans="1:19" x14ac:dyDescent="0.3">
      <c r="A1732">
        <v>1.73</v>
      </c>
      <c r="B1732">
        <f>Uo*COS(2*PI()*Wn*Sheet2!A1732) + (Vo/Wn - (Po*(w/Wn))/(K*(1-(w/Wn)^2)))*SIN(2*PI()*Wn*Sheet2!A1732) +(Po*SIN(2*PI()*w*Sheet2!A1732))/(K*(1-(w/Wn)^2))</f>
        <v>19.784476762015974</v>
      </c>
      <c r="C1732">
        <f t="shared" si="110"/>
        <v>4.0771859644709716</v>
      </c>
      <c r="D1732">
        <f t="shared" si="111"/>
        <v>665.9873043062039</v>
      </c>
      <c r="R1732">
        <f t="shared" si="108"/>
        <v>1.73</v>
      </c>
      <c r="S1732">
        <f t="shared" si="109"/>
        <v>4.0771859644709716</v>
      </c>
    </row>
    <row r="1733" spans="1:19" x14ac:dyDescent="0.3">
      <c r="A1733">
        <v>1.7310000000000001</v>
      </c>
      <c r="B1733">
        <f>Uo*COS(2*PI()*Wn*Sheet2!A1733) + (Vo/Wn - (Po*(w/Wn))/(K*(1-(w/Wn)^2)))*SIN(2*PI()*Wn*Sheet2!A1733) +(Po*SIN(2*PI()*w*Sheet2!A1733))/(K*(1-(w/Wn)^2))</f>
        <v>19.834168582794735</v>
      </c>
      <c r="C1733">
        <f t="shared" si="110"/>
        <v>4.0905275185488188</v>
      </c>
      <c r="D1733">
        <f t="shared" si="111"/>
        <v>668.16657837243201</v>
      </c>
      <c r="R1733">
        <f t="shared" si="108"/>
        <v>1.7310000000000001</v>
      </c>
      <c r="S1733">
        <f t="shared" si="109"/>
        <v>4.0905275185488188</v>
      </c>
    </row>
    <row r="1734" spans="1:19" x14ac:dyDescent="0.3">
      <c r="A1734">
        <v>1.732</v>
      </c>
      <c r="B1734">
        <f>Uo*COS(2*PI()*Wn*Sheet2!A1734) + (Vo/Wn - (Po*(w/Wn))/(K*(1-(w/Wn)^2)))*SIN(2*PI()*Wn*Sheet2!A1734) +(Po*SIN(2*PI()*w*Sheet2!A1734))/(K*(1-(w/Wn)^2))</f>
        <v>19.877380961637463</v>
      </c>
      <c r="C1734">
        <f t="shared" si="110"/>
        <v>4.1025098902803521</v>
      </c>
      <c r="D1734">
        <f t="shared" si="111"/>
        <v>670.1238370106737</v>
      </c>
      <c r="R1734">
        <f t="shared" si="108"/>
        <v>1.732</v>
      </c>
      <c r="S1734">
        <f t="shared" si="109"/>
        <v>4.1025098902803521</v>
      </c>
    </row>
    <row r="1735" spans="1:19" x14ac:dyDescent="0.3">
      <c r="A1735">
        <v>1.7330000000000001</v>
      </c>
      <c r="B1735">
        <f>Uo*COS(2*PI()*Wn*Sheet2!A1735) + (Vo/Wn - (Po*(w/Wn))/(K*(1-(w/Wn)^2)))*SIN(2*PI()*Wn*Sheet2!A1735) +(Po*SIN(2*PI()*w*Sheet2!A1735))/(K*(1-(w/Wn)^2))</f>
        <v>19.914099781889977</v>
      </c>
      <c r="C1735">
        <f t="shared" si="110"/>
        <v>4.113131623233655</v>
      </c>
      <c r="D1735">
        <f t="shared" si="111"/>
        <v>671.85884232028525</v>
      </c>
      <c r="R1735">
        <f t="shared" si="108"/>
        <v>1.7330000000000001</v>
      </c>
      <c r="S1735">
        <f t="shared" si="109"/>
        <v>4.113131623233655</v>
      </c>
    </row>
    <row r="1736" spans="1:19" x14ac:dyDescent="0.3">
      <c r="A1736">
        <v>1.734</v>
      </c>
      <c r="B1736">
        <f>Uo*COS(2*PI()*Wn*Sheet2!A1736) + (Vo/Wn - (Po*(w/Wn))/(K*(1-(w/Wn)^2)))*SIN(2*PI()*Wn*Sheet2!A1736) +(Po*SIN(2*PI()*w*Sheet2!A1736))/(K*(1-(w/Wn)^2))</f>
        <v>19.944313048218895</v>
      </c>
      <c r="C1736">
        <f t="shared" si="110"/>
        <v>4.1223917076999488</v>
      </c>
      <c r="D1736">
        <f t="shared" si="111"/>
        <v>673.37142937054375</v>
      </c>
      <c r="R1736">
        <f t="shared" si="108"/>
        <v>1.734</v>
      </c>
      <c r="S1736">
        <f t="shared" si="109"/>
        <v>4.1223917076999488</v>
      </c>
    </row>
    <row r="1737" spans="1:19" x14ac:dyDescent="0.3">
      <c r="A1737">
        <v>1.7350000000000001</v>
      </c>
      <c r="B1737">
        <f>Uo*COS(2*PI()*Wn*Sheet2!A1737) + (Vo/Wn - (Po*(w/Wn))/(K*(1-(w/Wn)^2)))*SIN(2*PI()*Wn*Sheet2!A1737) +(Po*SIN(2*PI()*w*Sheet2!A1737))/(K*(1-(w/Wn)^2))</f>
        <v>19.968010890530415</v>
      </c>
      <c r="C1737">
        <f t="shared" si="110"/>
        <v>4.1302895802164752</v>
      </c>
      <c r="D1737">
        <f t="shared" si="111"/>
        <v>674.66150612271326</v>
      </c>
      <c r="R1737">
        <f t="shared" si="108"/>
        <v>1.7350000000000001</v>
      </c>
      <c r="S1737">
        <f t="shared" si="109"/>
        <v>4.1302895802164752</v>
      </c>
    </row>
    <row r="1738" spans="1:19" x14ac:dyDescent="0.3">
      <c r="A1738">
        <v>1.736</v>
      </c>
      <c r="B1738">
        <f>Uo*COS(2*PI()*Wn*Sheet2!A1738) + (Vo/Wn - (Po*(w/Wn))/(K*(1-(w/Wn)^2)))*SIN(2*PI()*Wn*Sheet2!A1738) +(Po*SIN(2*PI()*w*Sheet2!A1738))/(K*(1-(w/Wn)^2))</f>
        <v>19.985185567194577</v>
      </c>
      <c r="C1738">
        <f t="shared" si="110"/>
        <v>4.1368251229445319</v>
      </c>
      <c r="D1738">
        <f t="shared" si="111"/>
        <v>675.72905332844903</v>
      </c>
      <c r="R1738">
        <f t="shared" si="108"/>
        <v>1.736</v>
      </c>
      <c r="S1738">
        <f t="shared" si="109"/>
        <v>4.1368251229445319</v>
      </c>
    </row>
    <row r="1739" spans="1:19" x14ac:dyDescent="0.3">
      <c r="A1739">
        <v>1.7370000000000001</v>
      </c>
      <c r="B1739">
        <f>Uo*COS(2*PI()*Wn*Sheet2!A1739) + (Vo/Wn - (Po*(w/Wn))/(K*(1-(w/Wn)^2)))*SIN(2*PI()*Wn*Sheet2!A1739) +(Po*SIN(2*PI()*w*Sheet2!A1739))/(K*(1-(w/Wn)^2))</f>
        <v>19.995831467574405</v>
      </c>
      <c r="C1739">
        <f t="shared" si="110"/>
        <v>4.141998662903247</v>
      </c>
      <c r="D1739">
        <f t="shared" si="111"/>
        <v>676.57412440463975</v>
      </c>
      <c r="R1739">
        <f t="shared" si="108"/>
        <v>1.7370000000000001</v>
      </c>
      <c r="S1739">
        <f t="shared" si="109"/>
        <v>4.141998662903247</v>
      </c>
    </row>
    <row r="1740" spans="1:19" x14ac:dyDescent="0.3">
      <c r="A1740">
        <v>1.738</v>
      </c>
      <c r="B1740">
        <f>Uo*COS(2*PI()*Wn*Sheet2!A1740) + (Vo/Wn - (Po*(w/Wn))/(K*(1-(w/Wn)^2)))*SIN(2*PI()*Wn*Sheet2!A1740) +(Po*SIN(2*PI()*w*Sheet2!A1740))/(K*(1-(w/Wn)^2))</f>
        <v>19.999945113858686</v>
      </c>
      <c r="C1740">
        <f t="shared" si="110"/>
        <v>4.1458109710594782</v>
      </c>
      <c r="D1740">
        <f t="shared" si="111"/>
        <v>677.19684528474625</v>
      </c>
      <c r="R1740">
        <f t="shared" si="108"/>
        <v>1.738</v>
      </c>
      <c r="S1740">
        <f t="shared" si="109"/>
        <v>4.1458109710594782</v>
      </c>
    </row>
    <row r="1741" spans="1:19" x14ac:dyDescent="0.3">
      <c r="A1741">
        <v>1.7390000000000001</v>
      </c>
      <c r="B1741">
        <f>Uo*COS(2*PI()*Wn*Sheet2!A1741) + (Vo/Wn - (Po*(w/Wn))/(K*(1-(w/Wn)^2)))*SIN(2*PI()*Wn*Sheet2!A1741) +(Po*SIN(2*PI()*w*Sheet2!A1741))/(K*(1-(w/Wn)^2))</f>
        <v>19.997525162198205</v>
      </c>
      <c r="C1741">
        <f t="shared" si="110"/>
        <v>4.1482632612745123</v>
      </c>
      <c r="D1741">
        <f t="shared" si="111"/>
        <v>677.59741424675065</v>
      </c>
      <c r="R1741">
        <f t="shared" si="108"/>
        <v>1.7390000000000001</v>
      </c>
      <c r="S1741">
        <f t="shared" si="109"/>
        <v>4.1482632612745123</v>
      </c>
    </row>
    <row r="1742" spans="1:19" x14ac:dyDescent="0.3">
      <c r="A1742">
        <v>1.74</v>
      </c>
      <c r="B1742">
        <f>Uo*COS(2*PI()*Wn*Sheet2!A1742) + (Vo/Wn - (Po*(w/Wn))/(K*(1-(w/Wn)^2)))*SIN(2*PI()*Wn*Sheet2!A1742) +(Po*SIN(2*PI()*w*Sheet2!A1742))/(K*(1-(w/Wn)^2))</f>
        <v>19.988572403144683</v>
      </c>
      <c r="C1742">
        <f t="shared" si="110"/>
        <v>4.1493571891080778</v>
      </c>
      <c r="D1742">
        <f t="shared" si="111"/>
        <v>677.77610171779816</v>
      </c>
      <c r="R1742">
        <f t="shared" si="108"/>
        <v>1.74</v>
      </c>
      <c r="S1742">
        <f t="shared" si="109"/>
        <v>4.1493571891080778</v>
      </c>
    </row>
    <row r="1743" spans="1:19" x14ac:dyDescent="0.3">
      <c r="A1743">
        <v>1.7410000000000001</v>
      </c>
      <c r="B1743">
        <f>Uo*COS(2*PI()*Wn*Sheet2!A1743) + (Vo/Wn - (Po*(w/Wn))/(K*(1-(w/Wn)^2)))*SIN(2*PI()*Wn*Sheet2!A1743) +(Po*SIN(2*PI()*w*Sheet2!A1743))/(K*(1-(w/Wn)^2))</f>
        <v>19.973089761392554</v>
      </c>
      <c r="C1743">
        <f t="shared" si="110"/>
        <v>4.1490948504803651</v>
      </c>
      <c r="D1743">
        <f t="shared" si="111"/>
        <v>677.73325005564482</v>
      </c>
      <c r="R1743">
        <f t="shared" si="108"/>
        <v>1.7410000000000001</v>
      </c>
      <c r="S1743">
        <f t="shared" si="109"/>
        <v>4.1490948504803651</v>
      </c>
    </row>
    <row r="1744" spans="1:19" x14ac:dyDescent="0.3">
      <c r="A1744">
        <v>1.742</v>
      </c>
      <c r="B1744">
        <f>Uo*COS(2*PI()*Wn*Sheet2!A1744) + (Vo/Wn - (Po*(w/Wn))/(K*(1-(w/Wn)^2)))*SIN(2*PI()*Wn*Sheet2!A1744) +(Po*SIN(2*PI()*w*Sheet2!A1744))/(K*(1-(w/Wn)^2))</f>
        <v>19.951082294823514</v>
      </c>
      <c r="C1744">
        <f t="shared" si="110"/>
        <v>4.1474787801927411</v>
      </c>
      <c r="D1744">
        <f t="shared" si="111"/>
        <v>677.46927330702385</v>
      </c>
      <c r="R1744">
        <f t="shared" si="108"/>
        <v>1.742</v>
      </c>
      <c r="S1744">
        <f t="shared" si="109"/>
        <v>4.1474787801927411</v>
      </c>
    </row>
    <row r="1745" spans="1:19" x14ac:dyDescent="0.3">
      <c r="A1745">
        <v>1.7430000000000001</v>
      </c>
      <c r="B1745">
        <f>Uo*COS(2*PI()*Wn*Sheet2!A1745) + (Vo/Wn - (Po*(w/Wn))/(K*(1-(w/Wn)^2)))*SIN(2*PI()*Wn*Sheet2!A1745) +(Po*SIN(2*PI()*w*Sheet2!A1745))/(K*(1-(w/Wn)^2))</f>
        <v>19.92255719285421</v>
      </c>
      <c r="C1745">
        <f t="shared" si="110"/>
        <v>4.1445119503078738</v>
      </c>
      <c r="D1745">
        <f t="shared" si="111"/>
        <v>676.98465694304741</v>
      </c>
      <c r="R1745">
        <f t="shared" si="108"/>
        <v>1.7430000000000001</v>
      </c>
      <c r="S1745">
        <f t="shared" si="109"/>
        <v>4.1445119503078738</v>
      </c>
    </row>
    <row r="1746" spans="1:19" x14ac:dyDescent="0.3">
      <c r="A1746">
        <v>1.744</v>
      </c>
      <c r="B1746">
        <f>Uo*COS(2*PI()*Wn*Sheet2!A1746) + (Vo/Wn - (Po*(w/Wn))/(K*(1-(w/Wn)^2)))*SIN(2*PI()*Wn*Sheet2!A1746) +(Po*SIN(2*PI()*w*Sheet2!A1746))/(K*(1-(w/Wn)^2))</f>
        <v>19.887523774087612</v>
      </c>
      <c r="C1746">
        <f t="shared" si="110"/>
        <v>4.140197768390089</v>
      </c>
      <c r="D1746">
        <f t="shared" si="111"/>
        <v>676.2799575717778</v>
      </c>
      <c r="R1746">
        <f t="shared" si="108"/>
        <v>1.744</v>
      </c>
      <c r="S1746">
        <f t="shared" si="109"/>
        <v>4.140197768390089</v>
      </c>
    </row>
    <row r="1747" spans="1:19" x14ac:dyDescent="0.3">
      <c r="A1747">
        <v>1.7450000000000001</v>
      </c>
      <c r="B1747">
        <f>Uo*COS(2*PI()*Wn*Sheet2!A1747) + (Vo/Wn - (Po*(w/Wn))/(K*(1-(w/Wn)^2)))*SIN(2*PI()*Wn*Sheet2!A1747) +(Po*SIN(2*PI()*w*Sheet2!A1747))/(K*(1-(w/Wn)^2))</f>
        <v>19.845993483268742</v>
      </c>
      <c r="C1747">
        <f t="shared" si="110"/>
        <v>4.1345400756067416</v>
      </c>
      <c r="D1747">
        <f t="shared" si="111"/>
        <v>675.3558026280964</v>
      </c>
      <c r="R1747">
        <f t="shared" si="108"/>
        <v>1.7450000000000001</v>
      </c>
      <c r="S1747">
        <f t="shared" si="109"/>
        <v>4.1345400756067416</v>
      </c>
    </row>
    <row r="1748" spans="1:19" x14ac:dyDescent="0.3">
      <c r="A1748">
        <v>1.746</v>
      </c>
      <c r="B1748">
        <f>Uo*COS(2*PI()*Wn*Sheet2!A1748) + (Vo/Wn - (Po*(w/Wn))/(K*(1-(w/Wn)^2)))*SIN(2*PI()*Wn*Sheet2!A1748) +(Po*SIN(2*PI()*w*Sheet2!A1748))/(K*(1-(w/Wn)^2))</f>
        <v>19.797979887545988</v>
      </c>
      <c r="C1748">
        <f t="shared" si="110"/>
        <v>4.1275431446915034</v>
      </c>
      <c r="D1748">
        <f t="shared" si="111"/>
        <v>674.2128900410172</v>
      </c>
      <c r="R1748">
        <f t="shared" si="108"/>
        <v>1.746</v>
      </c>
      <c r="S1748">
        <f t="shared" si="109"/>
        <v>4.1275431446915034</v>
      </c>
    </row>
    <row r="1749" spans="1:19" x14ac:dyDescent="0.3">
      <c r="A1749">
        <v>1.7470000000000001</v>
      </c>
      <c r="B1749">
        <f>Uo*COS(2*PI()*Wn*Sheet2!A1749) + (Vo/Wn - (Po*(w/Wn))/(K*(1-(w/Wn)^2)))*SIN(2*PI()*Wn*Sheet2!A1749) +(Po*SIN(2*PI()*w*Sheet2!A1749))/(K*(1-(w/Wn)^2))</f>
        <v>19.7434986720389</v>
      </c>
      <c r="C1749">
        <f t="shared" si="110"/>
        <v>4.1192116777704779</v>
      </c>
      <c r="D1749">
        <f t="shared" si="111"/>
        <v>672.85198787859406</v>
      </c>
      <c r="R1749">
        <f t="shared" si="108"/>
        <v>1.7470000000000001</v>
      </c>
      <c r="S1749">
        <f t="shared" si="109"/>
        <v>4.1192116777704779</v>
      </c>
    </row>
    <row r="1750" spans="1:19" x14ac:dyDescent="0.3">
      <c r="A1750">
        <v>1.748</v>
      </c>
      <c r="B1750">
        <f>Uo*COS(2*PI()*Wn*Sheet2!A1750) + (Vo/Wn - (Po*(w/Wn))/(K*(1-(w/Wn)^2)))*SIN(2*PI()*Wn*Sheet2!A1750) +(Po*SIN(2*PI()*w*Sheet2!A1750))/(K*(1-(w/Wn)^2))</f>
        <v>19.682567634714236</v>
      </c>
      <c r="C1750">
        <f t="shared" si="110"/>
        <v>4.1095508040520849</v>
      </c>
      <c r="D1750">
        <f t="shared" si="111"/>
        <v>671.27393397057472</v>
      </c>
      <c r="R1750">
        <f t="shared" si="108"/>
        <v>1.748</v>
      </c>
      <c r="S1750">
        <f t="shared" si="109"/>
        <v>4.1095508040520849</v>
      </c>
    </row>
    <row r="1751" spans="1:19" x14ac:dyDescent="0.3">
      <c r="A1751">
        <v>1.7490000000000001</v>
      </c>
      <c r="B1751">
        <f>Uo*COS(2*PI()*Wn*Sheet2!A1751) + (Vo/Wn - (Po*(w/Wn))/(K*(1-(w/Wn)^2)))*SIN(2*PI()*Wn*Sheet2!A1751) +(Po*SIN(2*PI()*w*Sheet2!A1751))/(K*(1-(w/Wn)^2))</f>
        <v>19.615206680571578</v>
      </c>
      <c r="C1751">
        <f t="shared" si="110"/>
        <v>4.0985660773817107</v>
      </c>
      <c r="D1751">
        <f t="shared" si="111"/>
        <v>669.47963550896588</v>
      </c>
      <c r="R1751">
        <f t="shared" si="108"/>
        <v>1.7490000000000001</v>
      </c>
      <c r="S1751">
        <f t="shared" si="109"/>
        <v>4.0985660773817107</v>
      </c>
    </row>
    <row r="1752" spans="1:19" x14ac:dyDescent="0.3">
      <c r="A1752">
        <v>1.75</v>
      </c>
      <c r="B1752">
        <f>Uo*COS(2*PI()*Wn*Sheet2!A1752) + (Vo/Wn - (Po*(w/Wn))/(K*(1-(w/Wn)^2)))*SIN(2*PI()*Wn*Sheet2!A1752) +(Po*SIN(2*PI()*w*Sheet2!A1752))/(K*(1-(w/Wn)^2))</f>
        <v>19.541437815140942</v>
      </c>
      <c r="C1752">
        <f t="shared" si="110"/>
        <v>4.0862634736622141</v>
      </c>
      <c r="D1752">
        <f t="shared" si="111"/>
        <v>667.47006862668661</v>
      </c>
      <c r="R1752">
        <f t="shared" si="108"/>
        <v>1.75</v>
      </c>
      <c r="S1752">
        <f t="shared" si="109"/>
        <v>4.0862634736622141</v>
      </c>
    </row>
    <row r="1753" spans="1:19" x14ac:dyDescent="0.3">
      <c r="A1753">
        <v>1.7509999999999999</v>
      </c>
      <c r="B1753">
        <f>Uo*COS(2*PI()*Wn*Sheet2!A1753) + (Vo/Wn - (Po*(w/Wn))/(K*(1-(w/Wn)^2)))*SIN(2*PI()*Wn*Sheet2!A1753) +(Po*SIN(2*PI()*w*Sheet2!A1753))/(K*(1-(w/Wn)^2))</f>
        <v>19.461285137293821</v>
      </c>
      <c r="C1753">
        <f t="shared" si="110"/>
        <v>4.0726493881413015</v>
      </c>
      <c r="D1753">
        <f t="shared" si="111"/>
        <v>665.24627795447395</v>
      </c>
      <c r="R1753">
        <f t="shared" si="108"/>
        <v>1.7509999999999999</v>
      </c>
      <c r="S1753">
        <f t="shared" si="109"/>
        <v>4.0726493881413015</v>
      </c>
    </row>
    <row r="1754" spans="1:19" x14ac:dyDescent="0.3">
      <c r="A1754">
        <v>1.752</v>
      </c>
      <c r="B1754">
        <f>Uo*COS(2*PI()*Wn*Sheet2!A1754) + (Vo/Wn - (Po*(w/Wn))/(K*(1-(w/Wn)^2)))*SIN(2*PI()*Wn*Sheet2!A1754) +(Po*SIN(2*PI()*w*Sheet2!A1754))/(K*(1-(w/Wn)^2))</f>
        <v>19.374774831370619</v>
      </c>
      <c r="C1754">
        <f t="shared" si="110"/>
        <v>4.0577306325669511</v>
      </c>
      <c r="D1754">
        <f t="shared" si="111"/>
        <v>662.80937615623725</v>
      </c>
      <c r="R1754">
        <f t="shared" si="108"/>
        <v>1.752</v>
      </c>
      <c r="S1754">
        <f t="shared" si="109"/>
        <v>4.0577306325669511</v>
      </c>
    </row>
    <row r="1755" spans="1:19" x14ac:dyDescent="0.3">
      <c r="A1755">
        <v>1.7529999999999999</v>
      </c>
      <c r="B1755">
        <f>Uo*COS(2*PI()*Wn*Sheet2!A1755) + (Vo/Wn - (Po*(w/Wn))/(K*(1-(w/Wn)^2)))*SIN(2*PI()*Wn*Sheet2!A1755) +(Po*SIN(2*PI()*w*Sheet2!A1755))/(K*(1-(w/Wn)^2))</f>
        <v>19.281935158626801</v>
      </c>
      <c r="C1755">
        <f t="shared" si="110"/>
        <v>4.0415144322120335</v>
      </c>
      <c r="D1755">
        <f t="shared" si="111"/>
        <v>660.16054344304462</v>
      </c>
      <c r="R1755">
        <f t="shared" si="108"/>
        <v>1.7529999999999999</v>
      </c>
      <c r="S1755">
        <f t="shared" si="109"/>
        <v>4.0415144322120335</v>
      </c>
    </row>
    <row r="1756" spans="1:19" x14ac:dyDescent="0.3">
      <c r="A1756">
        <v>1.754</v>
      </c>
      <c r="B1756">
        <f>Uo*COS(2*PI()*Wn*Sheet2!A1756) + (Vo/Wn - (Po*(w/Wn))/(K*(1-(w/Wn)^2)))*SIN(2*PI()*Wn*Sheet2!A1756) +(Po*SIN(2*PI()*w*Sheet2!A1756))/(K*(1-(w/Wn)^2))</f>
        <v>19.182796448000271</v>
      </c>
      <c r="C1756">
        <f t="shared" si="110"/>
        <v>4.0240084227693149</v>
      </c>
      <c r="D1756">
        <f t="shared" si="111"/>
        <v>657.30102706593766</v>
      </c>
      <c r="R1756">
        <f t="shared" si="108"/>
        <v>1.754</v>
      </c>
      <c r="S1756">
        <f t="shared" si="109"/>
        <v>4.0240084227693149</v>
      </c>
    </row>
    <row r="1757" spans="1:19" x14ac:dyDescent="0.3">
      <c r="A1757">
        <v>1.7549999999999999</v>
      </c>
      <c r="B1757">
        <f>Uo*COS(2*PI()*Wn*Sheet2!A1757) + (Vo/Wn - (Po*(w/Wn))/(K*(1-(w/Wn)^2)))*SIN(2*PI()*Wn*Sheet2!A1757) +(Po*SIN(2*PI()*w*Sheet2!A1757))/(K*(1-(w/Wn)^2))</f>
        <v>19.077391086203765</v>
      </c>
      <c r="C1757">
        <f t="shared" si="110"/>
        <v>4.0052206471181631</v>
      </c>
      <c r="D1757">
        <f t="shared" si="111"/>
        <v>654.23214078779017</v>
      </c>
      <c r="R1757">
        <f t="shared" si="108"/>
        <v>1.7549999999999999</v>
      </c>
      <c r="S1757">
        <f t="shared" si="109"/>
        <v>4.0052206471181631</v>
      </c>
    </row>
    <row r="1758" spans="1:19" x14ac:dyDescent="0.3">
      <c r="A1758">
        <v>1.756</v>
      </c>
      <c r="B1758">
        <f>Uo*COS(2*PI()*Wn*Sheet2!A1758) + (Vo/Wn - (Po*(w/Wn))/(K*(1-(w/Wn)^2)))*SIN(2*PI()*Wn*Sheet2!A1758) +(Po*SIN(2*PI()*w*Sheet2!A1758))/(K*(1-(w/Wn)^2))</f>
        <v>18.965753507144502</v>
      </c>
      <c r="C1758">
        <f t="shared" si="110"/>
        <v>3.9851595519641183</v>
      </c>
      <c r="D1758">
        <f t="shared" si="111"/>
        <v>650.95526433439886</v>
      </c>
      <c r="R1758">
        <f t="shared" si="108"/>
        <v>1.756</v>
      </c>
      <c r="S1758">
        <f t="shared" si="109"/>
        <v>3.9851595519641183</v>
      </c>
    </row>
    <row r="1759" spans="1:19" x14ac:dyDescent="0.3">
      <c r="A1759">
        <v>1.7569999999999999</v>
      </c>
      <c r="B1759">
        <f>Uo*COS(2*PI()*Wn*Sheet2!A1759) + (Vo/Wn - (Po*(w/Wn))/(K*(1-(w/Wn)^2)))*SIN(2*PI()*Wn*Sheet2!A1759) +(Po*SIN(2*PI()*w*Sheet2!A1759))/(K*(1-(w/Wn)^2))</f>
        <v>18.847920180675487</v>
      </c>
      <c r="C1759">
        <f t="shared" si="110"/>
        <v>3.963833984352815</v>
      </c>
      <c r="D1759">
        <f t="shared" si="111"/>
        <v>647.47184282505054</v>
      </c>
      <c r="R1759">
        <f t="shared" si="108"/>
        <v>1.7569999999999999</v>
      </c>
      <c r="S1759">
        <f t="shared" si="109"/>
        <v>3.963833984352815</v>
      </c>
    </row>
    <row r="1760" spans="1:19" x14ac:dyDescent="0.3">
      <c r="A1760">
        <v>1.758</v>
      </c>
      <c r="B1760">
        <f>Uo*COS(2*PI()*Wn*Sheet2!A1760) + (Vo/Wn - (Po*(w/Wn))/(K*(1-(w/Wn)^2)))*SIN(2*PI()*Wn*Sheet2!A1760) +(Po*SIN(2*PI()*w*Sheet2!A1760))/(K*(1-(w/Wn)^2))</f>
        <v>18.723929600681252</v>
      </c>
      <c r="C1760">
        <f t="shared" si="110"/>
        <v>3.9412531880594366</v>
      </c>
      <c r="D1760">
        <f t="shared" si="111"/>
        <v>643.78338618275802</v>
      </c>
      <c r="R1760">
        <f t="shared" si="108"/>
        <v>1.758</v>
      </c>
      <c r="S1760">
        <f t="shared" si="109"/>
        <v>3.9412531880594366</v>
      </c>
    </row>
    <row r="1761" spans="1:19" x14ac:dyDescent="0.3">
      <c r="A1761">
        <v>1.7589999999999999</v>
      </c>
      <c r="B1761">
        <f>Uo*COS(2*PI()*Wn*Sheet2!A1761) + (Vo/Wn - (Po*(w/Wn))/(K*(1-(w/Wn)^2)))*SIN(2*PI()*Wn*Sheet2!A1761) +(Po*SIN(2*PI()*w*Sheet2!A1761))/(K*(1-(w/Wn)^2))</f>
        <v>18.593822272502951</v>
      </c>
      <c r="C1761">
        <f t="shared" si="110"/>
        <v>3.9174267998553103</v>
      </c>
      <c r="D1761">
        <f t="shared" si="111"/>
        <v>639.89146852442821</v>
      </c>
      <c r="R1761">
        <f t="shared" si="108"/>
        <v>1.7589999999999999</v>
      </c>
      <c r="S1761">
        <f t="shared" si="109"/>
        <v>3.9174267998553103</v>
      </c>
    </row>
    <row r="1762" spans="1:19" x14ac:dyDescent="0.3">
      <c r="A1762">
        <v>1.76</v>
      </c>
      <c r="B1762">
        <f>Uo*COS(2*PI()*Wn*Sheet2!A1762) + (Vo/Wn - (Po*(w/Wn))/(K*(1-(w/Wn)^2)))*SIN(2*PI()*Wn*Sheet2!A1762) +(Po*SIN(2*PI()*w*Sheet2!A1762))/(K*(1-(w/Wn)^2))</f>
        <v>18.457640699705781</v>
      </c>
      <c r="C1762">
        <f t="shared" si="110"/>
        <v>3.8923648456528763</v>
      </c>
      <c r="D1762">
        <f t="shared" si="111"/>
        <v>635.79772753116197</v>
      </c>
      <c r="R1762">
        <f t="shared" si="108"/>
        <v>1.76</v>
      </c>
      <c r="S1762">
        <f t="shared" si="109"/>
        <v>3.8923648456528763</v>
      </c>
    </row>
    <row r="1763" spans="1:19" x14ac:dyDescent="0.3">
      <c r="A1763">
        <v>1.7609999999999999</v>
      </c>
      <c r="B1763">
        <f>Uo*COS(2*PI()*Wn*Sheet2!A1763) + (Vo/Wn - (Po*(w/Wn))/(K*(1-(w/Wn)^2)))*SIN(2*PI()*Wn*Sheet2!A1763) +(Po*SIN(2*PI()*w*Sheet2!A1763))/(K*(1-(w/Wn)^2))</f>
        <v>18.315429370194121</v>
      </c>
      <c r="C1763">
        <f t="shared" si="110"/>
        <v>3.86607773653069</v>
      </c>
      <c r="D1763">
        <f t="shared" si="111"/>
        <v>631.50386379895917</v>
      </c>
      <c r="R1763">
        <f t="shared" si="108"/>
        <v>1.7609999999999999</v>
      </c>
      <c r="S1763">
        <f t="shared" si="109"/>
        <v>3.86607773653069</v>
      </c>
    </row>
    <row r="1764" spans="1:19" x14ac:dyDescent="0.3">
      <c r="A1764">
        <v>1.762</v>
      </c>
      <c r="B1764">
        <f>Uo*COS(2*PI()*Wn*Sheet2!A1764) + (Vo/Wn - (Po*(w/Wn))/(K*(1-(w/Wn)^2)))*SIN(2*PI()*Wn*Sheet2!A1764) +(Po*SIN(2*PI()*w*Sheet2!A1764))/(K*(1-(w/Wn)^2))</f>
        <v>18.167234741677859</v>
      </c>
      <c r="C1764">
        <f t="shared" si="110"/>
        <v>3.8385762646398036</v>
      </c>
      <c r="D1764">
        <f t="shared" si="111"/>
        <v>627.01164017004737</v>
      </c>
      <c r="R1764">
        <f t="shared" si="108"/>
        <v>1.762</v>
      </c>
      <c r="S1764">
        <f t="shared" si="109"/>
        <v>3.8385762646398036</v>
      </c>
    </row>
    <row r="1765" spans="1:19" x14ac:dyDescent="0.3">
      <c r="A1765">
        <v>1.7629999999999999</v>
      </c>
      <c r="B1765">
        <f>Uo*COS(2*PI()*Wn*Sheet2!A1765) + (Vo/Wn - (Po*(w/Wn))/(K*(1-(w/Wn)^2)))*SIN(2*PI()*Wn*Sheet2!A1765) +(Po*SIN(2*PI()*w*Sheet2!A1765))/(K*(1-(w/Wn)^2))</f>
        <v>18.013105226495959</v>
      </c>
      <c r="C1765">
        <f t="shared" si="110"/>
        <v>3.8098715989932757</v>
      </c>
      <c r="D1765">
        <f t="shared" si="111"/>
        <v>622.32288104511929</v>
      </c>
      <c r="R1765">
        <f t="shared" si="108"/>
        <v>1.7629999999999999</v>
      </c>
      <c r="S1765">
        <f t="shared" si="109"/>
        <v>3.8098715989932757</v>
      </c>
    </row>
    <row r="1766" spans="1:19" x14ac:dyDescent="0.3">
      <c r="A1766">
        <v>1.764</v>
      </c>
      <c r="B1766">
        <f>Uo*COS(2*PI()*Wn*Sheet2!A1766) + (Vo/Wn - (Po*(w/Wn))/(K*(1-(w/Wn)^2)))*SIN(2*PI()*Wn*Sheet2!A1766) +(Po*SIN(2*PI()*w*Sheet2!A1766))/(K*(1-(w/Wn)^2))</f>
        <v>17.853091175800717</v>
      </c>
      <c r="C1766">
        <f t="shared" si="110"/>
        <v>3.7799752811401564</v>
      </c>
      <c r="D1766">
        <f t="shared" si="111"/>
        <v>617.43947167670115</v>
      </c>
      <c r="R1766">
        <f t="shared" si="108"/>
        <v>1.764</v>
      </c>
      <c r="S1766">
        <f t="shared" si="109"/>
        <v>3.7799752811401564</v>
      </c>
    </row>
    <row r="1767" spans="1:19" x14ac:dyDescent="0.3">
      <c r="A1767">
        <v>1.7649999999999999</v>
      </c>
      <c r="B1767">
        <f>Uo*COS(2*PI()*Wn*Sheet2!A1767) + (Vo/Wn - (Po*(w/Wn))/(K*(1-(w/Wn)^2)))*SIN(2*PI()*Wn*Sheet2!A1767) +(Po*SIN(2*PI()*w*Sheet2!A1767))/(K*(1-(w/Wn)^2))</f>
        <v>17.687244863109321</v>
      </c>
      <c r="C1767">
        <f t="shared" si="110"/>
        <v>3.7488992207258138</v>
      </c>
      <c r="D1767">
        <f t="shared" si="111"/>
        <v>612.36335744395478</v>
      </c>
      <c r="R1767">
        <f t="shared" si="108"/>
        <v>1.7649999999999999</v>
      </c>
      <c r="S1767">
        <f t="shared" si="109"/>
        <v>3.7488992207258138</v>
      </c>
    </row>
    <row r="1768" spans="1:19" x14ac:dyDescent="0.3">
      <c r="A1768">
        <v>1.766</v>
      </c>
      <c r="B1768">
        <f>Uo*COS(2*PI()*Wn*Sheet2!A1768) + (Vo/Wn - (Po*(w/Wn))/(K*(1-(w/Wn)^2)))*SIN(2*PI()*Wn*Sheet2!A1768) +(Po*SIN(2*PI()*w*Sheet2!A1768))/(K*(1-(w/Wn)^2))</f>
        <v>17.515620467226714</v>
      </c>
      <c r="C1768">
        <f t="shared" si="110"/>
        <v>3.7166556909400077</v>
      </c>
      <c r="D1768">
        <f t="shared" si="111"/>
        <v>607.09654310914379</v>
      </c>
      <c r="R1768">
        <f t="shared" si="108"/>
        <v>1.766</v>
      </c>
      <c r="S1768">
        <f t="shared" si="109"/>
        <v>3.7166556909400077</v>
      </c>
    </row>
    <row r="1769" spans="1:19" x14ac:dyDescent="0.3">
      <c r="A1769">
        <v>1.7669999999999999</v>
      </c>
      <c r="B1769">
        <f>Uo*COS(2*PI()*Wn*Sheet2!A1769) + (Vo/Wn - (Po*(w/Wn))/(K*(1-(w/Wn)^2)))*SIN(2*PI()*Wn*Sheet2!A1769) +(Po*SIN(2*PI()*w*Sheet2!A1769))/(K*(1-(w/Wn)^2))</f>
        <v>17.338274054546869</v>
      </c>
      <c r="C1769">
        <f t="shared" si="110"/>
        <v>3.6832573238546842</v>
      </c>
      <c r="D1769">
        <f t="shared" si="111"/>
        <v>601.64109205608656</v>
      </c>
      <c r="R1769">
        <f t="shared" si="108"/>
        <v>1.7669999999999999</v>
      </c>
      <c r="S1769">
        <f t="shared" si="109"/>
        <v>3.6832573238546842</v>
      </c>
    </row>
    <row r="1770" spans="1:19" x14ac:dyDescent="0.3">
      <c r="A1770">
        <v>1.768</v>
      </c>
      <c r="B1770">
        <f>Uo*COS(2*PI()*Wn*Sheet2!A1770) + (Vo/Wn - (Po*(w/Wn))/(K*(1-(w/Wn)^2)))*SIN(2*PI()*Wn*Sheet2!A1770) +(Po*SIN(2*PI()*w*Sheet2!A1770))/(K*(1-(w/Wn)^2))</f>
        <v>17.155263560736579</v>
      </c>
      <c r="C1770">
        <f t="shared" si="110"/>
        <v>3.6487171056528931</v>
      </c>
      <c r="D1770">
        <f t="shared" si="111"/>
        <v>595.999125510824</v>
      </c>
      <c r="R1770">
        <f t="shared" si="108"/>
        <v>1.768</v>
      </c>
      <c r="S1770">
        <f t="shared" si="109"/>
        <v>3.6487171056528931</v>
      </c>
    </row>
    <row r="1771" spans="1:19" x14ac:dyDescent="0.3">
      <c r="A1771">
        <v>1.7689999999999999</v>
      </c>
      <c r="B1771">
        <f>Uo*COS(2*PI()*Wn*Sheet2!A1771) + (Vo/Wn - (Po*(w/Wn))/(K*(1-(w/Wn)^2)))*SIN(2*PI()*Wn*Sheet2!A1771) +(Po*SIN(2*PI()*w*Sheet2!A1771))/(K*(1-(w/Wn)^2))</f>
        <v>16.966648771809336</v>
      </c>
      <c r="C1771">
        <f t="shared" si="110"/>
        <v>3.6130483717508834</v>
      </c>
      <c r="D1771">
        <f t="shared" si="111"/>
        <v>590.17282174484001</v>
      </c>
      <c r="R1771">
        <f t="shared" si="108"/>
        <v>1.7689999999999999</v>
      </c>
      <c r="S1771">
        <f t="shared" si="109"/>
        <v>3.6130483717508834</v>
      </c>
    </row>
    <row r="1772" spans="1:19" x14ac:dyDescent="0.3">
      <c r="A1772">
        <v>1.77</v>
      </c>
      <c r="B1772">
        <f>Uo*COS(2*PI()*Wn*Sheet2!A1772) + (Vo/Wn - (Po*(w/Wn))/(K*(1-(w/Wn)^2)))*SIN(2*PI()*Wn*Sheet2!A1772) +(Po*SIN(2*PI()*w*Sheet2!A1772))/(K*(1-(w/Wn)^2))</f>
        <v>16.772491304593952</v>
      </c>
      <c r="C1772">
        <f t="shared" si="110"/>
        <v>3.5762648018148862</v>
      </c>
      <c r="D1772">
        <f t="shared" si="111"/>
        <v>584.16441526107724</v>
      </c>
      <c r="R1772">
        <f t="shared" si="108"/>
        <v>1.77</v>
      </c>
      <c r="S1772">
        <f t="shared" si="109"/>
        <v>3.5762648018148862</v>
      </c>
    </row>
    <row r="1773" spans="1:19" x14ac:dyDescent="0.3">
      <c r="A1773">
        <v>1.7709999999999999</v>
      </c>
      <c r="B1773">
        <f>Uo*COS(2*PI()*Wn*Sheet2!A1773) + (Vo/Wn - (Po*(w/Wn))/(K*(1-(w/Wn)^2)))*SIN(2*PI()*Wn*Sheet2!A1773) +(Po*SIN(2*PI()*w*Sheet2!A1773))/(K*(1-(w/Wn)^2))</f>
        <v>16.572854586606081</v>
      </c>
      <c r="C1773">
        <f t="shared" si="110"/>
        <v>3.5383804146747013</v>
      </c>
      <c r="D1773">
        <f t="shared" si="111"/>
        <v>577.97619596309926</v>
      </c>
      <c r="R1773">
        <f t="shared" si="108"/>
        <v>1.7709999999999999</v>
      </c>
      <c r="S1773">
        <f t="shared" si="109"/>
        <v>3.5383804146747013</v>
      </c>
    </row>
    <row r="1774" spans="1:19" x14ac:dyDescent="0.3">
      <c r="A1774">
        <v>1.772</v>
      </c>
      <c r="B1774">
        <f>Uo*COS(2*PI()*Wn*Sheet2!A1774) + (Vo/Wn - (Po*(w/Wn))/(K*(1-(w/Wn)^2)))*SIN(2*PI()*Wn*Sheet2!A1774) +(Po*SIN(2*PI()*w*Sheet2!A1774))/(K*(1-(w/Wn)^2))</f>
        <v>16.367803835327063</v>
      </c>
      <c r="C1774">
        <f t="shared" si="110"/>
        <v>3.4994095631356026</v>
      </c>
      <c r="D1774">
        <f t="shared" si="111"/>
        <v>571.61050830764077</v>
      </c>
      <c r="R1774">
        <f t="shared" si="108"/>
        <v>1.772</v>
      </c>
      <c r="S1774">
        <f t="shared" si="109"/>
        <v>3.4994095631356026</v>
      </c>
    </row>
    <row r="1775" spans="1:19" x14ac:dyDescent="0.3">
      <c r="A1775">
        <v>1.7729999999999999</v>
      </c>
      <c r="B1775">
        <f>Uo*COS(2*PI()*Wn*Sheet2!A1775) + (Vo/Wn - (Po*(w/Wn))/(K*(1-(w/Wn)^2)))*SIN(2*PI()*Wn*Sheet2!A1775) +(Po*SIN(2*PI()*w*Sheet2!A1775))/(K*(1-(w/Wn)^2))</f>
        <v>16.157406036899157</v>
      </c>
      <c r="C1775">
        <f t="shared" si="110"/>
        <v>3.4593669286907534</v>
      </c>
      <c r="D1775">
        <f t="shared" si="111"/>
        <v>565.06975044090848</v>
      </c>
      <c r="R1775">
        <f t="shared" si="108"/>
        <v>1.7729999999999999</v>
      </c>
      <c r="S1775">
        <f t="shared" si="109"/>
        <v>3.4593669286907534</v>
      </c>
    </row>
    <row r="1776" spans="1:19" x14ac:dyDescent="0.3">
      <c r="A1776">
        <v>1.774</v>
      </c>
      <c r="B1776">
        <f>Uo*COS(2*PI()*Wn*Sheet2!A1776) + (Vo/Wn - (Po*(w/Wn))/(K*(1-(w/Wn)^2)))*SIN(2*PI()*Wn*Sheet2!A1776) +(Po*SIN(2*PI()*w*Sheet2!A1776))/(K*(1-(w/Wn)^2))</f>
        <v>15.941729924242162</v>
      </c>
      <c r="C1776">
        <f t="shared" si="110"/>
        <v>3.4182675161357312</v>
      </c>
      <c r="D1776">
        <f t="shared" si="111"/>
        <v>558.35637331889166</v>
      </c>
      <c r="R1776">
        <f t="shared" si="108"/>
        <v>1.774</v>
      </c>
      <c r="S1776">
        <f t="shared" si="109"/>
        <v>3.4182675161357312</v>
      </c>
    </row>
    <row r="1777" spans="1:19" x14ac:dyDescent="0.3">
      <c r="A1777">
        <v>1.7749999999999999</v>
      </c>
      <c r="B1777">
        <f>Uo*COS(2*PI()*Wn*Sheet2!A1777) + (Vo/Wn - (Po*(w/Wn))/(K*(1-(w/Wn)^2)))*SIN(2*PI()*Wn*Sheet2!A1777) +(Po*SIN(2*PI()*w*Sheet2!A1777))/(K*(1-(w/Wn)^2))</f>
        <v>15.72084595459984</v>
      </c>
      <c r="C1777">
        <f t="shared" si="110"/>
        <v>3.3761266480874874</v>
      </c>
      <c r="D1777">
        <f t="shared" si="111"/>
        <v>551.47287981206182</v>
      </c>
      <c r="R1777">
        <f t="shared" si="108"/>
        <v>1.7749999999999999</v>
      </c>
      <c r="S1777">
        <f t="shared" si="109"/>
        <v>3.3761266480874874</v>
      </c>
    </row>
    <row r="1778" spans="1:19" x14ac:dyDescent="0.3">
      <c r="A1778">
        <v>1.776</v>
      </c>
      <c r="B1778">
        <f>Uo*COS(2*PI()*Wn*Sheet2!A1778) + (Vo/Wn - (Po*(w/Wn))/(K*(1-(w/Wn)^2)))*SIN(2*PI()*Wn*Sheet2!A1778) +(Po*SIN(2*PI()*w*Sheet2!A1778))/(K*(1-(w/Wn)^2))</f>
        <v>15.494826286522548</v>
      </c>
      <c r="C1778">
        <f t="shared" si="110"/>
        <v>3.3329599594091963</v>
      </c>
      <c r="D1778">
        <f t="shared" si="111"/>
        <v>544.42182379470148</v>
      </c>
      <c r="R1778">
        <f t="shared" si="108"/>
        <v>1.776</v>
      </c>
      <c r="S1778">
        <f t="shared" si="109"/>
        <v>3.3329599594091963</v>
      </c>
    </row>
    <row r="1779" spans="1:19" x14ac:dyDescent="0.3">
      <c r="A1779">
        <v>1.7769999999999999</v>
      </c>
      <c r="B1779">
        <f>Uo*COS(2*PI()*Wn*Sheet2!A1779) + (Vo/Wn - (Po*(w/Wn))/(K*(1-(w/Wn)^2)))*SIN(2*PI()*Wn*Sheet2!A1779) +(Po*SIN(2*PI()*w*Sheet2!A1779))/(K*(1-(w/Wn)^2))</f>
        <v>15.263744756295033</v>
      </c>
      <c r="C1779">
        <f t="shared" si="110"/>
        <v>3.2887833915434763</v>
      </c>
      <c r="D1779">
        <f t="shared" si="111"/>
        <v>537.20580921926421</v>
      </c>
      <c r="R1779">
        <f t="shared" si="108"/>
        <v>1.7769999999999999</v>
      </c>
      <c r="S1779">
        <f t="shared" si="109"/>
        <v>3.2887833915434763</v>
      </c>
    </row>
    <row r="1780" spans="1:19" x14ac:dyDescent="0.3">
      <c r="A1780">
        <v>1.778</v>
      </c>
      <c r="B1780">
        <f>Uo*COS(2*PI()*Wn*Sheet2!A1780) + (Vo/Wn - (Po*(w/Wn))/(K*(1-(w/Wn)^2)))*SIN(2*PI()*Wn*Sheet2!A1780) +(Po*SIN(2*PI()*w*Sheet2!A1780))/(K*(1-(w/Wn)^2))</f>
        <v>15.027676853814828</v>
      </c>
      <c r="C1780">
        <f t="shared" si="110"/>
        <v>3.2436131867556801</v>
      </c>
      <c r="D1780">
        <f t="shared" si="111"/>
        <v>529.82748917604613</v>
      </c>
      <c r="R1780">
        <f t="shared" si="108"/>
        <v>1.778</v>
      </c>
      <c r="S1780">
        <f t="shared" si="109"/>
        <v>3.2436131867556801</v>
      </c>
    </row>
    <row r="1781" spans="1:19" x14ac:dyDescent="0.3">
      <c r="A1781">
        <v>1.7789999999999999</v>
      </c>
      <c r="B1781">
        <f>Uo*COS(2*PI()*Wn*Sheet2!A1781) + (Vo/Wn - (Po*(w/Wn))/(K*(1-(w/Wn)^2)))*SIN(2*PI()*Wn*Sheet2!A1781) +(Po*SIN(2*PI()*w*Sheet2!A1781))/(K*(1-(w/Wn)^2))</f>
        <v>14.786699697931789</v>
      </c>
      <c r="C1781">
        <f t="shared" si="110"/>
        <v>3.1974658822894195</v>
      </c>
      <c r="D1781">
        <f t="shared" si="111"/>
        <v>522.28956493852115</v>
      </c>
      <c r="R1781">
        <f t="shared" si="108"/>
        <v>1.7789999999999999</v>
      </c>
      <c r="S1781">
        <f t="shared" si="109"/>
        <v>3.1974658822894195</v>
      </c>
    </row>
    <row r="1782" spans="1:19" x14ac:dyDescent="0.3">
      <c r="A1782">
        <v>1.78</v>
      </c>
      <c r="B1782">
        <f>Uo*COS(2*PI()*Wn*Sheet2!A1782) + (Vo/Wn - (Po*(w/Wn))/(K*(1-(w/Wn)^2)))*SIN(2*PI()*Wn*Sheet2!A1782) +(Po*SIN(2*PI()*w*Sheet2!A1782))/(K*(1-(w/Wn)^2))</f>
        <v>14.540892011254567</v>
      </c>
      <c r="C1782">
        <f t="shared" si="110"/>
        <v>3.1503583044363674</v>
      </c>
      <c r="D1782">
        <f t="shared" si="111"/>
        <v>514.59478499467332</v>
      </c>
      <c r="R1782">
        <f t="shared" si="108"/>
        <v>1.78</v>
      </c>
      <c r="S1782">
        <f t="shared" si="109"/>
        <v>3.1503583044363674</v>
      </c>
    </row>
    <row r="1783" spans="1:19" x14ac:dyDescent="0.3">
      <c r="A1783">
        <v>1.7809999999999999</v>
      </c>
      <c r="B1783">
        <f>Uo*COS(2*PI()*Wn*Sheet2!A1783) + (Vo/Wn - (Po*(w/Wn))/(K*(1-(w/Wn)^2)))*SIN(2*PI()*Wn*Sheet2!A1783) +(Po*SIN(2*PI()*w*Sheet2!A1783))/(K*(1-(w/Wn)^2))</f>
        <v>14.290334094433168</v>
      </c>
      <c r="C1783">
        <f t="shared" si="110"/>
        <v>3.1023075625224235</v>
      </c>
      <c r="D1783">
        <f t="shared" si="111"/>
        <v>506.74594406466861</v>
      </c>
      <c r="R1783">
        <f t="shared" si="108"/>
        <v>1.7809999999999999</v>
      </c>
      <c r="S1783">
        <f t="shared" si="109"/>
        <v>3.1023075625224235</v>
      </c>
    </row>
    <row r="1784" spans="1:19" x14ac:dyDescent="0.3">
      <c r="A1784">
        <v>1.782</v>
      </c>
      <c r="B1784">
        <f>Uo*COS(2*PI()*Wn*Sheet2!A1784) + (Vo/Wn - (Po*(w/Wn))/(K*(1-(w/Wn)^2)))*SIN(2*PI()*Wn*Sheet2!A1784) +(Po*SIN(2*PI()*w*Sheet2!A1784))/(K*(1-(w/Wn)^2))</f>
        <v>14.035107799926834</v>
      </c>
      <c r="C1784">
        <f t="shared" si="110"/>
        <v>3.0533310428123501</v>
      </c>
      <c r="D1784">
        <f t="shared" si="111"/>
        <v>498.7458821052079</v>
      </c>
      <c r="R1784">
        <f t="shared" si="108"/>
        <v>1.782</v>
      </c>
      <c r="S1784">
        <f t="shared" si="109"/>
        <v>3.0533310428123501</v>
      </c>
    </row>
    <row r="1785" spans="1:19" x14ac:dyDescent="0.3">
      <c r="A1785">
        <v>1.7829999999999999</v>
      </c>
      <c r="B1785">
        <f>Uo*COS(2*PI()*Wn*Sheet2!A1785) + (Vo/Wn - (Po*(w/Wn))/(K*(1-(w/Wn)^2)))*SIN(2*PI()*Wn*Sheet2!A1785) +(Po*SIN(2*PI()*w*Sheet2!A1785))/(K*(1-(w/Wn)^2))</f>
        <v>13.775296505264141</v>
      </c>
      <c r="C1785">
        <f t="shared" si="110"/>
        <v>3.0034464023351126</v>
      </c>
      <c r="D1785">
        <f t="shared" si="111"/>
        <v>490.59748330092862</v>
      </c>
      <c r="R1785">
        <f t="shared" si="108"/>
        <v>1.7829999999999999</v>
      </c>
      <c r="S1785">
        <f t="shared" si="109"/>
        <v>3.0034464023351126</v>
      </c>
    </row>
    <row r="1786" spans="1:19" x14ac:dyDescent="0.3">
      <c r="A1786">
        <v>1.784</v>
      </c>
      <c r="B1786">
        <f>Uo*COS(2*PI()*Wn*Sheet2!A1786) + (Vo/Wn - (Po*(w/Wn))/(K*(1-(w/Wn)^2)))*SIN(2*PI()*Wn*Sheet2!A1786) +(Po*SIN(2*PI()*w*Sheet2!A1786))/(K*(1-(w/Wn)^2))</f>
        <v>13.510985085804851</v>
      </c>
      <c r="C1786">
        <f t="shared" si="110"/>
        <v>2.9526715626318092</v>
      </c>
      <c r="D1786">
        <f t="shared" si="111"/>
        <v>482.30367504316121</v>
      </c>
      <c r="R1786">
        <f t="shared" si="108"/>
        <v>1.784</v>
      </c>
      <c r="S1786">
        <f t="shared" si="109"/>
        <v>2.9526715626318092</v>
      </c>
    </row>
    <row r="1787" spans="1:19" x14ac:dyDescent="0.3">
      <c r="A1787">
        <v>1.7849999999999999</v>
      </c>
      <c r="B1787">
        <f>Uo*COS(2*PI()*Wn*Sheet2!A1787) + (Vo/Wn - (Po*(w/Wn))/(K*(1-(w/Wn)^2)))*SIN(2*PI()*Wn*Sheet2!A1787) +(Po*SIN(2*PI()*w*Sheet2!A1787))/(K*(1-(w/Wn)^2))</f>
        <v>13.242259887013484</v>
      </c>
      <c r="C1787">
        <f t="shared" si="110"/>
        <v>2.9010247034287593</v>
      </c>
      <c r="D1787">
        <f t="shared" si="111"/>
        <v>473.86742689646076</v>
      </c>
      <c r="R1787">
        <f t="shared" si="108"/>
        <v>1.7849999999999999</v>
      </c>
      <c r="S1787">
        <f t="shared" si="109"/>
        <v>2.9010247034287593</v>
      </c>
    </row>
    <row r="1788" spans="1:19" x14ac:dyDescent="0.3">
      <c r="A1788">
        <v>1.786</v>
      </c>
      <c r="B1788">
        <f>Uo*COS(2*PI()*Wn*Sheet2!A1788) + (Vo/Wn - (Po*(w/Wn))/(K*(1-(w/Wn)^2)))*SIN(2*PI()*Wn*Sheet2!A1788) +(Po*SIN(2*PI()*w*Sheet2!A1788))/(K*(1-(w/Wn)^2))</f>
        <v>12.969208696251062</v>
      </c>
      <c r="C1788">
        <f t="shared" si="110"/>
        <v>2.8485242562376296</v>
      </c>
      <c r="D1788">
        <f t="shared" si="111"/>
        <v>465.29174955322054</v>
      </c>
      <c r="R1788">
        <f t="shared" si="108"/>
        <v>1.786</v>
      </c>
      <c r="S1788">
        <f t="shared" si="109"/>
        <v>2.8485242562376296</v>
      </c>
    </row>
    <row r="1789" spans="1:19" x14ac:dyDescent="0.3">
      <c r="A1789">
        <v>1.7869999999999999</v>
      </c>
      <c r="B1789">
        <f>Uo*COS(2*PI()*Wn*Sheet2!A1789) + (Vo/Wn - (Po*(w/Wn))/(K*(1-(w/Wn)^2)))*SIN(2*PI()*Wn*Sheet2!A1789) +(Po*SIN(2*PI()*w*Sheet2!A1789))/(K*(1-(w/Wn)^2))</f>
        <v>12.691920714097428</v>
      </c>
      <c r="C1789">
        <f t="shared" si="110"/>
        <v>2.7951888978849837</v>
      </c>
      <c r="D1789">
        <f t="shared" si="111"/>
        <v>456.57969377675738</v>
      </c>
      <c r="R1789">
        <f t="shared" si="108"/>
        <v>1.7869999999999999</v>
      </c>
      <c r="S1789">
        <f t="shared" si="109"/>
        <v>2.7951888978849837</v>
      </c>
    </row>
    <row r="1790" spans="1:19" x14ac:dyDescent="0.3">
      <c r="A1790">
        <v>1.788</v>
      </c>
      <c r="B1790">
        <f>Uo*COS(2*PI()*Wn*Sheet2!A1790) + (Vo/Wn - (Po*(w/Wn))/(K*(1-(w/Wn)^2)))*SIN(2*PI()*Wn*Sheet2!A1790) +(Po*SIN(2*PI()*w*Sheet2!A1790))/(K*(1-(w/Wn)^2))</f>
        <v>12.41048652521069</v>
      </c>
      <c r="C1790">
        <f t="shared" si="110"/>
        <v>2.741037543973408</v>
      </c>
      <c r="D1790">
        <f t="shared" si="111"/>
        <v>447.73434933322005</v>
      </c>
      <c r="R1790">
        <f t="shared" si="108"/>
        <v>1.788</v>
      </c>
      <c r="S1790">
        <f t="shared" si="109"/>
        <v>2.741037543973408</v>
      </c>
    </row>
    <row r="1791" spans="1:19" x14ac:dyDescent="0.3">
      <c r="A1791">
        <v>1.7889999999999999</v>
      </c>
      <c r="B1791">
        <f>Uo*COS(2*PI()*Wn*Sheet2!A1791) + (Vo/Wn - (Po*(w/Wn))/(K*(1-(w/Wn)^2)))*SIN(2*PI()*Wn*Sheet2!A1791) +(Po*SIN(2*PI()*w*Sheet2!A1791))/(K*(1-(w/Wn)^2))</f>
        <v>12.124998068735174</v>
      </c>
      <c r="C1791">
        <f t="shared" si="110"/>
        <v>2.6860893422766496</v>
      </c>
      <c r="D1791">
        <f t="shared" si="111"/>
        <v>438.75884391271961</v>
      </c>
      <c r="R1791">
        <f t="shared" si="108"/>
        <v>1.7889999999999999</v>
      </c>
      <c r="S1791">
        <f t="shared" si="109"/>
        <v>2.6860893422766496</v>
      </c>
    </row>
    <row r="1792" spans="1:19" x14ac:dyDescent="0.3">
      <c r="A1792">
        <v>1.79</v>
      </c>
      <c r="B1792">
        <f>Uo*COS(2*PI()*Wn*Sheet2!A1792) + (Vo/Wn - (Po*(w/Wn))/(K*(1-(w/Wn)^2)))*SIN(2*PI()*Wn*Sheet2!A1792) +(Po*SIN(2*PI()*w*Sheet2!A1792))/(K*(1-(w/Wn)^2))</f>
        <v>11.835548608266219</v>
      </c>
      <c r="C1792">
        <f t="shared" si="110"/>
        <v>2.6303636660705649</v>
      </c>
      <c r="D1792">
        <f t="shared" si="111"/>
        <v>429.65634203997359</v>
      </c>
      <c r="R1792">
        <f t="shared" si="108"/>
        <v>1.79</v>
      </c>
      <c r="S1792">
        <f t="shared" si="109"/>
        <v>2.6303636660705649</v>
      </c>
    </row>
    <row r="1793" spans="1:19" x14ac:dyDescent="0.3">
      <c r="A1793">
        <v>1.7909999999999999</v>
      </c>
      <c r="B1793">
        <f>Uo*COS(2*PI()*Wn*Sheet2!A1793) + (Vo/Wn - (Po*(w/Wn))/(K*(1-(w/Wn)^2)))*SIN(2*PI()*Wn*Sheet2!A1793) +(Po*SIN(2*PI()*w*Sheet2!A1793))/(K*(1-(w/Wn)^2))</f>
        <v>11.54223270138356</v>
      </c>
      <c r="C1793">
        <f t="shared" si="110"/>
        <v>2.5738801074030375</v>
      </c>
      <c r="D1793">
        <f t="shared" si="111"/>
        <v>420.43004397498237</v>
      </c>
      <c r="R1793">
        <f t="shared" ref="R1793:R1856" si="112">A1793</f>
        <v>1.7909999999999999</v>
      </c>
      <c r="S1793">
        <f t="shared" ref="S1793:S1856" si="113">C1793</f>
        <v>2.5738801074030375</v>
      </c>
    </row>
    <row r="1794" spans="1:19" x14ac:dyDescent="0.3">
      <c r="A1794">
        <v>1.792</v>
      </c>
      <c r="B1794">
        <f>Uo*COS(2*PI()*Wn*Sheet2!A1794) + (Vo/Wn - (Po*(w/Wn))/(K*(1-(w/Wn)^2)))*SIN(2*PI()*Wn*Sheet2!A1794) +(Po*SIN(2*PI()*w*Sheet2!A1794))/(K*(1-(w/Wn)^2))</f>
        <v>11.245146168760236</v>
      </c>
      <c r="C1794">
        <f t="shared" ref="C1794:C1857" si="114">EXP(-zeta*Wn*A1794*2*PI())*($H$1*COS(wnD*2*PI()*A1794) + $H$2*SIN(wnD*2*PI()*A1794)) + $H$3*SIN(w*2*PI()*A1794) + $H$4*COS(w*2*PI()*A1794)</f>
        <v>2.5166584703041122</v>
      </c>
      <c r="D1794">
        <f t="shared" ref="D1794:D1857" si="115">K*C1794</f>
        <v>411.08318460393923</v>
      </c>
      <c r="R1794">
        <f t="shared" si="112"/>
        <v>1.792</v>
      </c>
      <c r="S1794">
        <f t="shared" si="113"/>
        <v>2.5166584703041122</v>
      </c>
    </row>
    <row r="1795" spans="1:19" x14ac:dyDescent="0.3">
      <c r="A1795">
        <v>1.7929999999999999</v>
      </c>
      <c r="B1795">
        <f>Uo*COS(2*PI()*Wn*Sheet2!A1795) + (Vo/Wn - (Po*(w/Wn))/(K*(1-(w/Wn)^2)))*SIN(2*PI()*Wn*Sheet2!A1795) +(Po*SIN(2*PI()*w*Sheet2!A1795))/(K*(1-(w/Wn)^2))</f>
        <v>10.944386062860776</v>
      </c>
      <c r="C1795">
        <f t="shared" si="114"/>
        <v>2.4587187639395536</v>
      </c>
      <c r="D1795">
        <f t="shared" si="115"/>
        <v>401.61903232089952</v>
      </c>
      <c r="R1795">
        <f t="shared" si="112"/>
        <v>1.7929999999999999</v>
      </c>
      <c r="S1795">
        <f t="shared" si="113"/>
        <v>2.4587187639395536</v>
      </c>
    </row>
    <row r="1796" spans="1:19" x14ac:dyDescent="0.3">
      <c r="A1796">
        <v>1.794</v>
      </c>
      <c r="B1796">
        <f>Uo*COS(2*PI()*Wn*Sheet2!A1796) + (Vo/Wn - (Po*(w/Wn))/(K*(1-(w/Wn)^2)))*SIN(2*PI()*Wn*Sheet2!A1796) +(Po*SIN(2*PI()*w*Sheet2!A1796))/(K*(1-(w/Wn)^2))</f>
        <v>10.640050636235065</v>
      </c>
      <c r="C1796">
        <f t="shared" si="114"/>
        <v>2.4000811957096699</v>
      </c>
      <c r="D1796">
        <f t="shared" si="115"/>
        <v>392.04088790050918</v>
      </c>
      <c r="R1796">
        <f t="shared" si="112"/>
        <v>1.794</v>
      </c>
      <c r="S1796">
        <f t="shared" si="113"/>
        <v>2.4000811957096699</v>
      </c>
    </row>
    <row r="1797" spans="1:19" x14ac:dyDescent="0.3">
      <c r="A1797">
        <v>1.7949999999999999</v>
      </c>
      <c r="B1797">
        <f>Uo*COS(2*PI()*Wn*Sheet2!A1797) + (Vo/Wn - (Po*(w/Wn))/(K*(1-(w/Wn)^2)))*SIN(2*PI()*Wn*Sheet2!A1797) +(Po*SIN(2*PI()*w*Sheet2!A1797))/(K*(1-(w/Wn)^2))</f>
        <v>10.33223930942196</v>
      </c>
      <c r="C1797">
        <f t="shared" si="114"/>
        <v>2.3407661642959394</v>
      </c>
      <c r="D1797">
        <f t="shared" si="115"/>
        <v>382.35208336220705</v>
      </c>
      <c r="R1797">
        <f t="shared" si="112"/>
        <v>1.7949999999999999</v>
      </c>
      <c r="S1797">
        <f t="shared" si="113"/>
        <v>2.3407661642959394</v>
      </c>
    </row>
    <row r="1798" spans="1:19" x14ac:dyDescent="0.3">
      <c r="A1798">
        <v>1.796</v>
      </c>
      <c r="B1798">
        <f>Uo*COS(2*PI()*Wn*Sheet2!A1798) + (Vo/Wn - (Po*(w/Wn))/(K*(1-(w/Wn)^2)))*SIN(2*PI()*Wn*Sheet2!A1798) +(Po*SIN(2*PI()*w*Sheet2!A1798))/(K*(1-(w/Wn)^2))</f>
        <v>10.02105263847003</v>
      </c>
      <c r="C1798">
        <f t="shared" si="114"/>
        <v>2.2807942526577176</v>
      </c>
      <c r="D1798">
        <f t="shared" si="115"/>
        <v>372.5559808262729</v>
      </c>
      <c r="R1798">
        <f t="shared" si="112"/>
        <v>1.796</v>
      </c>
      <c r="S1798">
        <f t="shared" si="113"/>
        <v>2.2807942526577176</v>
      </c>
    </row>
    <row r="1799" spans="1:19" x14ac:dyDescent="0.3">
      <c r="A1799">
        <v>1.7969999999999999</v>
      </c>
      <c r="B1799">
        <f>Uo*COS(2*PI()*Wn*Sheet2!A1799) + (Vo/Wn - (Po*(w/Wn))/(K*(1-(w/Wn)^2)))*SIN(2*PI()*Wn*Sheet2!A1799) +(Po*SIN(2*PI()*w*Sheet2!A1799))/(K*(1-(w/Wn)^2))</f>
        <v>9.7065922820880637</v>
      </c>
      <c r="C1799">
        <f t="shared" si="114"/>
        <v>2.2201862209816046</v>
      </c>
      <c r="D1799">
        <f t="shared" si="115"/>
        <v>362.65597136214313</v>
      </c>
      <c r="R1799">
        <f t="shared" si="112"/>
        <v>1.7969999999999999</v>
      </c>
      <c r="S1799">
        <f t="shared" si="113"/>
        <v>2.2201862209816046</v>
      </c>
    </row>
    <row r="1800" spans="1:19" x14ac:dyDescent="0.3">
      <c r="A1800">
        <v>1.798</v>
      </c>
      <c r="B1800">
        <f>Uo*COS(2*PI()*Wn*Sheet2!A1800) + (Vo/Wn - (Po*(w/Wn))/(K*(1-(w/Wn)^2)))*SIN(2*PI()*Wn*Sheet2!A1800) +(Po*SIN(2*PI()*w*Sheet2!A1800))/(K*(1-(w/Wn)^2))</f>
        <v>9.3889609684346489</v>
      </c>
      <c r="C1800">
        <f t="shared" si="114"/>
        <v>2.1589629995853143</v>
      </c>
      <c r="D1800">
        <f t="shared" si="115"/>
        <v>352.65547382929446</v>
      </c>
      <c r="R1800">
        <f t="shared" si="112"/>
        <v>1.798</v>
      </c>
      <c r="S1800">
        <f t="shared" si="113"/>
        <v>2.1589629995853143</v>
      </c>
    </row>
    <row r="1801" spans="1:19" x14ac:dyDescent="0.3">
      <c r="A1801">
        <v>1.7989999999999999</v>
      </c>
      <c r="B1801">
        <f>Uo*COS(2*PI()*Wn*Sheet2!A1801) + (Vo/Wn - (Po*(w/Wn))/(K*(1-(w/Wn)^2)))*SIN(2*PI()*Wn*Sheet2!A1801) +(Po*SIN(2*PI()*w*Sheet2!A1801))/(K*(1-(w/Wn)^2))</f>
        <v>9.0682624615596943</v>
      </c>
      <c r="C1801">
        <f t="shared" si="114"/>
        <v>2.0971456817794203</v>
      </c>
      <c r="D1801">
        <f t="shared" si="115"/>
        <v>342.55793371124662</v>
      </c>
      <c r="R1801">
        <f t="shared" si="112"/>
        <v>1.7989999999999999</v>
      </c>
      <c r="S1801">
        <f t="shared" si="113"/>
        <v>2.0971456817794203</v>
      </c>
    </row>
    <row r="1802" spans="1:19" x14ac:dyDescent="0.3">
      <c r="A1802">
        <v>1.8</v>
      </c>
      <c r="B1802">
        <f>Uo*COS(2*PI()*Wn*Sheet2!A1802) + (Vo/Wn - (Po*(w/Wn))/(K*(1-(w/Wn)^2)))*SIN(2*PI()*Wn*Sheet2!A1802) +(Po*SIN(2*PI()*w*Sheet2!A1802))/(K*(1-(w/Wn)^2))</f>
        <v>8.7446015275057327</v>
      </c>
      <c r="C1802">
        <f t="shared" si="114"/>
        <v>2.0347555166882008</v>
      </c>
      <c r="D1802">
        <f t="shared" si="115"/>
        <v>332.36682194288466</v>
      </c>
      <c r="R1802">
        <f t="shared" si="112"/>
        <v>1.8</v>
      </c>
      <c r="S1802">
        <f t="shared" si="113"/>
        <v>2.0347555166882008</v>
      </c>
    </row>
    <row r="1803" spans="1:19" x14ac:dyDescent="0.3">
      <c r="A1803">
        <v>1.8009999999999999</v>
      </c>
      <c r="B1803">
        <f>Uo*COS(2*PI()*Wn*Sheet2!A1803) + (Vo/Wn - (Po*(w/Wn))/(K*(1-(w/Wn)^2)))*SIN(2*PI()*Wn*Sheet2!A1803) +(Po*SIN(2*PI()*w*Sheet2!A1803))/(K*(1-(w/Wn)^2))</f>
        <v>8.4180839000838557</v>
      </c>
      <c r="C1803">
        <f t="shared" si="114"/>
        <v>1.971813902032979</v>
      </c>
      <c r="D1803">
        <f t="shared" si="115"/>
        <v>322.08563373165475</v>
      </c>
      <c r="R1803">
        <f t="shared" si="112"/>
        <v>1.8009999999999999</v>
      </c>
      <c r="S1803">
        <f t="shared" si="113"/>
        <v>1.971813902032979</v>
      </c>
    </row>
    <row r="1804" spans="1:19" x14ac:dyDescent="0.3">
      <c r="A1804">
        <v>1.802</v>
      </c>
      <c r="B1804">
        <f>Uo*COS(2*PI()*Wn*Sheet2!A1804) + (Vo/Wn - (Po*(w/Wn))/(K*(1-(w/Wn)^2)))*SIN(2*PI()*Wn*Sheet2!A1804) +(Po*SIN(2*PI()*w*Sheet2!A1804))/(K*(1-(w/Wn)^2))</f>
        <v>8.0888162463315112</v>
      </c>
      <c r="C1804">
        <f t="shared" si="114"/>
        <v>1.9083423768798466</v>
      </c>
      <c r="D1804">
        <f t="shared" si="115"/>
        <v>311.71788737294213</v>
      </c>
      <c r="R1804">
        <f t="shared" si="112"/>
        <v>1.802</v>
      </c>
      <c r="S1804">
        <f t="shared" si="113"/>
        <v>1.9083423768798466</v>
      </c>
    </row>
    <row r="1805" spans="1:19" x14ac:dyDescent="0.3">
      <c r="A1805">
        <v>1.8029999999999999</v>
      </c>
      <c r="B1805">
        <f>Uo*COS(2*PI()*Wn*Sheet2!A1805) + (Vo/Wn - (Po*(w/Wn))/(K*(1-(w/Wn)^2)))*SIN(2*PI()*Wn*Sheet2!A1805) +(Po*SIN(2*PI()*w*Sheet2!A1805))/(K*(1-(w/Wn)^2))</f>
        <v>7.7569061316673071</v>
      </c>
      <c r="C1805">
        <f t="shared" si="114"/>
        <v>1.8443626143543734</v>
      </c>
      <c r="D1805">
        <f t="shared" si="115"/>
        <v>301.26712306005663</v>
      </c>
      <c r="R1805">
        <f t="shared" si="112"/>
        <v>1.8029999999999999</v>
      </c>
      <c r="S1805">
        <f t="shared" si="113"/>
        <v>1.8443626143543734</v>
      </c>
    </row>
    <row r="1806" spans="1:19" x14ac:dyDescent="0.3">
      <c r="A1806">
        <v>1.804</v>
      </c>
      <c r="B1806">
        <f>Uo*COS(2*PI()*Wn*Sheet2!A1806) + (Vo/Wn - (Po*(w/Wn))/(K*(1-(w/Wn)^2)))*SIN(2*PI()*Wn*Sheet2!A1806) +(Po*SIN(2*PI()*w*Sheet2!A1806))/(K*(1-(w/Wn)^2))</f>
        <v>7.4224619847509601</v>
      </c>
      <c r="C1806">
        <f t="shared" si="114"/>
        <v>1.7798964143256977</v>
      </c>
      <c r="D1806">
        <f t="shared" si="115"/>
        <v>290.73690168921632</v>
      </c>
      <c r="R1806">
        <f t="shared" si="112"/>
        <v>1.804</v>
      </c>
      <c r="S1806">
        <f t="shared" si="113"/>
        <v>1.7798964143256977</v>
      </c>
    </row>
    <row r="1807" spans="1:19" x14ac:dyDescent="0.3">
      <c r="A1807">
        <v>1.8049999999999999</v>
      </c>
      <c r="B1807">
        <f>Uo*COS(2*PI()*Wn*Sheet2!A1807) + (Vo/Wn - (Po*(w/Wn))/(K*(1-(w/Wn)^2)))*SIN(2*PI()*Wn*Sheet2!A1807) +(Po*SIN(2*PI()*w*Sheet2!A1807))/(K*(1-(w/Wn)^2))</f>
        <v>7.0855930620619816</v>
      </c>
      <c r="C1807">
        <f t="shared" si="114"/>
        <v>1.7149656960626074</v>
      </c>
      <c r="D1807">
        <f t="shared" si="115"/>
        <v>280.1308036599566</v>
      </c>
      <c r="R1807">
        <f t="shared" si="112"/>
        <v>1.8049999999999999</v>
      </c>
      <c r="S1807">
        <f t="shared" si="113"/>
        <v>1.7149656960626074</v>
      </c>
    </row>
    <row r="1808" spans="1:19" x14ac:dyDescent="0.3">
      <c r="A1808">
        <v>1.806</v>
      </c>
      <c r="B1808">
        <f>Uo*COS(2*PI()*Wn*Sheet2!A1808) + (Vo/Wn - (Po*(w/Wn))/(K*(1-(w/Wn)^2)))*SIN(2*PI()*Wn*Sheet2!A1808) +(Po*SIN(2*PI()*w*Sheet2!A1808))/(K*(1-(w/Wn)^2))</f>
        <v>6.746409412207159</v>
      </c>
      <c r="C1808">
        <f t="shared" si="114"/>
        <v>1.649592490863514</v>
      </c>
      <c r="D1808">
        <f t="shared" si="115"/>
        <v>269.45242767127399</v>
      </c>
      <c r="R1808">
        <f t="shared" si="112"/>
        <v>1.806</v>
      </c>
      <c r="S1808">
        <f t="shared" si="113"/>
        <v>1.649592490863514</v>
      </c>
    </row>
    <row r="1809" spans="1:19" x14ac:dyDescent="0.3">
      <c r="A1809">
        <v>1.8069999999999999</v>
      </c>
      <c r="B1809">
        <f>Uo*COS(2*PI()*Wn*Sheet2!A1809) + (Vo/Wn - (Po*(w/Wn))/(K*(1-(w/Wn)^2)))*SIN(2*PI()*Wn*Sheet2!A1809) +(Po*SIN(2*PI()*w*Sheet2!A1809))/(K*(1-(w/Wn)^2))</f>
        <v>6.4050218399707228</v>
      </c>
      <c r="C1809">
        <f t="shared" si="114"/>
        <v>1.5837989346637977</v>
      </c>
      <c r="D1809">
        <f t="shared" si="115"/>
        <v>258.70538951407451</v>
      </c>
      <c r="R1809">
        <f t="shared" si="112"/>
        <v>1.8069999999999999</v>
      </c>
      <c r="S1809">
        <f t="shared" si="113"/>
        <v>1.5837989346637977</v>
      </c>
    </row>
    <row r="1810" spans="1:19" x14ac:dyDescent="0.3">
      <c r="A1810">
        <v>1.8080000000000001</v>
      </c>
      <c r="B1810">
        <f>Uo*COS(2*PI()*Wn*Sheet2!A1810) + (Vo/Wn - (Po*(w/Wn))/(K*(1-(w/Wn)^2)))*SIN(2*PI()*Wn*Sheet2!A1810) +(Po*SIN(2*PI()*w*Sheet2!A1810))/(K*(1-(w/Wn)^2))</f>
        <v>6.0615418701154802</v>
      </c>
      <c r="C1810">
        <f t="shared" si="114"/>
        <v>1.5176072606217164</v>
      </c>
      <c r="D1810">
        <f t="shared" si="115"/>
        <v>247.89332086011979</v>
      </c>
      <c r="R1810">
        <f t="shared" si="112"/>
        <v>1.8080000000000001</v>
      </c>
      <c r="S1810">
        <f t="shared" si="113"/>
        <v>1.5176072606217164</v>
      </c>
    </row>
    <row r="1811" spans="1:19" x14ac:dyDescent="0.3">
      <c r="A1811">
        <v>1.8089999999999999</v>
      </c>
      <c r="B1811">
        <f>Uo*COS(2*PI()*Wn*Sheet2!A1811) + (Vo/Wn - (Po*(w/Wn))/(K*(1-(w/Wn)^2)))*SIN(2*PI()*Wn*Sheet2!A1811) +(Po*SIN(2*PI()*w*Sheet2!A1811))/(K*(1-(w/Wn)^2))</f>
        <v>5.7160817109507525</v>
      </c>
      <c r="C1811">
        <f t="shared" si="114"/>
        <v>1.4510397916863838</v>
      </c>
      <c r="D1811">
        <f t="shared" si="115"/>
        <v>237.01986804804488</v>
      </c>
      <c r="R1811">
        <f t="shared" si="112"/>
        <v>1.8089999999999999</v>
      </c>
      <c r="S1811">
        <f t="shared" si="113"/>
        <v>1.4510397916863838</v>
      </c>
    </row>
    <row r="1812" spans="1:19" x14ac:dyDescent="0.3">
      <c r="A1812">
        <v>1.81</v>
      </c>
      <c r="B1812">
        <f>Uo*COS(2*PI()*Wn*Sheet2!A1812) + (Vo/Wn - (Po*(w/Wn))/(K*(1-(w/Wn)^2)))*SIN(2*PI()*Wn*Sheet2!A1812) +(Po*SIN(2*PI()*w*Sheet2!A1812))/(K*(1-(w/Wn)^2))</f>
        <v>5.3687542176756828</v>
      </c>
      <c r="C1812">
        <f t="shared" si="114"/>
        <v>1.3841189331497039</v>
      </c>
      <c r="D1812">
        <f t="shared" si="115"/>
        <v>226.08869086675509</v>
      </c>
      <c r="R1812">
        <f t="shared" si="112"/>
        <v>1.81</v>
      </c>
      <c r="S1812">
        <f t="shared" si="113"/>
        <v>1.3841189331497039</v>
      </c>
    </row>
    <row r="1813" spans="1:19" x14ac:dyDescent="0.3">
      <c r="A1813">
        <v>1.8109999999999999</v>
      </c>
      <c r="B1813">
        <f>Uo*COS(2*PI()*Wn*Sheet2!A1813) + (Vo/Wn - (Po*(w/Wn))/(K*(1-(w/Wn)^2)))*SIN(2*PI()*Wn*Sheet2!A1813) +(Po*SIN(2*PI()*w*Sheet2!A1813))/(K*(1-(w/Wn)^2))</f>
        <v>5.0196728555111934</v>
      </c>
      <c r="C1813">
        <f t="shared" si="114"/>
        <v>1.3168671651849058</v>
      </c>
      <c r="D1813">
        <f t="shared" si="115"/>
        <v>215.10346133663387</v>
      </c>
      <c r="R1813">
        <f t="shared" si="112"/>
        <v>1.8109999999999999</v>
      </c>
      <c r="S1813">
        <f t="shared" si="113"/>
        <v>1.3168671651849058</v>
      </c>
    </row>
    <row r="1814" spans="1:19" x14ac:dyDescent="0.3">
      <c r="A1814">
        <v>1.8120000000000001</v>
      </c>
      <c r="B1814">
        <f>Uo*COS(2*PI()*Wn*Sheet2!A1814) + (Vo/Wn - (Po*(w/Wn))/(K*(1-(w/Wn)^2)))*SIN(2*PI()*Wn*Sheet2!A1814) +(Po*SIN(2*PI()*w*Sheet2!A1814))/(K*(1-(w/Wn)^2))</f>
        <v>4.6689516626338952</v>
      </c>
      <c r="C1814">
        <f t="shared" si="114"/>
        <v>1.2493070353740845</v>
      </c>
      <c r="D1814">
        <f t="shared" si="115"/>
        <v>204.06786248895554</v>
      </c>
      <c r="R1814">
        <f t="shared" si="112"/>
        <v>1.8120000000000001</v>
      </c>
      <c r="S1814">
        <f t="shared" si="113"/>
        <v>1.2493070353740845</v>
      </c>
    </row>
    <row r="1815" spans="1:19" x14ac:dyDescent="0.3">
      <c r="A1815">
        <v>1.8129999999999999</v>
      </c>
      <c r="B1815">
        <f>Uo*COS(2*PI()*Wn*Sheet2!A1815) + (Vo/Wn - (Po*(w/Wn))/(K*(1-(w/Wn)^2)))*SIN(2*PI()*Wn*Sheet2!A1815) +(Po*SIN(2*PI()*w*Sheet2!A1815))/(K*(1-(w/Wn)^2))</f>
        <v>4.3167052129216019</v>
      </c>
      <c r="C1815">
        <f t="shared" si="114"/>
        <v>1.1814611512273752</v>
      </c>
      <c r="D1815">
        <f t="shared" si="115"/>
        <v>192.9855871439307</v>
      </c>
      <c r="R1815">
        <f t="shared" si="112"/>
        <v>1.8129999999999999</v>
      </c>
      <c r="S1815">
        <f t="shared" si="113"/>
        <v>1.1814611512273752</v>
      </c>
    </row>
    <row r="1816" spans="1:19" x14ac:dyDescent="0.3">
      <c r="A1816">
        <v>1.8140000000000001</v>
      </c>
      <c r="B1816">
        <f>Uo*COS(2*PI()*Wn*Sheet2!A1816) + (Vo/Wn - (Po*(w/Wn))/(K*(1-(w/Wn)^2)))*SIN(2*PI()*Wn*Sheet2!A1816) +(Po*SIN(2*PI()*w*Sheet2!A1816))/(K*(1-(w/Wn)^2))</f>
        <v>3.9630485785238245</v>
      </c>
      <c r="C1816">
        <f t="shared" si="114"/>
        <v>1.1133521726957998</v>
      </c>
      <c r="D1816">
        <f t="shared" si="115"/>
        <v>181.86033668771842</v>
      </c>
      <c r="R1816">
        <f t="shared" si="112"/>
        <v>1.8140000000000001</v>
      </c>
      <c r="S1816">
        <f t="shared" si="113"/>
        <v>1.1133521726957998</v>
      </c>
    </row>
    <row r="1817" spans="1:19" x14ac:dyDescent="0.3">
      <c r="A1817">
        <v>1.8149999999999999</v>
      </c>
      <c r="B1817">
        <f>Uo*COS(2*PI()*Wn*Sheet2!A1817) + (Vo/Wn - (Po*(w/Wn))/(K*(1-(w/Wn)^2)))*SIN(2*PI()*Wn*Sheet2!A1817) +(Po*SIN(2*PI()*w*Sheet2!A1817))/(K*(1-(w/Wn)^2))</f>
        <v>3.6080972922708812</v>
      </c>
      <c r="C1817">
        <f t="shared" si="114"/>
        <v>1.0450028046807935</v>
      </c>
      <c r="D1817">
        <f t="shared" si="115"/>
        <v>170.69581984889598</v>
      </c>
      <c r="R1817">
        <f t="shared" si="112"/>
        <v>1.8149999999999999</v>
      </c>
      <c r="S1817">
        <f t="shared" si="113"/>
        <v>1.0450028046807935</v>
      </c>
    </row>
    <row r="1818" spans="1:19" x14ac:dyDescent="0.3">
      <c r="A1818">
        <v>1.8160000000000001</v>
      </c>
      <c r="B1818">
        <f>Uo*COS(2*PI()*Wn*Sheet2!A1818) + (Vo/Wn - (Po*(w/Wn))/(K*(1-(w/Wn)^2)))*SIN(2*PI()*Wn*Sheet2!A1818) +(Po*SIN(2*PI()*w*Sheet2!A1818))/(K*(1-(w/Wn)^2))</f>
        <v>3.251967309930428</v>
      </c>
      <c r="C1818">
        <f t="shared" si="114"/>
        <v>0.97643578954244703</v>
      </c>
      <c r="D1818">
        <f t="shared" si="115"/>
        <v>159.4957514747189</v>
      </c>
      <c r="R1818">
        <f t="shared" si="112"/>
        <v>1.8160000000000001</v>
      </c>
      <c r="S1818">
        <f t="shared" si="113"/>
        <v>0.97643578954244703</v>
      </c>
    </row>
    <row r="1819" spans="1:19" x14ac:dyDescent="0.3">
      <c r="A1819">
        <v>1.8169999999999999</v>
      </c>
      <c r="B1819">
        <f>Uo*COS(2*PI()*Wn*Sheet2!A1819) + (Vo/Wn - (Po*(w/Wn))/(K*(1-(w/Wn)^2)))*SIN(2*PI()*Wn*Sheet2!A1819) +(Po*SIN(2*PI()*w*Sheet2!A1819))/(K*(1-(w/Wn)^2))</f>
        <v>2.8947749723279155</v>
      </c>
      <c r="C1819">
        <f t="shared" si="114"/>
        <v>0.90767389960908029</v>
      </c>
      <c r="D1819">
        <f t="shared" si="115"/>
        <v>148.2638513075984</v>
      </c>
      <c r="R1819">
        <f t="shared" si="112"/>
        <v>1.8169999999999999</v>
      </c>
      <c r="S1819">
        <f t="shared" si="113"/>
        <v>0.90767389960908029</v>
      </c>
    </row>
    <row r="1820" spans="1:19" x14ac:dyDescent="0.3">
      <c r="A1820">
        <v>1.8180000000000001</v>
      </c>
      <c r="B1820">
        <f>Uo*COS(2*PI()*Wn*Sheet2!A1820) + (Vo/Wn - (Po*(w/Wn))/(K*(1-(w/Wn)^2)))*SIN(2*PI()*Wn*Sheet2!A1820) +(Po*SIN(2*PI()*w*Sheet2!A1820))/(K*(1-(w/Wn)^2))</f>
        <v>2.5366369673398532</v>
      </c>
      <c r="C1820">
        <f t="shared" si="114"/>
        <v>0.8387399296905661</v>
      </c>
      <c r="D1820">
        <f t="shared" si="115"/>
        <v>137.00384276219151</v>
      </c>
      <c r="R1820">
        <f t="shared" si="112"/>
        <v>1.8180000000000001</v>
      </c>
      <c r="S1820">
        <f t="shared" si="113"/>
        <v>0.8387399296905661</v>
      </c>
    </row>
    <row r="1821" spans="1:19" x14ac:dyDescent="0.3">
      <c r="A1821">
        <v>1.819</v>
      </c>
      <c r="B1821">
        <f>Uo*COS(2*PI()*Wn*Sheet2!A1821) + (Vo/Wn - (Po*(w/Wn))/(K*(1-(w/Wn)^2)))*SIN(2*PI()*Wn*Sheet2!A1821) +(Po*SIN(2*PI()*w*Sheet2!A1821))/(K*(1-(w/Wn)^2))</f>
        <v>2.1776702917737016</v>
      </c>
      <c r="C1821">
        <f t="shared" si="114"/>
        <v>0.76965668959782552</v>
      </c>
      <c r="D1821">
        <f t="shared" si="115"/>
        <v>125.71945170349906</v>
      </c>
      <c r="R1821">
        <f t="shared" si="112"/>
        <v>1.819</v>
      </c>
      <c r="S1821">
        <f t="shared" si="113"/>
        <v>0.76965668959782552</v>
      </c>
    </row>
    <row r="1822" spans="1:19" x14ac:dyDescent="0.3">
      <c r="A1822">
        <v>1.82</v>
      </c>
      <c r="B1822">
        <f>Uo*COS(2*PI()*Wn*Sheet2!A1822) + (Vo/Wn - (Po*(w/Wn))/(K*(1-(w/Wn)^2)))*SIN(2*PI()*Wn*Sheet2!A1822) +(Po*SIN(2*PI()*w*Sheet2!A1822))/(K*(1-(w/Wn)^2))</f>
        <v>1.8179922131481054</v>
      </c>
      <c r="C1822">
        <f t="shared" si="114"/>
        <v>0.70044699667091914</v>
      </c>
      <c r="D1822">
        <f t="shared" si="115"/>
        <v>114.41440522636806</v>
      </c>
      <c r="R1822">
        <f t="shared" si="112"/>
        <v>1.82</v>
      </c>
      <c r="S1822">
        <f t="shared" si="113"/>
        <v>0.70044699667091914</v>
      </c>
    </row>
    <row r="1823" spans="1:19" x14ac:dyDescent="0.3">
      <c r="A1823">
        <v>1.821</v>
      </c>
      <c r="B1823">
        <f>Uo*COS(2*PI()*Wn*Sheet2!A1823) + (Vo/Wn - (Po*(w/Wn))/(K*(1-(w/Wn)^2)))*SIN(2*PI()*Wn*Sheet2!A1823) +(Po*SIN(2*PI()*w*Sheet2!A1823))/(K*(1-(w/Wn)^2))</f>
        <v>1.457720231383427</v>
      </c>
      <c r="C1823">
        <f t="shared" si="114"/>
        <v>0.6311336683183032</v>
      </c>
      <c r="D1823">
        <f t="shared" si="115"/>
        <v>103.09243043681755</v>
      </c>
      <c r="R1823">
        <f t="shared" si="112"/>
        <v>1.821</v>
      </c>
      <c r="S1823">
        <f t="shared" si="113"/>
        <v>0.6311336683183032</v>
      </c>
    </row>
    <row r="1824" spans="1:19" x14ac:dyDescent="0.3">
      <c r="A1824">
        <v>1.8220000000000001</v>
      </c>
      <c r="B1824">
        <f>Uo*COS(2*PI()*Wn*Sheet2!A1824) + (Vo/Wn - (Po*(w/Wn))/(K*(1-(w/Wn)^2)))*SIN(2*PI()*Wn*Sheet2!A1824) +(Po*SIN(2*PI()*w*Sheet2!A1824))/(K*(1-(w/Wn)^2))</f>
        <v>1.0969720404163517</v>
      </c>
      <c r="C1824">
        <f t="shared" si="114"/>
        <v>0.56173951456926596</v>
      </c>
      <c r="D1824">
        <f t="shared" si="115"/>
        <v>91.757253235517595</v>
      </c>
      <c r="R1824">
        <f t="shared" si="112"/>
        <v>1.8220000000000001</v>
      </c>
      <c r="S1824">
        <f t="shared" si="113"/>
        <v>0.56173951456926596</v>
      </c>
    </row>
    <row r="1825" spans="1:19" x14ac:dyDescent="0.3">
      <c r="A1825">
        <v>1.823</v>
      </c>
      <c r="B1825">
        <f>Uo*COS(2*PI()*Wn*Sheet2!A1825) + (Vo/Wn - (Po*(w/Wn))/(K*(1-(w/Wn)^2)))*SIN(2*PI()*Wn*Sheet2!A1825) +(Po*SIN(2*PI()*w*Sheet2!A1825))/(K*(1-(w/Wn)^2))</f>
        <v>0.73586548975253274</v>
      </c>
      <c r="C1825">
        <f t="shared" si="114"/>
        <v>0.4922873306424943</v>
      </c>
      <c r="D1825">
        <f t="shared" si="115"/>
        <v>80.412597103902812</v>
      </c>
      <c r="R1825">
        <f t="shared" si="112"/>
        <v>1.823</v>
      </c>
      <c r="S1825">
        <f t="shared" si="113"/>
        <v>0.4922873306424943</v>
      </c>
    </row>
    <row r="1826" spans="1:19" x14ac:dyDescent="0.3">
      <c r="A1826">
        <v>1.8240000000000001</v>
      </c>
      <c r="B1826">
        <f>Uo*COS(2*PI()*Wn*Sheet2!A1826) + (Vo/Wn - (Po*(w/Wn))/(K*(1-(w/Wn)^2)))*SIN(2*PI()*Wn*Sheet2!A1826) +(Po*SIN(2*PI()*w*Sheet2!A1826))/(K*(1-(w/Wn)^2))</f>
        <v>0.37451854596628537</v>
      </c>
      <c r="C1826">
        <f t="shared" si="114"/>
        <v>0.42279988953275743</v>
      </c>
      <c r="D1826">
        <f t="shared" si="115"/>
        <v>69.062181893245523</v>
      </c>
      <c r="R1826">
        <f t="shared" si="112"/>
        <v>1.8240000000000001</v>
      </c>
      <c r="S1826">
        <f t="shared" si="113"/>
        <v>0.42279988953275743</v>
      </c>
    </row>
    <row r="1827" spans="1:19" x14ac:dyDescent="0.3">
      <c r="A1827">
        <v>1.825</v>
      </c>
      <c r="B1827">
        <f>Uo*COS(2*PI()*Wn*Sheet2!A1827) + (Vo/Wn - (Po*(w/Wn))/(K*(1-(w/Wn)^2)))*SIN(2*PI()*Wn*Sheet2!A1827) +(Po*SIN(2*PI()*w*Sheet2!A1827))/(K*(1-(w/Wn)^2))</f>
        <v>1.3049254164167457E-2</v>
      </c>
      <c r="C1827">
        <f t="shared" si="114"/>
        <v>0.35329993461825798</v>
      </c>
      <c r="D1827">
        <f t="shared" si="115"/>
        <v>57.709722617104568</v>
      </c>
      <c r="R1827">
        <f t="shared" si="112"/>
        <v>1.825</v>
      </c>
      <c r="S1827">
        <f t="shared" si="113"/>
        <v>0.35329993461825798</v>
      </c>
    </row>
    <row r="1828" spans="1:19" x14ac:dyDescent="0.3">
      <c r="A1828">
        <v>1.8260000000000001</v>
      </c>
      <c r="B1828">
        <f>Uo*COS(2*PI()*Wn*Sheet2!A1828) + (Vo/Wn - (Po*(w/Wn))/(K*(1-(w/Wn)^2)))*SIN(2*PI()*Wn*Sheet2!A1828) +(Po*SIN(2*PI()*w*Sheet2!A1828))/(K*(1-(w/Wn)^2))</f>
        <v>-0.3484243005786587</v>
      </c>
      <c r="C1828">
        <f t="shared" si="114"/>
        <v>0.28381017229097388</v>
      </c>
      <c r="D1828">
        <f t="shared" si="115"/>
        <v>46.358928247529704</v>
      </c>
      <c r="R1828">
        <f t="shared" si="112"/>
        <v>1.8260000000000001</v>
      </c>
      <c r="S1828">
        <f t="shared" si="113"/>
        <v>0.28381017229097388</v>
      </c>
    </row>
    <row r="1829" spans="1:19" x14ac:dyDescent="0.3">
      <c r="A1829">
        <v>1.827</v>
      </c>
      <c r="B1829">
        <f>Uo*COS(2*PI()*Wn*Sheet2!A1829) + (Vo/Wn - (Po*(w/Wn))/(K*(1-(w/Wn)^2)))*SIN(2*PI()*Wn*Sheet2!A1829) +(Po*SIN(2*PI()*w*Sheet2!A1829))/(K*(1-(w/Wn)^2))</f>
        <v>-0.70978403179426774</v>
      </c>
      <c r="C1829">
        <f t="shared" si="114"/>
        <v>0.21435326461254089</v>
      </c>
      <c r="D1829">
        <f t="shared" si="115"/>
        <v>35.013500515437897</v>
      </c>
      <c r="R1829">
        <f t="shared" si="112"/>
        <v>1.827</v>
      </c>
      <c r="S1829">
        <f t="shared" si="113"/>
        <v>0.21435326461254089</v>
      </c>
    </row>
    <row r="1830" spans="1:19" x14ac:dyDescent="0.3">
      <c r="A1830">
        <v>1.8280000000000001</v>
      </c>
      <c r="B1830">
        <f>Uo*COS(2*PI()*Wn*Sheet2!A1830) + (Vo/Wn - (Po*(w/Wn))/(K*(1-(w/Wn)^2)))*SIN(2*PI()*Wn*Sheet2!A1830) +(Po*SIN(2*PI()*w*Sheet2!A1830))/(K*(1-(w/Wn)^2))</f>
        <v>-1.0709118901991204</v>
      </c>
      <c r="C1830">
        <f t="shared" si="114"/>
        <v>0.14495182199743359</v>
      </c>
      <c r="D1830">
        <f t="shared" si="115"/>
        <v>23.6771327154486</v>
      </c>
      <c r="R1830">
        <f t="shared" si="112"/>
        <v>1.8280000000000001</v>
      </c>
      <c r="S1830">
        <f t="shared" si="113"/>
        <v>0.14495182199743359</v>
      </c>
    </row>
    <row r="1831" spans="1:19" x14ac:dyDescent="0.3">
      <c r="A1831">
        <v>1.829</v>
      </c>
      <c r="B1831">
        <f>Uo*COS(2*PI()*Wn*Sheet2!A1831) + (Vo/Wn - (Po*(w/Wn))/(K*(1-(w/Wn)^2)))*SIN(2*PI()*Wn*Sheet2!A1831) +(Po*SIN(2*PI()*w*Sheet2!A1831))/(K*(1-(w/Wn)^2))</f>
        <v>-1.4316899022575038</v>
      </c>
      <c r="C1831">
        <f t="shared" si="114"/>
        <v>7.5628395926894645E-2</v>
      </c>
      <c r="D1831">
        <f t="shared" si="115"/>
        <v>12.353508515741742</v>
      </c>
      <c r="R1831">
        <f t="shared" si="112"/>
        <v>1.829</v>
      </c>
      <c r="S1831">
        <f t="shared" si="113"/>
        <v>7.5628395926894645E-2</v>
      </c>
    </row>
    <row r="1832" spans="1:19" x14ac:dyDescent="0.3">
      <c r="A1832">
        <v>1.83</v>
      </c>
      <c r="B1832">
        <f>Uo*COS(2*PI()*Wn*Sheet2!A1832) + (Vo/Wn - (Po*(w/Wn))/(K*(1-(w/Wn)^2)))*SIN(2*PI()*Wn*Sheet2!A1832) +(Po*SIN(2*PI()*w*Sheet2!A1832))/(K*(1-(w/Wn)^2))</f>
        <v>-1.7920002087223548</v>
      </c>
      <c r="C1832">
        <f t="shared" si="114"/>
        <v>6.4054716945763888E-3</v>
      </c>
      <c r="D1832">
        <f t="shared" si="115"/>
        <v>1.046300773095628</v>
      </c>
      <c r="R1832">
        <f t="shared" si="112"/>
        <v>1.83</v>
      </c>
      <c r="S1832">
        <f t="shared" si="113"/>
        <v>6.4054716945763888E-3</v>
      </c>
    </row>
    <row r="1833" spans="1:19" x14ac:dyDescent="0.3">
      <c r="A1833">
        <v>1.831</v>
      </c>
      <c r="B1833">
        <f>Uo*COS(2*PI()*Wn*Sheet2!A1833) + (Vo/Wn - (Po*(w/Wn))/(K*(1-(w/Wn)^2)))*SIN(2*PI()*Wn*Sheet2!A1833) +(Po*SIN(2*PI()*w*Sheet2!A1833))/(K*(1-(w/Wn)^2))</f>
        <v>-2.1517251031364766</v>
      </c>
      <c r="C1833">
        <f t="shared" si="114"/>
        <v>-6.2694538812678946E-2</v>
      </c>
      <c r="D1833">
        <f t="shared" si="115"/>
        <v>-10.240829646335353</v>
      </c>
      <c r="R1833">
        <f t="shared" si="112"/>
        <v>1.831</v>
      </c>
      <c r="S1833">
        <f t="shared" si="113"/>
        <v>-6.2694538812678946E-2</v>
      </c>
    </row>
    <row r="1834" spans="1:19" x14ac:dyDescent="0.3">
      <c r="A1834">
        <v>1.8320000000000001</v>
      </c>
      <c r="B1834">
        <f>Uo*COS(2*PI()*Wn*Sheet2!A1834) + (Vo/Wn - (Po*(w/Wn))/(K*(1-(w/Wn)^2)))*SIN(2*PI()*Wn*Sheet2!A1834) +(Po*SIN(2*PI()*w*Sheet2!A1834))/(K*(1-(w/Wn)^2))</f>
        <v>-2.5107470702861141</v>
      </c>
      <c r="C1834">
        <f t="shared" si="114"/>
        <v>-0.13164930429722727</v>
      </c>
      <c r="D1834">
        <f t="shared" si="115"/>
        <v>-21.504235040226792</v>
      </c>
      <c r="R1834">
        <f t="shared" si="112"/>
        <v>1.8320000000000001</v>
      </c>
      <c r="S1834">
        <f t="shared" si="113"/>
        <v>-0.13164930429722727</v>
      </c>
    </row>
    <row r="1835" spans="1:19" x14ac:dyDescent="0.3">
      <c r="A1835">
        <v>1.833</v>
      </c>
      <c r="B1835">
        <f>Uo*COS(2*PI()*Wn*Sheet2!A1835) + (Vo/Wn - (Po*(w/Wn))/(K*(1-(w/Wn)^2)))*SIN(2*PI()*Wn*Sheet2!A1835) +(Po*SIN(2*PI()*w*Sheet2!A1835))/(K*(1-(w/Wn)^2))</f>
        <v>-2.8689488245899222</v>
      </c>
      <c r="C1835">
        <f t="shared" si="114"/>
        <v>-0.20043658119370961</v>
      </c>
      <c r="D1835">
        <f t="shared" si="115"/>
        <v>-32.740282036870681</v>
      </c>
      <c r="R1835">
        <f t="shared" si="112"/>
        <v>1.833</v>
      </c>
      <c r="S1835">
        <f t="shared" si="113"/>
        <v>-0.20043658119370961</v>
      </c>
    </row>
    <row r="1836" spans="1:19" x14ac:dyDescent="0.3">
      <c r="A1836">
        <v>1.8340000000000001</v>
      </c>
      <c r="B1836">
        <f>Uo*COS(2*PI()*Wn*Sheet2!A1836) + (Vo/Wn - (Po*(w/Wn))/(K*(1-(w/Wn)^2)))*SIN(2*PI()*Wn*Sheet2!A1836) +(Po*SIN(2*PI()*w*Sheet2!A1836))/(K*(1-(w/Wn)^2))</f>
        <v>-3.2262133484144822</v>
      </c>
      <c r="C1836">
        <f t="shared" si="114"/>
        <v>-0.26903422077063288</v>
      </c>
      <c r="D1836">
        <f t="shared" si="115"/>
        <v>-43.945352755182029</v>
      </c>
      <c r="R1836">
        <f t="shared" si="112"/>
        <v>1.8340000000000001</v>
      </c>
      <c r="S1836">
        <f t="shared" si="113"/>
        <v>-0.26903422077063288</v>
      </c>
    </row>
    <row r="1837" spans="1:19" x14ac:dyDescent="0.3">
      <c r="A1837">
        <v>1.835</v>
      </c>
      <c r="B1837">
        <f>Uo*COS(2*PI()*Wn*Sheet2!A1837) + (Vo/Wn - (Po*(w/Wn))/(K*(1-(w/Wn)^2)))*SIN(2*PI()*Wn*Sheet2!A1837) +(Po*SIN(2*PI()*w*Sheet2!A1837))/(K*(1-(w/Wn)^2))</f>
        <v>-3.5824239303014327</v>
      </c>
      <c r="C1837">
        <f t="shared" si="114"/>
        <v>-0.33742017618801157</v>
      </c>
      <c r="D1837">
        <f t="shared" si="115"/>
        <v>-55.115845957528215</v>
      </c>
      <c r="R1837">
        <f t="shared" si="112"/>
        <v>1.835</v>
      </c>
      <c r="S1837">
        <f t="shared" si="113"/>
        <v>-0.33742017618801157</v>
      </c>
    </row>
    <row r="1838" spans="1:19" x14ac:dyDescent="0.3">
      <c r="A1838">
        <v>1.8360000000000001</v>
      </c>
      <c r="B1838">
        <f>Uo*COS(2*PI()*Wn*Sheet2!A1838) + (Vo/Wn - (Po*(w/Wn))/(K*(1-(w/Wn)^2)))*SIN(2*PI()*Wn*Sheet2!A1838) +(Po*SIN(2*PI()*w*Sheet2!A1838))/(K*(1-(w/Wn)^2))</f>
        <v>-3.9374642030954203</v>
      </c>
      <c r="C1838">
        <f t="shared" si="114"/>
        <v>-0.40557250950944129</v>
      </c>
      <c r="D1838">
        <f t="shared" si="115"/>
        <v>-66.248178195115074</v>
      </c>
      <c r="R1838">
        <f t="shared" si="112"/>
        <v>1.8360000000000001</v>
      </c>
      <c r="S1838">
        <f t="shared" si="113"/>
        <v>-0.40557250950944129</v>
      </c>
    </row>
    <row r="1839" spans="1:19" x14ac:dyDescent="0.3">
      <c r="A1839">
        <v>1.837</v>
      </c>
      <c r="B1839">
        <f>Uo*COS(2*PI()*Wn*Sheet2!A1839) + (Vo/Wn - (Po*(w/Wn))/(K*(1-(w/Wn)^2)))*SIN(2*PI()*Wn*Sheet2!A1839) +(Po*SIN(2*PI()*w*Sheet2!A1839))/(K*(1-(w/Wn)^2))</f>
        <v>-4.2912181819580359</v>
      </c>
      <c r="C1839">
        <f t="shared" si="114"/>
        <v>-0.47346939866528931</v>
      </c>
      <c r="D1839">
        <f t="shared" si="115"/>
        <v>-77.338784945388142</v>
      </c>
      <c r="R1839">
        <f t="shared" si="112"/>
        <v>1.837</v>
      </c>
      <c r="S1839">
        <f t="shared" si="113"/>
        <v>-0.47346939866528931</v>
      </c>
    </row>
    <row r="1840" spans="1:19" x14ac:dyDescent="0.3">
      <c r="A1840">
        <v>1.8380000000000001</v>
      </c>
      <c r="B1840">
        <f>Uo*COS(2*PI()*Wn*Sheet2!A1840) + (Vo/Wn - (Po*(w/Wn))/(K*(1-(w/Wn)^2)))*SIN(2*PI()*Wn*Sheet2!A1840) +(Po*SIN(2*PI()*w*Sheet2!A1840))/(K*(1-(w/Wn)^2))</f>
        <v>-4.6435703022589498</v>
      </c>
      <c r="C1840">
        <f t="shared" si="114"/>
        <v>-0.54108914436616906</v>
      </c>
      <c r="D1840">
        <f t="shared" si="115"/>
        <v>-88.384121741313081</v>
      </c>
      <c r="R1840">
        <f t="shared" si="112"/>
        <v>1.8380000000000001</v>
      </c>
      <c r="S1840">
        <f t="shared" si="113"/>
        <v>-0.54108914436616906</v>
      </c>
    </row>
    <row r="1841" spans="1:19" x14ac:dyDescent="0.3">
      <c r="A1841">
        <v>1.839</v>
      </c>
      <c r="B1841">
        <f>Uo*COS(2*PI()*Wn*Sheet2!A1841) + (Vo/Wn - (Po*(w/Wn))/(K*(1-(w/Wn)^2)))*SIN(2*PI()*Wn*Sheet2!A1841) +(Po*SIN(2*PI()*w*Sheet2!A1841))/(K*(1-(w/Wn)^2))</f>
        <v>-4.9944054573275469</v>
      </c>
      <c r="C1841">
        <f t="shared" si="114"/>
        <v>-0.60841017696342503</v>
      </c>
      <c r="D1841">
        <f t="shared" si="115"/>
        <v>-99.380665292000515</v>
      </c>
      <c r="R1841">
        <f t="shared" si="112"/>
        <v>1.839</v>
      </c>
      <c r="S1841">
        <f t="shared" si="113"/>
        <v>-0.60841017696342503</v>
      </c>
    </row>
    <row r="1842" spans="1:19" x14ac:dyDescent="0.3">
      <c r="A1842">
        <v>1.84</v>
      </c>
      <c r="B1842">
        <f>Uo*COS(2*PI()*Wn*Sheet2!A1842) + (Vo/Wn - (Po*(w/Wn))/(K*(1-(w/Wn)^2)))*SIN(2*PI()*Wn*Sheet2!A1842) +(Po*SIN(2*PI()*w*Sheet2!A1842))/(K*(1-(w/Wn)^2))</f>
        <v>-5.3436090360571677</v>
      </c>
      <c r="C1842">
        <f t="shared" si="114"/>
        <v>-0.67541106325507572</v>
      </c>
      <c r="D1842">
        <f t="shared" si="115"/>
        <v>-110.32491459442171</v>
      </c>
      <c r="R1842">
        <f t="shared" si="112"/>
        <v>1.84</v>
      </c>
      <c r="S1842">
        <f t="shared" si="113"/>
        <v>-0.67541106325507572</v>
      </c>
    </row>
    <row r="1843" spans="1:19" x14ac:dyDescent="0.3">
      <c r="A1843">
        <v>1.841</v>
      </c>
      <c r="B1843">
        <f>Uo*COS(2*PI()*Wn*Sheet2!A1843) + (Vo/Wn - (Po*(w/Wn))/(K*(1-(w/Wn)^2)))*SIN(2*PI()*Wn*Sheet2!A1843) +(Po*SIN(2*PI()*w*Sheet2!A1843))/(K*(1-(w/Wn)^2))</f>
        <v>-5.6910669603453936</v>
      </c>
      <c r="C1843">
        <f t="shared" si="114"/>
        <v>-0.74207051323490825</v>
      </c>
      <c r="D1843">
        <f t="shared" si="115"/>
        <v>-121.2133920358384</v>
      </c>
      <c r="R1843">
        <f t="shared" si="112"/>
        <v>1.841</v>
      </c>
      <c r="S1843">
        <f t="shared" si="113"/>
        <v>-0.74207051323490825</v>
      </c>
    </row>
    <row r="1844" spans="1:19" x14ac:dyDescent="0.3">
      <c r="A1844">
        <v>1.8420000000000001</v>
      </c>
      <c r="B1844">
        <f>Uo*COS(2*PI()*Wn*Sheet2!A1844) + (Vo/Wn - (Po*(w/Wn))/(K*(1-(w/Wn)^2)))*SIN(2*PI()*Wn*Sheet2!A1844) +(Po*SIN(2*PI()*w*Sheet2!A1844))/(K*(1-(w/Wn)^2))</f>
        <v>-6.0366657223617253</v>
      </c>
      <c r="C1844">
        <f t="shared" si="114"/>
        <v>-0.80836738678267206</v>
      </c>
      <c r="D1844">
        <f t="shared" si="115"/>
        <v>-132.04264448661138</v>
      </c>
      <c r="R1844">
        <f t="shared" si="112"/>
        <v>1.8420000000000001</v>
      </c>
      <c r="S1844">
        <f t="shared" si="113"/>
        <v>-0.80836738678267206</v>
      </c>
    </row>
    <row r="1845" spans="1:19" x14ac:dyDescent="0.3">
      <c r="A1845">
        <v>1.843</v>
      </c>
      <c r="B1845">
        <f>Uo*COS(2*PI()*Wn*Sheet2!A1845) + (Vo/Wn - (Po*(w/Wn))/(K*(1-(w/Wn)^2)))*SIN(2*PI()*Wn*Sheet2!A1845) +(Po*SIN(2*PI()*w*Sheet2!A1845))/(K*(1-(w/Wn)^2))</f>
        <v>-6.3802924216281323</v>
      </c>
      <c r="C1845">
        <f t="shared" si="114"/>
        <v>-0.87428070029313942</v>
      </c>
      <c r="D1845">
        <f t="shared" si="115"/>
        <v>-142.80924438302344</v>
      </c>
      <c r="R1845">
        <f t="shared" si="112"/>
        <v>1.843</v>
      </c>
      <c r="S1845">
        <f t="shared" si="113"/>
        <v>-0.87428070029313942</v>
      </c>
    </row>
    <row r="1846" spans="1:19" x14ac:dyDescent="0.3">
      <c r="A1846">
        <v>1.8440000000000001</v>
      </c>
      <c r="B1846">
        <f>Uo*COS(2*PI()*Wn*Sheet2!A1846) + (Vo/Wn - (Po*(w/Wn))/(K*(1-(w/Wn)^2)))*SIN(2*PI()*Wn*Sheet2!A1846) +(Po*SIN(2*PI()*w*Sheet2!A1846))/(K*(1-(w/Wn)^2))</f>
        <v>-6.7218348019020127</v>
      </c>
      <c r="C1846">
        <f t="shared" si="114"/>
        <v>-0.9397896332423753</v>
      </c>
      <c r="D1846">
        <f t="shared" si="115"/>
        <v>-153.5097907998456</v>
      </c>
      <c r="R1846">
        <f t="shared" si="112"/>
        <v>1.8440000000000001</v>
      </c>
      <c r="S1846">
        <f t="shared" si="113"/>
        <v>-0.9397896332423753</v>
      </c>
    </row>
    <row r="1847" spans="1:19" x14ac:dyDescent="0.3">
      <c r="A1847">
        <v>1.845</v>
      </c>
      <c r="B1847">
        <f>Uo*COS(2*PI()*Wn*Sheet2!A1847) + (Vo/Wn - (Po*(w/Wn))/(K*(1-(w/Wn)^2)))*SIN(2*PI()*Wn*Sheet2!A1847) +(Po*SIN(2*PI()*w*Sheet2!A1847))/(K*(1-(w/Wn)^2))</f>
        <v>-7.061181287847214</v>
      </c>
      <c r="C1847">
        <f t="shared" si="114"/>
        <v>-1.0048735346886579</v>
      </c>
      <c r="D1847">
        <f t="shared" si="115"/>
        <v>-164.14091051222903</v>
      </c>
      <c r="R1847">
        <f t="shared" si="112"/>
        <v>1.845</v>
      </c>
      <c r="S1847">
        <f t="shared" si="113"/>
        <v>-1.0048735346886579</v>
      </c>
    </row>
    <row r="1848" spans="1:19" x14ac:dyDescent="0.3">
      <c r="A1848">
        <v>1.8460000000000001</v>
      </c>
      <c r="B1848">
        <f>Uo*COS(2*PI()*Wn*Sheet2!A1848) + (Vo/Wn - (Po*(w/Wn))/(K*(1-(w/Wn)^2)))*SIN(2*PI()*Wn*Sheet2!A1848) +(Po*SIN(2*PI()*w*Sheet2!A1848))/(K*(1-(w/Wn)^2))</f>
        <v>-7.3982210214846136</v>
      </c>
      <c r="C1848">
        <f t="shared" si="114"/>
        <v>-1.0695119297064415</v>
      </c>
      <c r="D1848">
        <f t="shared" si="115"/>
        <v>-174.69925904665968</v>
      </c>
      <c r="R1848">
        <f t="shared" si="112"/>
        <v>1.8460000000000001</v>
      </c>
      <c r="S1848">
        <f t="shared" si="113"/>
        <v>-1.0695119297064415</v>
      </c>
    </row>
    <row r="1849" spans="1:19" x14ac:dyDescent="0.3">
      <c r="A1849">
        <v>1.847</v>
      </c>
      <c r="B1849">
        <f>Uo*COS(2*PI()*Wn*Sheet2!A1849) + (Vo/Wn - (Po*(w/Wn))/(K*(1-(w/Wn)^2)))*SIN(2*PI()*Wn*Sheet2!A1849) +(Po*SIN(2*PI()*w*Sheet2!A1849))/(K*(1-(w/Wn)^2))</f>
        <v>-7.7328438984063705</v>
      </c>
      <c r="C1849">
        <f t="shared" si="114"/>
        <v>-1.1336845257512282</v>
      </c>
      <c r="D1849">
        <f t="shared" si="115"/>
        <v>-185.18152172062722</v>
      </c>
      <c r="R1849">
        <f t="shared" si="112"/>
        <v>1.847</v>
      </c>
      <c r="S1849">
        <f t="shared" si="113"/>
        <v>-1.1336845257512282</v>
      </c>
    </row>
    <row r="1850" spans="1:19" x14ac:dyDescent="0.3">
      <c r="A1850">
        <v>1.8480000000000001</v>
      </c>
      <c r="B1850">
        <f>Uo*COS(2*PI()*Wn*Sheet2!A1850) + (Vo/Wn - (Po*(w/Wn))/(K*(1-(w/Wn)^2)))*SIN(2*PI()*Wn*Sheet2!A1850) +(Po*SIN(2*PI()*w*Sheet2!A1850))/(K*(1-(w/Wn)^2))</f>
        <v>-8.0649406037453133</v>
      </c>
      <c r="C1850">
        <f t="shared" si="114"/>
        <v>-1.1973712189534138</v>
      </c>
      <c r="D1850">
        <f t="shared" si="115"/>
        <v>-195.58441467069241</v>
      </c>
      <c r="R1850">
        <f t="shared" si="112"/>
        <v>1.8480000000000001</v>
      </c>
      <c r="S1850">
        <f t="shared" si="113"/>
        <v>-1.1973712189534138</v>
      </c>
    </row>
    <row r="1851" spans="1:19" x14ac:dyDescent="0.3">
      <c r="A1851">
        <v>1.849</v>
      </c>
      <c r="B1851">
        <f>Uo*COS(2*PI()*Wn*Sheet2!A1851) + (Vo/Wn - (Po*(w/Wn))/(K*(1-(w/Wn)^2)))*SIN(2*PI()*Wn*Sheet2!A1851) +(Po*SIN(2*PI()*w*Sheet2!A1851))/(K*(1-(w/Wn)^2))</f>
        <v>-8.3944026478864036</v>
      </c>
      <c r="C1851">
        <f t="shared" si="114"/>
        <v>-1.2605521003391942</v>
      </c>
      <c r="D1851">
        <f t="shared" si="115"/>
        <v>-205.90468586864</v>
      </c>
      <c r="R1851">
        <f t="shared" si="112"/>
        <v>1.849</v>
      </c>
      <c r="S1851">
        <f t="shared" si="113"/>
        <v>-1.2605521003391942</v>
      </c>
    </row>
    <row r="1852" spans="1:19" x14ac:dyDescent="0.3">
      <c r="A1852">
        <v>1.85</v>
      </c>
      <c r="B1852">
        <f>Uo*COS(2*PI()*Wn*Sheet2!A1852) + (Vo/Wn - (Po*(w/Wn))/(K*(1-(w/Wn)^2)))*SIN(2*PI()*Wn*Sheet2!A1852) +(Po*SIN(2*PI()*w*Sheet2!A1852))/(K*(1-(w/Wn)^2))</f>
        <v>-8.7211224019074152</v>
      </c>
      <c r="C1852">
        <f t="shared" si="114"/>
        <v>-1.323207461976645</v>
      </c>
      <c r="D1852">
        <f t="shared" si="115"/>
        <v>-216.13911612540912</v>
      </c>
      <c r="R1852">
        <f t="shared" si="112"/>
        <v>1.85</v>
      </c>
      <c r="S1852">
        <f t="shared" si="113"/>
        <v>-1.323207461976645</v>
      </c>
    </row>
    <row r="1853" spans="1:19" x14ac:dyDescent="0.3">
      <c r="A1853">
        <v>1.851</v>
      </c>
      <c r="B1853">
        <f>Uo*COS(2*PI()*Wn*Sheet2!A1853) + (Vo/Wn - (Po*(w/Wn))/(K*(1-(w/Wn)^2)))*SIN(2*PI()*Wn*Sheet2!A1853) +(Po*SIN(2*PI()*w*Sheet2!A1853))/(K*(1-(w/Wn)^2))</f>
        <v>-9.0449931327396467</v>
      </c>
      <c r="C1853">
        <f t="shared" si="114"/>
        <v>-1.3853178030449667</v>
      </c>
      <c r="D1853">
        <f t="shared" si="115"/>
        <v>-226.28452008247334</v>
      </c>
      <c r="R1853">
        <f t="shared" si="112"/>
        <v>1.851</v>
      </c>
      <c r="S1853">
        <f t="shared" si="113"/>
        <v>-1.3853178030449667</v>
      </c>
    </row>
    <row r="1854" spans="1:19" x14ac:dyDescent="0.3">
      <c r="A1854">
        <v>1.8520000000000001</v>
      </c>
      <c r="B1854">
        <f>Uo*COS(2*PI()*Wn*Sheet2!A1854) + (Vo/Wn - (Po*(w/Wn))/(K*(1-(w/Wn)^2)))*SIN(2*PI()*Wn*Sheet2!A1854) +(Po*SIN(2*PI()*w*Sheet2!A1854))/(K*(1-(w/Wn)^2))</f>
        <v>-9.3659090380359302</v>
      </c>
      <c r="C1854">
        <f t="shared" si="114"/>
        <v>-1.4468638358254144</v>
      </c>
      <c r="D1854">
        <f t="shared" si="115"/>
        <v>-236.33774719042796</v>
      </c>
      <c r="R1854">
        <f t="shared" si="112"/>
        <v>1.8520000000000001</v>
      </c>
      <c r="S1854">
        <f t="shared" si="113"/>
        <v>-1.4468638358254144</v>
      </c>
    </row>
    <row r="1855" spans="1:19" x14ac:dyDescent="0.3">
      <c r="A1855">
        <v>1.853</v>
      </c>
      <c r="B1855">
        <f>Uo*COS(2*PI()*Wn*Sheet2!A1855) + (Vo/Wn - (Po*(w/Wn))/(K*(1-(w/Wn)^2)))*SIN(2*PI()*Wn*Sheet2!A1855) +(Po*SIN(2*PI()*w*Sheet2!A1855))/(K*(1-(w/Wn)^2))</f>
        <v>-9.6837652807333434</v>
      </c>
      <c r="C1855">
        <f t="shared" si="114"/>
        <v>-1.507826491611614</v>
      </c>
      <c r="D1855">
        <f t="shared" si="115"/>
        <v>-246.29568267440976</v>
      </c>
      <c r="R1855">
        <f t="shared" si="112"/>
        <v>1.853</v>
      </c>
      <c r="S1855">
        <f t="shared" si="113"/>
        <v>-1.507826491611614</v>
      </c>
    </row>
    <row r="1856" spans="1:19" x14ac:dyDescent="0.3">
      <c r="A1856">
        <v>1.8540000000000001</v>
      </c>
      <c r="B1856">
        <f>Uo*COS(2*PI()*Wn*Sheet2!A1856) + (Vo/Wn - (Po*(w/Wn))/(K*(1-(w/Wn)^2)))*SIN(2*PI()*Wn*Sheet2!A1856) +(Po*SIN(2*PI()*w*Sheet2!A1856))/(K*(1-(w/Wn)^2))</f>
        <v>-9.9984580233024758</v>
      </c>
      <c r="C1856">
        <f t="shared" si="114"/>
        <v>-1.568186926537839</v>
      </c>
      <c r="D1856">
        <f t="shared" si="115"/>
        <v>-256.15524848611602</v>
      </c>
      <c r="R1856">
        <f t="shared" si="112"/>
        <v>1.8540000000000001</v>
      </c>
      <c r="S1856">
        <f t="shared" si="113"/>
        <v>-1.568186926537839</v>
      </c>
    </row>
    <row r="1857" spans="1:19" x14ac:dyDescent="0.3">
      <c r="A1857">
        <v>1.855</v>
      </c>
      <c r="B1857">
        <f>Uo*COS(2*PI()*Wn*Sheet2!A1857) + (Vo/Wn - (Po*(w/Wn))/(K*(1-(w/Wn)^2)))*SIN(2*PI()*Wn*Sheet2!A1857) +(Po*SIN(2*PI()*w*Sheet2!A1857))/(K*(1-(w/Wn)^2))</f>
        <v>-10.30988446166827</v>
      </c>
      <c r="C1857">
        <f t="shared" si="114"/>
        <v>-1.6279265273233605</v>
      </c>
      <c r="D1857">
        <f t="shared" si="115"/>
        <v>-265.91340424211444</v>
      </c>
      <c r="R1857">
        <f t="shared" ref="R1857:R1920" si="116">A1857</f>
        <v>1.855</v>
      </c>
      <c r="S1857">
        <f t="shared" ref="S1857:S1920" si="117">C1857</f>
        <v>-1.6279265273233605</v>
      </c>
    </row>
    <row r="1858" spans="1:19" x14ac:dyDescent="0.3">
      <c r="A1858">
        <v>1.8560000000000001</v>
      </c>
      <c r="B1858">
        <f>Uo*COS(2*PI()*Wn*Sheet2!A1858) + (Vo/Wn - (Po*(w/Wn))/(K*(1-(w/Wn)^2)))*SIN(2*PI()*Wn*Sheet2!A1858) +(Po*SIN(2*PI()*w*Sheet2!A1858))/(K*(1-(w/Wn)^2))</f>
        <v>-10.617942858794647</v>
      </c>
      <c r="C1858">
        <f t="shared" ref="C1858:C1921" si="118">EXP(-zeta*Wn*A1858*2*PI())*($H$1*COS(wnD*2*PI()*A1858) + $H$2*SIN(wnD*2*PI()*A1858)) + $H$3*SIN(w*2*PI()*A1858) + $H$4*COS(w*2*PI()*A1858)</f>
        <v>-1.6870269169311816</v>
      </c>
      <c r="D1858">
        <f t="shared" ref="D1858:D1921" si="119">K*C1858</f>
        <v>-275.56714814816809</v>
      </c>
      <c r="R1858">
        <f t="shared" si="116"/>
        <v>1.8560000000000001</v>
      </c>
      <c r="S1858">
        <f t="shared" si="117"/>
        <v>-1.6870269169311816</v>
      </c>
    </row>
    <row r="1859" spans="1:19" x14ac:dyDescent="0.3">
      <c r="A1859">
        <v>1.857</v>
      </c>
      <c r="B1859">
        <f>Uo*COS(2*PI()*Wn*Sheet2!A1859) + (Vo/Wn - (Po*(w/Wn))/(K*(1-(w/Wn)^2)))*SIN(2*PI()*Wn*Sheet2!A1859) +(Po*SIN(2*PI()*w*Sheet2!A1859))/(K*(1-(w/Wn)^2))</f>
        <v>-10.922532577919791</v>
      </c>
      <c r="C1859">
        <f t="shared" si="118"/>
        <v>-1.7454699601393109</v>
      </c>
      <c r="D1859">
        <f t="shared" si="119"/>
        <v>-285.11351790927444</v>
      </c>
      <c r="R1859">
        <f t="shared" si="116"/>
        <v>1.857</v>
      </c>
      <c r="S1859">
        <f t="shared" si="117"/>
        <v>-1.7454699601393109</v>
      </c>
    </row>
    <row r="1860" spans="1:19" x14ac:dyDescent="0.3">
      <c r="A1860">
        <v>1.8580000000000001</v>
      </c>
      <c r="B1860">
        <f>Uo*COS(2*PI()*Wn*Sheet2!A1860) + (Vo/Wn - (Po*(w/Wn))/(K*(1-(w/Wn)^2)))*SIN(2*PI()*Wn*Sheet2!A1860) +(Po*SIN(2*PI()*w*Sheet2!A1860))/(K*(1-(w/Wn)^2))</f>
        <v>-11.223554115432728</v>
      </c>
      <c r="C1860">
        <f t="shared" si="118"/>
        <v>-1.8032377690234207</v>
      </c>
      <c r="D1860">
        <f t="shared" si="119"/>
        <v>-294.54959162522925</v>
      </c>
      <c r="R1860">
        <f t="shared" si="116"/>
        <v>1.8580000000000001</v>
      </c>
      <c r="S1860">
        <f t="shared" si="117"/>
        <v>-1.8032377690234207</v>
      </c>
    </row>
    <row r="1861" spans="1:19" x14ac:dyDescent="0.3">
      <c r="A1861">
        <v>1.859</v>
      </c>
      <c r="B1861">
        <f>Uo*COS(2*PI()*Wn*Sheet2!A1861) + (Vo/Wn - (Po*(w/Wn))/(K*(1-(w/Wn)^2)))*SIN(2*PI()*Wn*Sheet2!A1861) +(Po*SIN(2*PI()*w*Sheet2!A1861))/(K*(1-(w/Wn)^2))</f>
        <v>-11.520909133378414</v>
      </c>
      <c r="C1861">
        <f t="shared" si="118"/>
        <v>-1.8603127083483084</v>
      </c>
      <c r="D1861">
        <f t="shared" si="119"/>
        <v>-303.87248867129375</v>
      </c>
      <c r="R1861">
        <f t="shared" si="116"/>
        <v>1.859</v>
      </c>
      <c r="S1861">
        <f t="shared" si="117"/>
        <v>-1.8603127083483084</v>
      </c>
    </row>
    <row r="1862" spans="1:19" x14ac:dyDescent="0.3">
      <c r="A1862">
        <v>1.86</v>
      </c>
      <c r="B1862">
        <f>Uo*COS(2*PI()*Wn*Sheet2!A1862) + (Vo/Wn - (Po*(w/Wn))/(K*(1-(w/Wn)^2)))*SIN(2*PI()*Wn*Sheet2!A1862) +(Po*SIN(2*PI()*w*Sheet2!A1862))/(K*(1-(w/Wn)^2))</f>
        <v>-11.814500491583793</v>
      </c>
      <c r="C1862">
        <f t="shared" si="118"/>
        <v>-1.9166774008677323</v>
      </c>
      <c r="D1862">
        <f t="shared" si="119"/>
        <v>-313.07937056389585</v>
      </c>
      <c r="R1862">
        <f t="shared" si="116"/>
        <v>1.86</v>
      </c>
      <c r="S1862">
        <f t="shared" si="117"/>
        <v>-1.9166774008677323</v>
      </c>
    </row>
    <row r="1863" spans="1:19" x14ac:dyDescent="0.3">
      <c r="A1863">
        <v>1.861</v>
      </c>
      <c r="B1863">
        <f>Uo*COS(2*PI()*Wn*Sheet2!A1863) + (Vo/Wn - (Po*(w/Wn))/(K*(1-(w/Wn)^2)))*SIN(2*PI()*Wn*Sheet2!A1863) +(Po*SIN(2*PI()*w*Sheet2!A1863))/(K*(1-(w/Wn)^2))</f>
        <v>-12.104232279390697</v>
      </c>
      <c r="C1863">
        <f t="shared" si="118"/>
        <v>-1.9723147325300929</v>
      </c>
      <c r="D1863">
        <f t="shared" si="119"/>
        <v>-322.16744181095106</v>
      </c>
      <c r="R1863">
        <f t="shared" si="116"/>
        <v>1.861</v>
      </c>
      <c r="S1863">
        <f t="shared" si="117"/>
        <v>-1.9723147325300929</v>
      </c>
    </row>
    <row r="1864" spans="1:19" x14ac:dyDescent="0.3">
      <c r="A1864">
        <v>1.8620000000000001</v>
      </c>
      <c r="B1864">
        <f>Uo*COS(2*PI()*Wn*Sheet2!A1864) + (Vo/Wn - (Po*(w/Wn))/(K*(1-(w/Wn)^2)))*SIN(2*PI()*Wn*Sheet2!A1864) +(Po*SIN(2*PI()*w*Sheet2!A1864))/(K*(1-(w/Wn)^2))</f>
        <v>-12.390009846988939</v>
      </c>
      <c r="C1864">
        <f t="shared" si="118"/>
        <v>-2.0272078575889605</v>
      </c>
      <c r="D1864">
        <f t="shared" si="119"/>
        <v>-331.13395074664101</v>
      </c>
      <c r="R1864">
        <f t="shared" si="116"/>
        <v>1.8620000000000001</v>
      </c>
      <c r="S1864">
        <f t="shared" si="117"/>
        <v>-2.0272078575889605</v>
      </c>
    </row>
    <row r="1865" spans="1:19" x14ac:dyDescent="0.3">
      <c r="A1865">
        <v>1.863</v>
      </c>
      <c r="B1865">
        <f>Uo*COS(2*PI()*Wn*Sheet2!A1865) + (Vo/Wn - (Po*(w/Wn))/(K*(1-(w/Wn)^2)))*SIN(2*PI()*Wn*Sheet2!A1865) +(Po*SIN(2*PI()*w*Sheet2!A1865))/(K*(1-(w/Wn)^2))</f>
        <v>-12.671739836335782</v>
      </c>
      <c r="C1865">
        <f t="shared" si="118"/>
        <v>-2.0813402036167732</v>
      </c>
      <c r="D1865">
        <f t="shared" si="119"/>
        <v>-339.97619035037496</v>
      </c>
      <c r="R1865">
        <f t="shared" si="116"/>
        <v>1.863</v>
      </c>
      <c r="S1865">
        <f t="shared" si="117"/>
        <v>-2.0813402036167732</v>
      </c>
    </row>
    <row r="1866" spans="1:19" x14ac:dyDescent="0.3">
      <c r="A1866">
        <v>1.8640000000000001</v>
      </c>
      <c r="B1866">
        <f>Uo*COS(2*PI()*Wn*Sheet2!A1866) + (Vo/Wn - (Po*(w/Wn))/(K*(1-(w/Wn)^2)))*SIN(2*PI()*Wn*Sheet2!A1866) +(Po*SIN(2*PI()*w*Sheet2!A1866))/(K*(1-(w/Wn)^2))</f>
        <v>-12.949330211654688</v>
      </c>
      <c r="C1866">
        <f t="shared" si="118"/>
        <v>-2.134695476420295</v>
      </c>
      <c r="D1866">
        <f t="shared" si="119"/>
        <v>-348.69149904970487</v>
      </c>
      <c r="R1866">
        <f t="shared" si="116"/>
        <v>1.8640000000000001</v>
      </c>
      <c r="S1866">
        <f t="shared" si="117"/>
        <v>-2.134695476420295</v>
      </c>
    </row>
    <row r="1867" spans="1:19" x14ac:dyDescent="0.3">
      <c r="A1867">
        <v>1.865</v>
      </c>
      <c r="B1867">
        <f>Uo*COS(2*PI()*Wn*Sheet2!A1867) + (Vo/Wn - (Po*(w/Wn))/(K*(1-(w/Wn)^2)))*SIN(2*PI()*Wn*Sheet2!A1867) +(Po*SIN(2*PI()*w*Sheet2!A1867))/(K*(1-(w/Wn)^2))</f>
        <v>-13.222690289501401</v>
      </c>
      <c r="C1867">
        <f t="shared" si="118"/>
        <v>-2.1872576648562627</v>
      </c>
      <c r="D1867">
        <f t="shared" si="119"/>
        <v>-357.2772615069361</v>
      </c>
      <c r="R1867">
        <f t="shared" si="116"/>
        <v>1.865</v>
      </c>
      <c r="S1867">
        <f t="shared" si="117"/>
        <v>-2.1872576648562627</v>
      </c>
    </row>
    <row r="1868" spans="1:19" x14ac:dyDescent="0.3">
      <c r="A1868">
        <v>1.8660000000000001</v>
      </c>
      <c r="B1868">
        <f>Uo*COS(2*PI()*Wn*Sheet2!A1868) + (Vo/Wn - (Po*(w/Wn))/(K*(1-(w/Wn)^2)))*SIN(2*PI()*Wn*Sheet2!A1868) +(Po*SIN(2*PI()*w*Sheet2!A1868))/(K*(1-(w/Wn)^2))</f>
        <v>-13.491730768388923</v>
      </c>
      <c r="C1868">
        <f t="shared" si="118"/>
        <v>-2.2390110455462873</v>
      </c>
      <c r="D1868">
        <f t="shared" si="119"/>
        <v>-365.73090938928243</v>
      </c>
      <c r="R1868">
        <f t="shared" si="116"/>
        <v>1.8660000000000001</v>
      </c>
      <c r="S1868">
        <f t="shared" si="117"/>
        <v>-2.2390110455462873</v>
      </c>
    </row>
    <row r="1869" spans="1:19" x14ac:dyDescent="0.3">
      <c r="A1869">
        <v>1.867</v>
      </c>
      <c r="B1869">
        <f>Uo*COS(2*PI()*Wn*Sheet2!A1869) + (Vo/Wn - (Po*(w/Wn))/(K*(1-(w/Wn)^2)))*SIN(2*PI()*Wn*Sheet2!A1869) +(Po*SIN(2*PI()*w*Sheet2!A1869))/(K*(1-(w/Wn)^2))</f>
        <v>-13.756363757959853</v>
      </c>
      <c r="C1869">
        <f t="shared" si="118"/>
        <v>-2.289940187488793</v>
      </c>
      <c r="D1869">
        <f t="shared" si="119"/>
        <v>-374.04992212220259</v>
      </c>
      <c r="R1869">
        <f t="shared" si="116"/>
        <v>1.867</v>
      </c>
      <c r="S1869">
        <f t="shared" si="117"/>
        <v>-2.289940187488793</v>
      </c>
    </row>
    <row r="1870" spans="1:19" x14ac:dyDescent="0.3">
      <c r="A1870">
        <v>1.8680000000000001</v>
      </c>
      <c r="B1870">
        <f>Uo*COS(2*PI()*Wn*Sheet2!A1870) + (Vo/Wn - (Po*(w/Wn))/(K*(1-(w/Wn)^2)))*SIN(2*PI()*Wn*Sheet2!A1870) +(Po*SIN(2*PI()*w*Sheet2!A1870))/(K*(1-(w/Wn)^2))</f>
        <v>-14.016502807699309</v>
      </c>
      <c r="C1870">
        <f t="shared" si="118"/>
        <v>-2.3400299565677276</v>
      </c>
      <c r="D1870">
        <f t="shared" si="119"/>
        <v>-382.23182762587476</v>
      </c>
      <c r="R1870">
        <f t="shared" si="116"/>
        <v>1.8680000000000001</v>
      </c>
      <c r="S1870">
        <f t="shared" si="117"/>
        <v>-2.3400299565677276</v>
      </c>
    </row>
    <row r="1871" spans="1:19" x14ac:dyDescent="0.3">
      <c r="A1871">
        <v>1.869</v>
      </c>
      <c r="B1871">
        <f>Uo*COS(2*PI()*Wn*Sheet2!A1871) + (Vo/Wn - (Po*(w/Wn))/(K*(1-(w/Wn)^2)))*SIN(2*PI()*Wn*Sheet2!A1871) +(Po*SIN(2*PI()*w*Sheet2!A1871))/(K*(1-(w/Wn)^2))</f>
        <v>-14.272062935175834</v>
      </c>
      <c r="C1871">
        <f t="shared" si="118"/>
        <v>-2.3892655199558943</v>
      </c>
      <c r="D1871">
        <f t="shared" si="119"/>
        <v>-390.27420303445803</v>
      </c>
      <c r="R1871">
        <f t="shared" si="116"/>
        <v>1.869</v>
      </c>
      <c r="S1871">
        <f t="shared" si="117"/>
        <v>-2.3892655199558943</v>
      </c>
    </row>
    <row r="1872" spans="1:19" x14ac:dyDescent="0.3">
      <c r="A1872">
        <v>1.87</v>
      </c>
      <c r="B1872">
        <f>Uo*COS(2*PI()*Wn*Sheet2!A1872) + (Vo/Wn - (Po*(w/Wn))/(K*(1-(w/Wn)^2)))*SIN(2*PI()*Wn*Sheet2!A1872) +(Po*SIN(2*PI()*w*Sheet2!A1872))/(K*(1-(w/Wn)^2))</f>
        <v>-14.522960653804333</v>
      </c>
      <c r="C1872">
        <f t="shared" si="118"/>
        <v>-2.4376323504121173</v>
      </c>
      <c r="D1872">
        <f t="shared" si="119"/>
        <v>-398.17467539801254</v>
      </c>
      <c r="R1872">
        <f t="shared" si="116"/>
        <v>1.87</v>
      </c>
      <c r="S1872">
        <f t="shared" si="117"/>
        <v>-2.4376323504121173</v>
      </c>
    </row>
    <row r="1873" spans="1:19" x14ac:dyDescent="0.3">
      <c r="A1873">
        <v>1.871</v>
      </c>
      <c r="B1873">
        <f>Uo*COS(2*PI()*Wn*Sheet2!A1873) + (Vo/Wn - (Po*(w/Wn))/(K*(1-(w/Wn)^2)))*SIN(2*PI()*Wn*Sheet2!A1873) +(Po*SIN(2*PI()*w*Sheet2!A1873))/(K*(1-(w/Wn)^2))</f>
        <v>-14.769114000118835</v>
      </c>
      <c r="C1873">
        <f t="shared" si="118"/>
        <v>-2.4851162304709007</v>
      </c>
      <c r="D1873">
        <f t="shared" si="119"/>
        <v>-405.93092236685823</v>
      </c>
      <c r="R1873">
        <f t="shared" si="116"/>
        <v>1.871</v>
      </c>
      <c r="S1873">
        <f t="shared" si="117"/>
        <v>-2.4851162304709007</v>
      </c>
    </row>
    <row r="1874" spans="1:19" x14ac:dyDescent="0.3">
      <c r="A1874">
        <v>1.8720000000000001</v>
      </c>
      <c r="B1874">
        <f>Uo*COS(2*PI()*Wn*Sheet2!A1874) + (Vo/Wn - (Po*(w/Wn))/(K*(1-(w/Wn)^2)))*SIN(2*PI()*Wn*Sheet2!A1874) +(Po*SIN(2*PI()*w*Sheet2!A1874))/(K*(1-(w/Wn)^2))</f>
        <v>-15.010442560548778</v>
      </c>
      <c r="C1874">
        <f t="shared" si="118"/>
        <v>-2.5317032565234139</v>
      </c>
      <c r="D1874">
        <f t="shared" si="119"/>
        <v>-413.5406728581832</v>
      </c>
      <c r="R1874">
        <f t="shared" si="116"/>
        <v>1.8720000000000001</v>
      </c>
      <c r="S1874">
        <f t="shared" si="117"/>
        <v>-2.5317032565234139</v>
      </c>
    </row>
    <row r="1875" spans="1:19" x14ac:dyDescent="0.3">
      <c r="A1875">
        <v>1.873</v>
      </c>
      <c r="B1875">
        <f>Uo*COS(2*PI()*Wn*Sheet2!A1875) + (Vo/Wn - (Po*(w/Wn))/(K*(1-(w/Wn)^2)))*SIN(2*PI()*Wn*Sheet2!A1875) +(Po*SIN(2*PI()*w*Sheet2!A1875))/(K*(1-(w/Wn)^2))</f>
        <v>-15.246867497688397</v>
      </c>
      <c r="C1875">
        <f t="shared" si="118"/>
        <v>-2.5773798427885772</v>
      </c>
      <c r="D1875">
        <f t="shared" si="119"/>
        <v>-421.0017077046997</v>
      </c>
      <c r="R1875">
        <f t="shared" si="116"/>
        <v>1.873</v>
      </c>
      <c r="S1875">
        <f t="shared" si="117"/>
        <v>-2.5773798427885772</v>
      </c>
    </row>
    <row r="1876" spans="1:19" x14ac:dyDescent="0.3">
      <c r="A1876">
        <v>1.8740000000000001</v>
      </c>
      <c r="B1876">
        <f>Uo*COS(2*PI()*Wn*Sheet2!A1876) + (Vo/Wn - (Po*(w/Wn))/(K*(1-(w/Wn)^2)))*SIN(2*PI()*Wn*Sheet2!A1876) +(Po*SIN(2*PI()*w*Sheet2!A1876))/(K*(1-(w/Wn)^2))</f>
        <v>-15.478311576051748</v>
      </c>
      <c r="C1876">
        <f t="shared" si="118"/>
        <v>-2.6221327251735267</v>
      </c>
      <c r="D1876">
        <f t="shared" si="119"/>
        <v>-428.31186028523138</v>
      </c>
      <c r="R1876">
        <f t="shared" si="116"/>
        <v>1.8740000000000001</v>
      </c>
      <c r="S1876">
        <f t="shared" si="117"/>
        <v>-2.6221327251735267</v>
      </c>
    </row>
    <row r="1877" spans="1:19" x14ac:dyDescent="0.3">
      <c r="A1877">
        <v>1.875</v>
      </c>
      <c r="B1877">
        <f>Uo*COS(2*PI()*Wn*Sheet2!A1877) + (Vo/Wn - (Po*(w/Wn))/(K*(1-(w/Wn)^2)))*SIN(2*PI()*Wn*Sheet2!A1877) +(Po*SIN(2*PI()*w*Sheet2!A1877))/(K*(1-(w/Wn)^2))</f>
        <v>-15.704699187303424</v>
      </c>
      <c r="C1877">
        <f t="shared" si="118"/>
        <v>-2.6659489650216548</v>
      </c>
      <c r="D1877">
        <f t="shared" si="119"/>
        <v>-435.46901713693643</v>
      </c>
      <c r="R1877">
        <f t="shared" si="116"/>
        <v>1.875</v>
      </c>
      <c r="S1877">
        <f t="shared" si="117"/>
        <v>-2.6659489650216548</v>
      </c>
    </row>
    <row r="1878" spans="1:19" x14ac:dyDescent="0.3">
      <c r="A1878">
        <v>1.8759999999999999</v>
      </c>
      <c r="B1878">
        <f>Uo*COS(2*PI()*Wn*Sheet2!A1878) + (Vo/Wn - (Po*(w/Wn))/(K*(1-(w/Wn)^2)))*SIN(2*PI()*Wn*Sheet2!A1878) +(Po*SIN(2*PI()*w*Sheet2!A1878))/(K*(1-(w/Wn)^2))</f>
        <v>-15.925956374959062</v>
      </c>
      <c r="C1878">
        <f t="shared" si="118"/>
        <v>-2.7088159527481253</v>
      </c>
      <c r="D1878">
        <f t="shared" si="119"/>
        <v>-442.47111854914988</v>
      </c>
      <c r="R1878">
        <f t="shared" si="116"/>
        <v>1.8759999999999999</v>
      </c>
      <c r="S1878">
        <f t="shared" si="117"/>
        <v>-2.7088159527481253</v>
      </c>
    </row>
    <row r="1879" spans="1:19" x14ac:dyDescent="0.3">
      <c r="A1879">
        <v>1.877</v>
      </c>
      <c r="B1879">
        <f>Uo*COS(2*PI()*Wn*Sheet2!A1879) + (Vo/Wn - (Po*(w/Wn))/(K*(1-(w/Wn)^2)))*SIN(2*PI()*Wn*Sheet2!A1879) +(Po*SIN(2*PI()*w*Sheet2!A1879))/(K*(1-(w/Wn)^2))</f>
        <v>-16.142010858544886</v>
      </c>
      <c r="C1879">
        <f t="shared" si="118"/>
        <v>-2.7507214113611247</v>
      </c>
      <c r="D1879">
        <f t="shared" si="119"/>
        <v>-449.3161591385624</v>
      </c>
      <c r="R1879">
        <f t="shared" si="116"/>
        <v>1.877</v>
      </c>
      <c r="S1879">
        <f t="shared" si="117"/>
        <v>-2.7507214113611247</v>
      </c>
    </row>
    <row r="1880" spans="1:19" x14ac:dyDescent="0.3">
      <c r="A1880">
        <v>1.8779999999999999</v>
      </c>
      <c r="B1880">
        <f>Uo*COS(2*PI()*Wn*Sheet2!A1880) + (Vo/Wn - (Po*(w/Wn))/(K*(1-(w/Wn)^2)))*SIN(2*PI()*Wn*Sheet2!A1880) +(Po*SIN(2*PI()*w*Sheet2!A1880))/(K*(1-(w/Wn)^2))</f>
        <v>-16.352792057210618</v>
      </c>
      <c r="C1880">
        <f t="shared" si="118"/>
        <v>-2.791653399868312</v>
      </c>
      <c r="D1880">
        <f t="shared" si="119"/>
        <v>-456.00218840564565</v>
      </c>
      <c r="R1880">
        <f t="shared" si="116"/>
        <v>1.8779999999999999</v>
      </c>
      <c r="S1880">
        <f t="shared" si="117"/>
        <v>-2.791653399868312</v>
      </c>
    </row>
    <row r="1881" spans="1:19" x14ac:dyDescent="0.3">
      <c r="A1881">
        <v>1.879</v>
      </c>
      <c r="B1881">
        <f>Uo*COS(2*PI()*Wn*Sheet2!A1881) + (Vo/Wn - (Po*(w/Wn))/(K*(1-(w/Wn)^2)))*SIN(2*PI()*Wn*Sheet2!A1881) +(Po*SIN(2*PI()*w*Sheet2!A1881))/(K*(1-(w/Wn)^2))</f>
        <v>-16.558231112787144</v>
      </c>
      <c r="C1881">
        <f t="shared" si="118"/>
        <v>-2.8316003165674291</v>
      </c>
      <c r="D1881">
        <f t="shared" si="119"/>
        <v>-462.52731127215725</v>
      </c>
      <c r="R1881">
        <f t="shared" si="116"/>
        <v>1.879</v>
      </c>
      <c r="S1881">
        <f t="shared" si="117"/>
        <v>-2.8316003165674291</v>
      </c>
    </row>
    <row r="1882" spans="1:19" x14ac:dyDescent="0.3">
      <c r="A1882">
        <v>1.88</v>
      </c>
      <c r="B1882">
        <f>Uo*COS(2*PI()*Wn*Sheet2!A1882) + (Vo/Wn - (Po*(w/Wn))/(K*(1-(w/Wn)^2)))*SIN(2*PI()*Wn*Sheet2!A1882) +(Po*SIN(2*PI()*w*Sheet2!A1882))/(K*(1-(w/Wn)^2))</f>
        <v>-16.758260912280555</v>
      </c>
      <c r="C1882">
        <f t="shared" si="118"/>
        <v>-2.8705509022202405</v>
      </c>
      <c r="D1882">
        <f t="shared" si="119"/>
        <v>-468.88968859958669</v>
      </c>
      <c r="R1882">
        <f t="shared" si="116"/>
        <v>1.88</v>
      </c>
      <c r="S1882">
        <f t="shared" si="117"/>
        <v>-2.8705509022202405</v>
      </c>
    </row>
    <row r="1883" spans="1:19" x14ac:dyDescent="0.3">
      <c r="A1883">
        <v>1.881</v>
      </c>
      <c r="B1883">
        <f>Uo*COS(2*PI()*Wn*Sheet2!A1883) + (Vo/Wn - (Po*(w/Wn))/(K*(1-(w/Wn)^2)))*SIN(2*PI()*Wn*Sheet2!A1883) +(Po*SIN(2*PI()*w*Sheet2!A1883))/(K*(1-(w/Wn)^2))</f>
        <v>-16.952816109797332</v>
      </c>
      <c r="C1883">
        <f t="shared" si="118"/>
        <v>-2.9084942431089642</v>
      </c>
      <c r="D1883">
        <f t="shared" si="119"/>
        <v>-475.08753768840825</v>
      </c>
      <c r="R1883">
        <f t="shared" si="116"/>
        <v>1.881</v>
      </c>
      <c r="S1883">
        <f t="shared" si="117"/>
        <v>-2.9084942431089642</v>
      </c>
    </row>
    <row r="1884" spans="1:19" x14ac:dyDescent="0.3">
      <c r="A1884">
        <v>1.8819999999999999</v>
      </c>
      <c r="B1884">
        <f>Uo*COS(2*PI()*Wn*Sheet2!A1884) + (Vo/Wn - (Po*(w/Wn))/(K*(1-(w/Wn)^2)))*SIN(2*PI()*Wn*Sheet2!A1884) +(Po*SIN(2*PI()*w*Sheet2!A1884))/(K*(1-(w/Wn)^2))</f>
        <v>-17.141833147890978</v>
      </c>
      <c r="C1884">
        <f t="shared" si="118"/>
        <v>-2.9454197739743364</v>
      </c>
      <c r="D1884">
        <f t="shared" si="119"/>
        <v>-481.11913275799827</v>
      </c>
      <c r="R1884">
        <f t="shared" si="116"/>
        <v>1.8819999999999999</v>
      </c>
      <c r="S1884">
        <f t="shared" si="117"/>
        <v>-2.9454197739743364</v>
      </c>
    </row>
    <row r="1885" spans="1:19" x14ac:dyDescent="0.3">
      <c r="A1885">
        <v>1.883</v>
      </c>
      <c r="B1885">
        <f>Uo*COS(2*PI()*Wn*Sheet2!A1885) + (Vo/Wn - (Po*(w/Wn))/(K*(1-(w/Wn)^2)))*SIN(2*PI()*Wn*Sheet2!A1885) +(Po*SIN(2*PI()*w*Sheet2!A1885))/(K*(1-(w/Wn)^2))</f>
        <v>-17.325250278325598</v>
      </c>
      <c r="C1885">
        <f t="shared" si="118"/>
        <v>-2.9813172808348707</v>
      </c>
      <c r="D1885">
        <f t="shared" si="119"/>
        <v>-486.98280540714683</v>
      </c>
      <c r="R1885">
        <f t="shared" si="116"/>
        <v>1.883</v>
      </c>
      <c r="S1885">
        <f t="shared" si="117"/>
        <v>-2.9813172808348707</v>
      </c>
    </row>
    <row r="1886" spans="1:19" x14ac:dyDescent="0.3">
      <c r="A1886">
        <v>1.8839999999999999</v>
      </c>
      <c r="B1886">
        <f>Uo*COS(2*PI()*Wn*Sheet2!A1886) + (Vo/Wn - (Po*(w/Wn))/(K*(1-(w/Wn)^2)))*SIN(2*PI()*Wn*Sheet2!A1886) +(Po*SIN(2*PI()*w*Sheet2!A1886))/(K*(1-(w/Wn)^2))</f>
        <v>-17.50300758224736</v>
      </c>
      <c r="C1886">
        <f t="shared" si="118"/>
        <v>-3.0161769036860013</v>
      </c>
      <c r="D1886">
        <f t="shared" si="119"/>
        <v>-492.67694505494865</v>
      </c>
      <c r="R1886">
        <f t="shared" si="116"/>
        <v>1.8839999999999999</v>
      </c>
      <c r="S1886">
        <f t="shared" si="117"/>
        <v>-3.0161769036860013</v>
      </c>
    </row>
    <row r="1887" spans="1:19" x14ac:dyDescent="0.3">
      <c r="A1887">
        <v>1.885</v>
      </c>
      <c r="B1887">
        <f>Uo*COS(2*PI()*Wn*Sheet2!A1887) + (Vo/Wn - (Po*(w/Wn))/(K*(1-(w/Wn)^2)))*SIN(2*PI()*Wn*Sheet2!A1887) +(Po*SIN(2*PI()*w*Sheet2!A1887))/(K*(1-(w/Wn)^2))</f>
        <v>-17.675046989759128</v>
      </c>
      <c r="C1887">
        <f t="shared" si="118"/>
        <v>-3.0499891390791847</v>
      </c>
      <c r="D1887">
        <f t="shared" si="119"/>
        <v>-498.19999936208643</v>
      </c>
      <c r="R1887">
        <f t="shared" si="116"/>
        <v>1.885</v>
      </c>
      <c r="S1887">
        <f t="shared" si="117"/>
        <v>-3.0499891390791847</v>
      </c>
    </row>
    <row r="1888" spans="1:19" x14ac:dyDescent="0.3">
      <c r="A1888">
        <v>1.8859999999999999</v>
      </c>
      <c r="B1888">
        <f>Uo*COS(2*PI()*Wn*Sheet2!A1888) + (Vo/Wn - (Po*(w/Wn))/(K*(1-(w/Wn)^2)))*SIN(2*PI()*Wn*Sheet2!A1888) +(Po*SIN(2*PI()*w*Sheet2!A1888))/(K*(1-(w/Wn)^2))</f>
        <v>-17.841312298890628</v>
      </c>
      <c r="C1888">
        <f t="shared" si="118"/>
        <v>-3.0827448425797512</v>
      </c>
      <c r="D1888">
        <f t="shared" si="119"/>
        <v>-503.55047463230778</v>
      </c>
      <c r="R1888">
        <f t="shared" si="116"/>
        <v>1.8859999999999999</v>
      </c>
      <c r="S1888">
        <f t="shared" si="117"/>
        <v>-3.0827448425797512</v>
      </c>
    </row>
    <row r="1889" spans="1:19" x14ac:dyDescent="0.3">
      <c r="A1889">
        <v>1.887</v>
      </c>
      <c r="B1889">
        <f>Uo*COS(2*PI()*Wn*Sheet2!A1889) + (Vo/Wn - (Po*(w/Wn))/(K*(1-(w/Wn)^2)))*SIN(2*PI()*Wn*Sheet2!A1889) +(Po*SIN(2*PI()*w*Sheet2!A1889))/(K*(1-(w/Wn)^2))</f>
        <v>-18.001749193958837</v>
      </c>
      <c r="C1889">
        <f t="shared" si="118"/>
        <v>-3.1144352311032057</v>
      </c>
      <c r="D1889">
        <f t="shared" si="119"/>
        <v>-508.72693619404828</v>
      </c>
      <c r="R1889">
        <f t="shared" si="116"/>
        <v>1.887</v>
      </c>
      <c r="S1889">
        <f t="shared" si="117"/>
        <v>-3.1144352311032057</v>
      </c>
    </row>
    <row r="1890" spans="1:19" x14ac:dyDescent="0.3">
      <c r="A1890">
        <v>1.8879999999999999</v>
      </c>
      <c r="B1890">
        <f>Uo*COS(2*PI()*Wn*Sheet2!A1890) + (Vo/Wn - (Po*(w/Wn))/(K*(1-(w/Wn)^2)))*SIN(2*PI()*Wn*Sheet2!A1890) +(Po*SIN(2*PI()*w*Sheet2!A1890))/(K*(1-(w/Wn)^2))</f>
        <v>-18.156305263311395</v>
      </c>
      <c r="C1890">
        <f t="shared" si="118"/>
        <v>-3.1450518851293747</v>
      </c>
      <c r="D1890">
        <f t="shared" si="119"/>
        <v>-513.72800876210067</v>
      </c>
      <c r="R1890">
        <f t="shared" si="116"/>
        <v>1.8879999999999999</v>
      </c>
      <c r="S1890">
        <f t="shared" si="117"/>
        <v>-3.1450518851293747</v>
      </c>
    </row>
    <row r="1891" spans="1:19" x14ac:dyDescent="0.3">
      <c r="A1891">
        <v>1.889</v>
      </c>
      <c r="B1891">
        <f>Uo*COS(2*PI()*Wn*Sheet2!A1891) + (Vo/Wn - (Po*(w/Wn))/(K*(1-(w/Wn)^2)))*SIN(2*PI()*Wn*Sheet2!A1891) +(Po*SIN(2*PI()*w*Sheet2!A1891))/(K*(1-(w/Wn)^2))</f>
        <v>-18.304930016449017</v>
      </c>
      <c r="C1891">
        <f t="shared" si="118"/>
        <v>-3.174586750793889</v>
      </c>
      <c r="D1891">
        <f t="shared" si="119"/>
        <v>-518.55237677924799</v>
      </c>
      <c r="R1891">
        <f t="shared" si="116"/>
        <v>1.889</v>
      </c>
      <c r="S1891">
        <f t="shared" si="117"/>
        <v>-3.174586750793889</v>
      </c>
    </row>
    <row r="1892" spans="1:19" x14ac:dyDescent="0.3">
      <c r="A1892">
        <v>1.89</v>
      </c>
      <c r="B1892">
        <f>Uo*COS(2*PI()*Wn*Sheet2!A1892) + (Vo/Wn - (Po*(w/Wn))/(K*(1-(w/Wn)^2)))*SIN(2*PI()*Wn*Sheet2!A1892) +(Po*SIN(2*PI()*w*Sheet2!A1892))/(K*(1-(w/Wn)^2))</f>
        <v>-18.447574900519253</v>
      </c>
      <c r="C1892">
        <f t="shared" si="118"/>
        <v>-3.2030321418564855</v>
      </c>
      <c r="D1892">
        <f t="shared" si="119"/>
        <v>-523.19878473777544</v>
      </c>
      <c r="R1892">
        <f t="shared" si="116"/>
        <v>1.89</v>
      </c>
      <c r="S1892">
        <f t="shared" si="117"/>
        <v>-3.2030321418564855</v>
      </c>
    </row>
    <row r="1893" spans="1:19" x14ac:dyDescent="0.3">
      <c r="A1893">
        <v>1.891</v>
      </c>
      <c r="B1893">
        <f>Uo*COS(2*PI()*Wn*Sheet2!A1893) + (Vo/Wn - (Po*(w/Wn))/(K*(1-(w/Wn)^2)))*SIN(2*PI()*Wn*Sheet2!A1893) +(Po*SIN(2*PI()*w*Sheet2!A1893))/(K*(1-(w/Wn)^2))</f>
        <v>-18.584193316178261</v>
      </c>
      <c r="C1893">
        <f t="shared" si="118"/>
        <v>-3.2303807415459587</v>
      </c>
      <c r="D1893">
        <f t="shared" si="119"/>
        <v>-527.66603748083378</v>
      </c>
      <c r="R1893">
        <f t="shared" si="116"/>
        <v>1.891</v>
      </c>
      <c r="S1893">
        <f t="shared" si="117"/>
        <v>-3.2303807415459587</v>
      </c>
    </row>
    <row r="1894" spans="1:19" x14ac:dyDescent="0.3">
      <c r="A1894">
        <v>1.8919999999999999</v>
      </c>
      <c r="B1894">
        <f>Uo*COS(2*PI()*Wn*Sheet2!A1894) + (Vo/Wn - (Po*(w/Wn))/(K*(1-(w/Wn)^2)))*SIN(2*PI()*Wn*Sheet2!A1894) +(Po*SIN(2*PI()*w*Sheet2!A1894))/(K*(1-(w/Wn)^2))</f>
        <v>-18.714740632813523</v>
      </c>
      <c r="C1894">
        <f t="shared" si="118"/>
        <v>-3.2566256042808752</v>
      </c>
      <c r="D1894">
        <f t="shared" si="119"/>
        <v>-531.95300048350884</v>
      </c>
      <c r="R1894">
        <f t="shared" si="116"/>
        <v>1.8919999999999999</v>
      </c>
      <c r="S1894">
        <f t="shared" si="117"/>
        <v>-3.2566256042808752</v>
      </c>
    </row>
    <row r="1895" spans="1:19" x14ac:dyDescent="0.3">
      <c r="A1895">
        <v>1.893</v>
      </c>
      <c r="B1895">
        <f>Uo*COS(2*PI()*Wn*Sheet2!A1895) + (Vo/Wn - (Po*(w/Wn))/(K*(1-(w/Wn)^2)))*SIN(2*PI()*Wn*Sheet2!A1895) +(Po*SIN(2*PI()*w*Sheet2!A1895))/(K*(1-(w/Wn)^2))</f>
        <v>-18.83917420312401</v>
      </c>
      <c r="C1895">
        <f t="shared" si="118"/>
        <v>-3.2817601572663486</v>
      </c>
      <c r="D1895">
        <f t="shared" si="119"/>
        <v>-536.05860011364712</v>
      </c>
      <c r="R1895">
        <f t="shared" si="116"/>
        <v>1.893</v>
      </c>
      <c r="S1895">
        <f t="shared" si="117"/>
        <v>-3.2817601572663486</v>
      </c>
    </row>
    <row r="1896" spans="1:19" x14ac:dyDescent="0.3">
      <c r="A1896">
        <v>1.8939999999999999</v>
      </c>
      <c r="B1896">
        <f>Uo*COS(2*PI()*Wn*Sheet2!A1896) + (Vo/Wn - (Po*(w/Wn))/(K*(1-(w/Wn)^2)))*SIN(2*PI()*Wn*Sheet2!A1896) +(Po*SIN(2*PI()*w*Sheet2!A1896))/(K*(1-(w/Wn)^2))</f>
        <v>-18.957453377052168</v>
      </c>
      <c r="C1896">
        <f t="shared" si="118"/>
        <v>-3.30577820196606</v>
      </c>
      <c r="D1896">
        <f t="shared" si="119"/>
        <v>-539.98182387230202</v>
      </c>
      <c r="R1896">
        <f t="shared" si="116"/>
        <v>1.8939999999999999</v>
      </c>
      <c r="S1896">
        <f t="shared" si="117"/>
        <v>-3.30577820196606</v>
      </c>
    </row>
    <row r="1897" spans="1:19" x14ac:dyDescent="0.3">
      <c r="A1897">
        <v>1.895</v>
      </c>
      <c r="B1897">
        <f>Uo*COS(2*PI()*Wn*Sheet2!A1897) + (Vo/Wn - (Po*(w/Wn))/(K*(1-(w/Wn)^2)))*SIN(2*PI()*Wn*Sheet2!A1897) +(Po*SIN(2*PI()*w*Sheet2!A1897))/(K*(1-(w/Wn)^2))</f>
        <v>-19.06953951506366</v>
      </c>
      <c r="C1897">
        <f t="shared" si="118"/>
        <v>-3.3286739154495311</v>
      </c>
      <c r="D1897">
        <f t="shared" si="119"/>
        <v>-543.72172061380434</v>
      </c>
      <c r="R1897">
        <f t="shared" si="116"/>
        <v>1.895</v>
      </c>
      <c r="S1897">
        <f t="shared" si="117"/>
        <v>-3.3286739154495311</v>
      </c>
    </row>
    <row r="1898" spans="1:19" x14ac:dyDescent="0.3">
      <c r="A1898">
        <v>1.8959999999999999</v>
      </c>
      <c r="B1898">
        <f>Uo*COS(2*PI()*Wn*Sheet2!A1898) + (Vo/Wn - (Po*(w/Wn))/(K*(1-(w/Wn)^2)))*SIN(2*PI()*Wn*Sheet2!A1898) +(Po*SIN(2*PI()*w*Sheet2!A1898))/(K*(1-(w/Wn)^2))</f>
        <v>-19.175396000769862</v>
      </c>
      <c r="C1898">
        <f t="shared" si="118"/>
        <v>-3.3504418516143826</v>
      </c>
      <c r="D1898">
        <f t="shared" si="119"/>
        <v>-547.27740074541202</v>
      </c>
      <c r="R1898">
        <f t="shared" si="116"/>
        <v>1.8959999999999999</v>
      </c>
      <c r="S1898">
        <f t="shared" si="117"/>
        <v>-3.3504418516143826</v>
      </c>
    </row>
    <row r="1899" spans="1:19" x14ac:dyDescent="0.3">
      <c r="A1899">
        <v>1.897</v>
      </c>
      <c r="B1899">
        <f>Uo*COS(2*PI()*Wn*Sheet2!A1899) + (Vo/Wn - (Po*(w/Wn))/(K*(1-(w/Wn)^2)))*SIN(2*PI()*Wn*Sheet2!A1899) +(Po*SIN(2*PI()*w*Sheet2!A1899))/(K*(1-(w/Wn)^2))</f>
        <v>-19.27498825289009</v>
      </c>
      <c r="C1899">
        <f t="shared" si="118"/>
        <v>-3.3710769422833704</v>
      </c>
      <c r="D1899">
        <f t="shared" si="119"/>
        <v>-550.64803640650484</v>
      </c>
      <c r="R1899">
        <f t="shared" si="116"/>
        <v>1.897</v>
      </c>
      <c r="S1899">
        <f t="shared" si="117"/>
        <v>-3.3710769422833704</v>
      </c>
    </row>
    <row r="1900" spans="1:19" x14ac:dyDescent="0.3">
      <c r="A1900">
        <v>1.8979999999999999</v>
      </c>
      <c r="B1900">
        <f>Uo*COS(2*PI()*Wn*Sheet2!A1900) + (Vo/Wn - (Po*(w/Wn))/(K*(1-(w/Wn)^2)))*SIN(2*PI()*Wn*Sheet2!A1900) +(Po*SIN(2*PI()*w*Sheet2!A1900))/(K*(1-(w/Wn)^2))</f>
        <v>-19.368283736548321</v>
      </c>
      <c r="C1900">
        <f t="shared" si="118"/>
        <v>-3.3905744981760773</v>
      </c>
      <c r="D1900">
        <f t="shared" si="119"/>
        <v>-553.83286162730599</v>
      </c>
      <c r="R1900">
        <f t="shared" si="116"/>
        <v>1.8979999999999999</v>
      </c>
      <c r="S1900">
        <f t="shared" si="117"/>
        <v>-3.3905744981760773</v>
      </c>
    </row>
    <row r="1901" spans="1:19" x14ac:dyDescent="0.3">
      <c r="A1901">
        <v>1.899</v>
      </c>
      <c r="B1901">
        <f>Uo*COS(2*PI()*Wn*Sheet2!A1901) + (Vo/Wn - (Po*(w/Wn))/(K*(1-(w/Wn)^2)))*SIN(2*PI()*Wn*Sheet2!A1901) +(Po*SIN(2*PI()*w*Sheet2!A1901))/(K*(1-(w/Wn)^2))</f>
        <v>-19.455251973901873</v>
      </c>
      <c r="C1901">
        <f t="shared" si="118"/>
        <v>-3.4089302097552592</v>
      </c>
      <c r="D1901">
        <f t="shared" si="119"/>
        <v>-556.83117246712754</v>
      </c>
      <c r="R1901">
        <f t="shared" si="116"/>
        <v>1.899</v>
      </c>
      <c r="S1901">
        <f t="shared" si="117"/>
        <v>-3.4089302097552592</v>
      </c>
    </row>
    <row r="1902" spans="1:19" x14ac:dyDescent="0.3">
      <c r="A1902">
        <v>1.9</v>
      </c>
      <c r="B1902">
        <f>Uo*COS(2*PI()*Wn*Sheet2!A1902) + (Vo/Wn - (Po*(w/Wn))/(K*(1-(w/Wn)^2)))*SIN(2*PI()*Wn*Sheet2!A1902) +(Po*SIN(2*PI()*w*Sheet2!A1902))/(K*(1-(w/Wn)^2))</f>
        <v>-19.535864554097998</v>
      </c>
      <c r="C1902">
        <f t="shared" si="118"/>
        <v>-3.426140147947625</v>
      </c>
      <c r="D1902">
        <f t="shared" si="119"/>
        <v>-559.64232713210663</v>
      </c>
      <c r="R1902">
        <f t="shared" si="116"/>
        <v>1.9</v>
      </c>
      <c r="S1902">
        <f t="shared" si="117"/>
        <v>-3.426140147947625</v>
      </c>
    </row>
    <row r="1903" spans="1:19" x14ac:dyDescent="0.3">
      <c r="A1903">
        <v>1.901</v>
      </c>
      <c r="B1903">
        <f>Uo*COS(2*PI()*Wn*Sheet2!A1903) + (Vo/Wn - (Po*(w/Wn))/(K*(1-(w/Wn)^2)))*SIN(2*PI()*Wn*Sheet2!A1903) +(Po*SIN(2*PI()*w*Sheet2!A1903))/(K*(1-(w/Wn)^2))</f>
        <v>-19.610095142554982</v>
      </c>
      <c r="C1903">
        <f t="shared" si="118"/>
        <v>-3.4422007647391912</v>
      </c>
      <c r="D1903">
        <f t="shared" si="119"/>
        <v>-562.26574607245368</v>
      </c>
      <c r="R1903">
        <f t="shared" si="116"/>
        <v>1.901</v>
      </c>
      <c r="S1903">
        <f t="shared" si="117"/>
        <v>-3.4422007647391912</v>
      </c>
    </row>
    <row r="1904" spans="1:19" x14ac:dyDescent="0.3">
      <c r="A1904">
        <v>1.9019999999999999</v>
      </c>
      <c r="B1904">
        <f>Uo*COS(2*PI()*Wn*Sheet2!A1904) + (Vo/Wn - (Po*(w/Wn))/(K*(1-(w/Wn)^2)))*SIN(2*PI()*Wn*Sheet2!A1904) +(Po*SIN(2*PI()*w*Sheet2!A1904))/(K*(1-(w/Wn)^2))</f>
        <v>-19.677919489565237</v>
      </c>
      <c r="C1904">
        <f t="shared" si="118"/>
        <v>-3.4571088936451848</v>
      </c>
      <c r="D1904">
        <f t="shared" si="119"/>
        <v>-564.70091205920812</v>
      </c>
      <c r="R1904">
        <f t="shared" si="116"/>
        <v>1.9019999999999999</v>
      </c>
      <c r="S1904">
        <f t="shared" si="117"/>
        <v>-3.4571088936451848</v>
      </c>
    </row>
    <row r="1905" spans="1:19" x14ac:dyDescent="0.3">
      <c r="A1905">
        <v>1.903</v>
      </c>
      <c r="B1905">
        <f>Uo*COS(2*PI()*Wn*Sheet2!A1905) + (Vo/Wn - (Po*(w/Wn))/(K*(1-(w/Wn)^2)))*SIN(2*PI()*Wn*Sheet2!A1905) +(Po*SIN(2*PI()*w*Sheet2!A1905))/(K*(1-(w/Wn)^2))</f>
        <v>-19.739315438217304</v>
      </c>
      <c r="C1905">
        <f t="shared" si="118"/>
        <v>-3.4708617500545476</v>
      </c>
      <c r="D1905">
        <f t="shared" si="119"/>
        <v>-566.94737024051165</v>
      </c>
      <c r="R1905">
        <f t="shared" si="116"/>
        <v>1.903</v>
      </c>
      <c r="S1905">
        <f t="shared" si="117"/>
        <v>-3.4708617500545476</v>
      </c>
    </row>
    <row r="1906" spans="1:19" x14ac:dyDescent="0.3">
      <c r="A1906">
        <v>1.9039999999999999</v>
      </c>
      <c r="B1906">
        <f>Uo*COS(2*PI()*Wn*Sheet2!A1906) + (Vo/Wn - (Po*(w/Wn))/(K*(1-(w/Wn)^2)))*SIN(2*PI()*Wn*Sheet2!A1906) +(Po*SIN(2*PI()*w*Sheet2!A1906))/(K*(1-(w/Wn)^2))</f>
        <v>-19.794262931633892</v>
      </c>
      <c r="C1906">
        <f t="shared" si="118"/>
        <v>-3.4834569314492163</v>
      </c>
      <c r="D1906">
        <f t="shared" si="119"/>
        <v>-569.00472817742673</v>
      </c>
      <c r="R1906">
        <f t="shared" si="116"/>
        <v>1.9039999999999999</v>
      </c>
      <c r="S1906">
        <f t="shared" si="117"/>
        <v>-3.4834569314492163</v>
      </c>
    </row>
    <row r="1907" spans="1:19" x14ac:dyDescent="0.3">
      <c r="A1907">
        <v>1.905</v>
      </c>
      <c r="B1907">
        <f>Uo*COS(2*PI()*Wn*Sheet2!A1907) + (Vo/Wn - (Po*(w/Wn))/(K*(1-(w/Wn)^2)))*SIN(2*PI()*Wn*Sheet2!A1907) +(Po*SIN(2*PI()*w*Sheet2!A1907))/(K*(1-(w/Wn)^2))</f>
        <v>-19.842744019524279</v>
      </c>
      <c r="C1907">
        <f t="shared" si="118"/>
        <v>-3.4948924174982681</v>
      </c>
      <c r="D1907">
        <f t="shared" si="119"/>
        <v>-570.87265585931436</v>
      </c>
      <c r="R1907">
        <f t="shared" si="116"/>
        <v>1.905</v>
      </c>
      <c r="S1907">
        <f t="shared" si="117"/>
        <v>-3.4948924174982681</v>
      </c>
    </row>
    <row r="1908" spans="1:19" x14ac:dyDescent="0.3">
      <c r="A1908">
        <v>1.9059999999999999</v>
      </c>
      <c r="B1908">
        <f>Uo*COS(2*PI()*Wn*Sheet2!A1908) + (Vo/Wn - (Po*(w/Wn))/(K*(1-(w/Wn)^2)))*SIN(2*PI()*Wn*Sheet2!A1908) +(Po*SIN(2*PI()*w*Sheet2!A1908))/(K*(1-(w/Wn)^2))</f>
        <v>-19.884742864048171</v>
      </c>
      <c r="C1908">
        <f t="shared" si="118"/>
        <v>-3.5051665700271513</v>
      </c>
      <c r="D1908">
        <f t="shared" si="119"/>
        <v>-572.55088569880843</v>
      </c>
      <c r="R1908">
        <f t="shared" si="116"/>
        <v>1.9059999999999999</v>
      </c>
      <c r="S1908">
        <f t="shared" si="117"/>
        <v>-3.5051665700271513</v>
      </c>
    </row>
    <row r="1909" spans="1:19" x14ac:dyDescent="0.3">
      <c r="A1909">
        <v>1.907</v>
      </c>
      <c r="B1909">
        <f>Uo*COS(2*PI()*Wn*Sheet2!A1909) + (Vo/Wn - (Po*(w/Wn))/(K*(1-(w/Wn)^2)))*SIN(2*PI()*Wn*Sheet2!A1909) +(Po*SIN(2*PI()*w*Sheet2!A1909))/(K*(1-(w/Wn)^2))</f>
        <v>-19.920245744989693</v>
      </c>
      <c r="C1909">
        <f t="shared" si="118"/>
        <v>-3.5142781328622896</v>
      </c>
      <c r="D1909">
        <f t="shared" si="119"/>
        <v>-574.03921250643248</v>
      </c>
      <c r="R1909">
        <f t="shared" si="116"/>
        <v>1.907</v>
      </c>
      <c r="S1909">
        <f t="shared" si="117"/>
        <v>-3.5142781328622896</v>
      </c>
    </row>
    <row r="1910" spans="1:19" x14ac:dyDescent="0.3">
      <c r="A1910">
        <v>1.9079999999999999</v>
      </c>
      <c r="B1910">
        <f>Uo*COS(2*PI()*Wn*Sheet2!A1910) + (Vo/Wn - (Po*(w/Wn))/(K*(1-(w/Wn)^2)))*SIN(2*PI()*Wn*Sheet2!A1910) +(Po*SIN(2*PI()*w*Sheet2!A1910))/(K*(1-(w/Wn)^2))</f>
        <v>-19.949241064239544</v>
      </c>
      <c r="C1910">
        <f t="shared" si="118"/>
        <v>-3.5222262315512229</v>
      </c>
      <c r="D1910">
        <f t="shared" si="119"/>
        <v>-575.33749344488581</v>
      </c>
      <c r="R1910">
        <f t="shared" si="116"/>
        <v>1.9079999999999999</v>
      </c>
      <c r="S1910">
        <f t="shared" si="117"/>
        <v>-3.5222262315512229</v>
      </c>
    </row>
    <row r="1911" spans="1:19" x14ac:dyDescent="0.3">
      <c r="A1911">
        <v>1.909</v>
      </c>
      <c r="B1911">
        <f>Uo*COS(2*PI()*Wn*Sheet2!A1911) + (Vo/Wn - (Po*(w/Wn))/(K*(1-(w/Wn)^2)))*SIN(2*PI()*Wn*Sheet2!A1911) +(Po*SIN(2*PI()*w*Sheet2!A1911))/(K*(1-(w/Wn)^2))</f>
        <v>-19.971719349583797</v>
      </c>
      <c r="C1911">
        <f t="shared" si="118"/>
        <v>-3.5290103729587043</v>
      </c>
      <c r="D1911">
        <f t="shared" si="119"/>
        <v>-576.44564796306872</v>
      </c>
      <c r="R1911">
        <f t="shared" si="116"/>
        <v>1.909</v>
      </c>
      <c r="S1911">
        <f t="shared" si="117"/>
        <v>-3.5290103729587043</v>
      </c>
    </row>
    <row r="1912" spans="1:19" x14ac:dyDescent="0.3">
      <c r="A1912">
        <v>1.91</v>
      </c>
      <c r="B1912">
        <f>Uo*COS(2*PI()*Wn*Sheet2!A1912) + (Vo/Wn - (Po*(w/Wn))/(K*(1-(w/Wn)^2)))*SIN(2*PI()*Wn*Sheet2!A1912) +(Po*SIN(2*PI()*w*Sheet2!A1912))/(K*(1-(w/Wn)^2))</f>
        <v>-19.987673257798352</v>
      </c>
      <c r="C1912">
        <f t="shared" si="118"/>
        <v>-3.5346304447390708</v>
      </c>
      <c r="D1912">
        <f t="shared" si="119"/>
        <v>-577.36365770989653</v>
      </c>
      <c r="R1912">
        <f t="shared" si="116"/>
        <v>1.91</v>
      </c>
      <c r="S1912">
        <f t="shared" si="117"/>
        <v>-3.5346304447390708</v>
      </c>
    </row>
    <row r="1913" spans="1:19" x14ac:dyDescent="0.3">
      <c r="A1913">
        <v>1.911</v>
      </c>
      <c r="B1913">
        <f>Uo*COS(2*PI()*Wn*Sheet2!A1913) + (Vo/Wn - (Po*(w/Wn))/(K*(1-(w/Wn)^2)))*SIN(2*PI()*Wn*Sheet2!A1913) +(Po*SIN(2*PI()*w*Sheet2!A1913))/(K*(1-(w/Wn)^2))</f>
        <v>-19.997097577047821</v>
      </c>
      <c r="C1913">
        <f t="shared" si="118"/>
        <v>-3.5390867146852529</v>
      </c>
      <c r="D1913">
        <f t="shared" si="119"/>
        <v>-578.09156642796347</v>
      </c>
      <c r="R1913">
        <f t="shared" si="116"/>
        <v>1.911</v>
      </c>
      <c r="S1913">
        <f t="shared" si="117"/>
        <v>-3.5390867146852529</v>
      </c>
    </row>
    <row r="1914" spans="1:19" x14ac:dyDescent="0.3">
      <c r="A1914">
        <v>1.9119999999999999</v>
      </c>
      <c r="B1914">
        <f>Uo*COS(2*PI()*Wn*Sheet2!A1914) + (Vo/Wn - (Po*(w/Wn))/(K*(1-(w/Wn)^2)))*SIN(2*PI()*Wn*Sheet2!A1914) +(Po*SIN(2*PI()*w*Sheet2!A1914))/(K*(1-(w/Wn)^2))</f>
        <v>-19.99998922858811</v>
      </c>
      <c r="C1914">
        <f t="shared" si="118"/>
        <v>-3.5423798299549194</v>
      </c>
      <c r="D1914">
        <f t="shared" si="119"/>
        <v>-578.62947982713786</v>
      </c>
      <c r="R1914">
        <f t="shared" si="116"/>
        <v>1.9119999999999999</v>
      </c>
      <c r="S1914">
        <f t="shared" si="117"/>
        <v>-3.5423798299549194</v>
      </c>
    </row>
    <row r="1915" spans="1:19" x14ac:dyDescent="0.3">
      <c r="A1915">
        <v>1.913</v>
      </c>
      <c r="B1915">
        <f>Uo*COS(2*PI()*Wn*Sheet2!A1915) + (Vo/Wn - (Po*(w/Wn))/(K*(1-(w/Wn)^2)))*SIN(2*PI()*Wn*Sheet2!A1915) +(Po*SIN(2*PI()*w*Sheet2!A1915))/(K*(1-(w/Wn)^2))</f>
        <v>-19.996347267772194</v>
      </c>
      <c r="C1915">
        <f t="shared" si="118"/>
        <v>-3.5445108161741974</v>
      </c>
      <c r="D1915">
        <f t="shared" si="119"/>
        <v>-578.97756543815922</v>
      </c>
      <c r="R1915">
        <f t="shared" si="116"/>
        <v>1.913</v>
      </c>
      <c r="S1915">
        <f t="shared" si="117"/>
        <v>-3.5445108161741974</v>
      </c>
    </row>
    <row r="1916" spans="1:19" x14ac:dyDescent="0.3">
      <c r="A1916">
        <v>1.9139999999999999</v>
      </c>
      <c r="B1916">
        <f>Uo*COS(2*PI()*Wn*Sheet2!A1916) + (Vo/Wn - (Po*(w/Wn))/(K*(1-(w/Wn)^2)))*SIN(2*PI()*Wn*Sheet2!A1916) +(Po*SIN(2*PI()*w*Sheet2!A1916))/(K*(1-(w/Wn)^2))</f>
        <v>-19.986172884358716</v>
      </c>
      <c r="C1916">
        <f t="shared" si="118"/>
        <v>-3.5454810764194549</v>
      </c>
      <c r="D1916">
        <f t="shared" si="119"/>
        <v>-579.13605244631765</v>
      </c>
      <c r="R1916">
        <f t="shared" si="116"/>
        <v>1.9139999999999999</v>
      </c>
      <c r="S1916">
        <f t="shared" si="117"/>
        <v>-3.5454810764194549</v>
      </c>
    </row>
    <row r="1917" spans="1:19" x14ac:dyDescent="0.3">
      <c r="A1917">
        <v>1.915</v>
      </c>
      <c r="B1917">
        <f>Uo*COS(2*PI()*Wn*Sheet2!A1917) + (Vo/Wn - (Po*(w/Wn))/(K*(1-(w/Wn)^2)))*SIN(2*PI()*Wn*Sheet2!A1917) +(Po*SIN(2*PI()*w*Sheet2!A1917))/(K*(1-(w/Wn)^2))</f>
        <v>-19.969469402123337</v>
      </c>
      <c r="C1917">
        <f t="shared" si="118"/>
        <v>-3.5452923900777646</v>
      </c>
      <c r="D1917">
        <f t="shared" si="119"/>
        <v>-579.10523150531651</v>
      </c>
      <c r="R1917">
        <f t="shared" si="116"/>
        <v>1.915</v>
      </c>
      <c r="S1917">
        <f t="shared" si="117"/>
        <v>-3.5452923900777646</v>
      </c>
    </row>
    <row r="1918" spans="1:19" x14ac:dyDescent="0.3">
      <c r="A1918">
        <v>1.9159999999999999</v>
      </c>
      <c r="B1918">
        <f>Uo*COS(2*PI()*Wn*Sheet2!A1918) + (Vo/Wn - (Po*(w/Wn))/(K*(1-(w/Wn)^2)))*SIN(2*PI()*Wn*Sheet2!A1918) +(Po*SIN(2*PI()*w*Sheet2!A1918))/(K*(1-(w/Wn)^2))</f>
        <v>-19.9462422777729</v>
      </c>
      <c r="C1918">
        <f t="shared" si="118"/>
        <v>-3.5439469115865783</v>
      </c>
      <c r="D1918">
        <f t="shared" si="119"/>
        <v>-578.88545453140466</v>
      </c>
      <c r="R1918">
        <f t="shared" si="116"/>
        <v>1.9159999999999999</v>
      </c>
      <c r="S1918">
        <f t="shared" si="117"/>
        <v>-3.5439469115865783</v>
      </c>
    </row>
    <row r="1919" spans="1:19" x14ac:dyDescent="0.3">
      <c r="A1919">
        <v>1.917</v>
      </c>
      <c r="B1919">
        <f>Uo*COS(2*PI()*Wn*Sheet2!A1919) + (Vo/Wn - (Po*(w/Wn))/(K*(1-(w/Wn)^2)))*SIN(2*PI()*Wn*Sheet2!A1919) +(Po*SIN(2*PI()*w*Sheet2!A1919))/(K*(1-(w/Wn)^2))</f>
        <v>-19.916499099162802</v>
      </c>
      <c r="C1919">
        <f t="shared" si="118"/>
        <v>-3.5414471690532774</v>
      </c>
      <c r="D1919">
        <f t="shared" si="119"/>
        <v>-578.47713447788738</v>
      </c>
      <c r="R1919">
        <f t="shared" si="116"/>
        <v>1.917</v>
      </c>
      <c r="S1919">
        <f t="shared" si="117"/>
        <v>-3.5414471690532774</v>
      </c>
    </row>
    <row r="1920" spans="1:19" x14ac:dyDescent="0.3">
      <c r="A1920">
        <v>1.9179999999999999</v>
      </c>
      <c r="B1920">
        <f>Uo*COS(2*PI()*Wn*Sheet2!A1920) + (Vo/Wn - (Po*(w/Wn))/(K*(1-(w/Wn)^2)))*SIN(2*PI()*Wn*Sheet2!A1920) +(Po*SIN(2*PI()*w*Sheet2!A1920))/(K*(1-(w/Wn)^2))</f>
        <v>-19.880249582818262</v>
      </c>
      <c r="C1920">
        <f t="shared" si="118"/>
        <v>-3.5377960627552554</v>
      </c>
      <c r="D1920">
        <f t="shared" si="119"/>
        <v>-577.88074509012233</v>
      </c>
      <c r="R1920">
        <f t="shared" si="116"/>
        <v>1.9179999999999999</v>
      </c>
      <c r="S1920">
        <f t="shared" si="117"/>
        <v>-3.5377960627552554</v>
      </c>
    </row>
    <row r="1921" spans="1:19" x14ac:dyDescent="0.3">
      <c r="A1921">
        <v>1.919</v>
      </c>
      <c r="B1921">
        <f>Uo*COS(2*PI()*Wn*Sheet2!A1921) + (Vo/Wn - (Po*(w/Wn))/(K*(1-(w/Wn)^2)))*SIN(2*PI()*Wn*Sheet2!A1921) +(Po*SIN(2*PI()*w*Sheet2!A1921))/(K*(1-(w/Wn)^2))</f>
        <v>-19.83750557076003</v>
      </c>
      <c r="C1921">
        <f t="shared" si="118"/>
        <v>-3.5329968635212268</v>
      </c>
      <c r="D1921">
        <f t="shared" si="119"/>
        <v>-577.09682064111485</v>
      </c>
      <c r="R1921">
        <f t="shared" ref="R1921:R1984" si="120">A1921</f>
        <v>1.919</v>
      </c>
      <c r="S1921">
        <f t="shared" ref="S1921:S1984" si="121">C1921</f>
        <v>-3.5329968635212268</v>
      </c>
    </row>
    <row r="1922" spans="1:19" x14ac:dyDescent="0.3">
      <c r="A1922">
        <v>1.92</v>
      </c>
      <c r="B1922">
        <f>Uo*COS(2*PI()*Wn*Sheet2!A1922) + (Vo/Wn - (Po*(w/Wn))/(K*(1-(w/Wn)^2)))*SIN(2*PI()*Wn*Sheet2!A1922) +(Po*SIN(2*PI()*w*Sheet2!A1922))/(K*(1-(w/Wn)^2))</f>
        <v>-19.788281026635921</v>
      </c>
      <c r="C1922">
        <f t="shared" ref="C1922:C1985" si="122">EXP(-zeta*Wn*A1922*2*PI())*($H$1*COS(wnD*2*PI()*A1922) + $H$2*SIN(wnD*2*PI()*A1922)) + $H$3*SIN(w*2*PI()*A1922) + $H$4*COS(w*2*PI()*A1922)</f>
        <v>-3.5270532109945365</v>
      </c>
      <c r="D1922">
        <f t="shared" ref="D1922:D1985" si="123">K*C1922</f>
        <v>-576.12595564783828</v>
      </c>
      <c r="R1922">
        <f t="shared" si="120"/>
        <v>1.92</v>
      </c>
      <c r="S1922">
        <f t="shared" si="121"/>
        <v>-3.5270532109945365</v>
      </c>
    </row>
    <row r="1923" spans="1:19" x14ac:dyDescent="0.3">
      <c r="A1923">
        <v>1.921</v>
      </c>
      <c r="B1923">
        <f>Uo*COS(2*PI()*Wn*Sheet2!A1923) + (Vo/Wn - (Po*(w/Wn))/(K*(1-(w/Wn)^2)))*SIN(2*PI()*Wn*Sheet2!A1923) +(Po*SIN(2*PI()*w*Sheet2!A1923))/(K*(1-(w/Wn)^2))</f>
        <v>-19.732592031159047</v>
      </c>
      <c r="C1923">
        <f t="shared" si="122"/>
        <v>-3.5199691117792038</v>
      </c>
      <c r="D1923">
        <f t="shared" si="123"/>
        <v>-574.96880456840029</v>
      </c>
      <c r="R1923">
        <f t="shared" si="120"/>
        <v>1.921</v>
      </c>
      <c r="S1923">
        <f t="shared" si="121"/>
        <v>-3.5199691117792038</v>
      </c>
    </row>
    <row r="1924" spans="1:19" x14ac:dyDescent="0.3">
      <c r="A1924">
        <v>1.9219999999999999</v>
      </c>
      <c r="B1924">
        <f>Uo*COS(2*PI()*Wn*Sheet2!A1924) + (Vo/Wn - (Po*(w/Wn))/(K*(1-(w/Wn)^2)))*SIN(2*PI()*Wn*Sheet2!A1924) +(Po*SIN(2*PI()*w*Sheet2!A1924))/(K*(1-(w/Wn)^2))</f>
        <v>-19.670456776854671</v>
      </c>
      <c r="C1924">
        <f t="shared" si="122"/>
        <v>-3.5117489374695774</v>
      </c>
      <c r="D1924">
        <f t="shared" si="123"/>
        <v>-573.6260814801966</v>
      </c>
      <c r="R1924">
        <f t="shared" si="120"/>
        <v>1.9219999999999999</v>
      </c>
      <c r="S1924">
        <f t="shared" si="121"/>
        <v>-3.5117489374695774</v>
      </c>
    </row>
    <row r="1925" spans="1:19" x14ac:dyDescent="0.3">
      <c r="A1925">
        <v>1.923</v>
      </c>
      <c r="B1925">
        <f>Uo*COS(2*PI()*Wn*Sheet2!A1925) + (Vo/Wn - (Po*(w/Wn))/(K*(1-(w/Wn)^2)))*SIN(2*PI()*Wn*Sheet2!A1925) +(Po*SIN(2*PI()*w*Sheet2!A1925))/(K*(1-(w/Wn)^2))</f>
        <v>-19.601895562116987</v>
      </c>
      <c r="C1925">
        <f t="shared" si="122"/>
        <v>-3.502397422564381</v>
      </c>
      <c r="D1925">
        <f t="shared" si="123"/>
        <v>-572.0985597391815</v>
      </c>
      <c r="R1925">
        <f t="shared" si="120"/>
        <v>1.923</v>
      </c>
      <c r="S1925">
        <f t="shared" si="121"/>
        <v>-3.502397422564381</v>
      </c>
    </row>
    <row r="1926" spans="1:19" x14ac:dyDescent="0.3">
      <c r="A1926">
        <v>1.9239999999999999</v>
      </c>
      <c r="B1926">
        <f>Uo*COS(2*PI()*Wn*Sheet2!A1926) + (Vo/Wn - (Po*(w/Wn))/(K*(1-(w/Wn)^2)))*SIN(2*PI()*Wn*Sheet2!A1926) +(Po*SIN(2*PI()*w*Sheet2!A1926))/(K*(1-(w/Wn)^2))</f>
        <v>-19.526930784578077</v>
      </c>
      <c r="C1926">
        <f t="shared" si="122"/>
        <v>-3.4919196622661106</v>
      </c>
      <c r="D1926">
        <f t="shared" si="123"/>
        <v>-570.38707162041055</v>
      </c>
      <c r="R1926">
        <f t="shared" si="120"/>
        <v>1.9239999999999999</v>
      </c>
      <c r="S1926">
        <f t="shared" si="121"/>
        <v>-3.4919196622661106</v>
      </c>
    </row>
    <row r="1927" spans="1:19" x14ac:dyDescent="0.3">
      <c r="A1927">
        <v>1.925</v>
      </c>
      <c r="B1927">
        <f>Uo*COS(2*PI()*Wn*Sheet2!A1927) + (Vo/Wn - (Po*(w/Wn))/(K*(1-(w/Wn)^2)))*SIN(2*PI()*Wn*Sheet2!A1927) +(Po*SIN(2*PI()*w*Sheet2!A1927))/(K*(1-(w/Wn)^2))</f>
        <v>-19.445586933790917</v>
      </c>
      <c r="C1927">
        <f t="shared" si="122"/>
        <v>-3.4803211101666642</v>
      </c>
      <c r="D1927">
        <f t="shared" si="123"/>
        <v>-568.49250794000034</v>
      </c>
      <c r="R1927">
        <f t="shared" si="120"/>
        <v>1.925</v>
      </c>
      <c r="S1927">
        <f t="shared" si="121"/>
        <v>-3.4803211101666642</v>
      </c>
    </row>
    <row r="1928" spans="1:19" x14ac:dyDescent="0.3">
      <c r="A1928">
        <v>1.9259999999999999</v>
      </c>
      <c r="B1928">
        <f>Uo*COS(2*PI()*Wn*Sheet2!A1928) + (Vo/Wn - (Po*(w/Wn))/(K*(1-(w/Wn)^2)))*SIN(2*PI()*Wn*Sheet2!A1928) +(Po*SIN(2*PI()*w*Sheet2!A1928))/(K*(1-(w/Wn)^2))</f>
        <v>-19.357890583229306</v>
      </c>
      <c r="C1928">
        <f t="shared" si="122"/>
        <v>-3.4676075758201783</v>
      </c>
      <c r="D1928">
        <f t="shared" si="123"/>
        <v>-566.41581765866329</v>
      </c>
      <c r="R1928">
        <f t="shared" si="120"/>
        <v>1.9259999999999999</v>
      </c>
      <c r="S1928">
        <f t="shared" si="121"/>
        <v>-3.4676075758201783</v>
      </c>
    </row>
    <row r="1929" spans="1:19" x14ac:dyDescent="0.3">
      <c r="A1929">
        <v>1.927</v>
      </c>
      <c r="B1929">
        <f>Uo*COS(2*PI()*Wn*Sheet2!A1929) + (Vo/Wn - (Po*(w/Wn))/(K*(1-(w/Wn)^2)))*SIN(2*PI()*Wn*Sheet2!A1929) +(Po*SIN(2*PI()*w*Sheet2!A1929))/(K*(1-(w/Wn)^2))</f>
        <v>-19.263870381606591</v>
      </c>
      <c r="C1929">
        <f t="shared" si="122"/>
        <v>-3.4537852222040599</v>
      </c>
      <c r="D1929">
        <f t="shared" si="123"/>
        <v>-564.15800746698119</v>
      </c>
      <c r="R1929">
        <f t="shared" si="120"/>
        <v>1.927</v>
      </c>
      <c r="S1929">
        <f t="shared" si="121"/>
        <v>-3.4537852222040599</v>
      </c>
    </row>
    <row r="1930" spans="1:19" x14ac:dyDescent="0.3">
      <c r="A1930">
        <v>1.9279999999999999</v>
      </c>
      <c r="B1930">
        <f>Uo*COS(2*PI()*Wn*Sheet2!A1930) + (Vo/Wn - (Po*(w/Wn))/(K*(1-(w/Wn)^2)))*SIN(2*PI()*Wn*Sheet2!A1930) +(Po*SIN(2*PI()*w*Sheet2!A1930))/(K*(1-(w/Wn)^2))</f>
        <v>-19.163557043516935</v>
      </c>
      <c r="C1930">
        <f t="shared" si="122"/>
        <v>-3.4388605630692868</v>
      </c>
      <c r="D1930">
        <f t="shared" si="123"/>
        <v>-561.72014135258962</v>
      </c>
      <c r="R1930">
        <f t="shared" si="120"/>
        <v>1.9279999999999999</v>
      </c>
      <c r="S1930">
        <f t="shared" si="121"/>
        <v>-3.4388605630692868</v>
      </c>
    </row>
    <row r="1931" spans="1:19" x14ac:dyDescent="0.3">
      <c r="A1931">
        <v>1.929</v>
      </c>
      <c r="B1931">
        <f>Uo*COS(2*PI()*Wn*Sheet2!A1931) + (Vo/Wn - (Po*(w/Wn))/(K*(1-(w/Wn)^2)))*SIN(2*PI()*Wn*Sheet2!A1931) +(Po*SIN(2*PI()*w*Sheet2!A1931))/(K*(1-(w/Wn)^2))</f>
        <v>-19.056983339401171</v>
      </c>
      <c r="C1931">
        <f t="shared" si="122"/>
        <v>-3.4228404601809221</v>
      </c>
      <c r="D1931">
        <f t="shared" si="123"/>
        <v>-559.10334014943078</v>
      </c>
      <c r="R1931">
        <f t="shared" si="120"/>
        <v>1.929</v>
      </c>
      <c r="S1931">
        <f t="shared" si="121"/>
        <v>-3.4228404601809221</v>
      </c>
    </row>
    <row r="1932" spans="1:19" x14ac:dyDescent="0.3">
      <c r="A1932">
        <v>1.93</v>
      </c>
      <c r="B1932">
        <f>Uo*COS(2*PI()*Wn*Sheet2!A1932) + (Vo/Wn - (Po*(w/Wn))/(K*(1-(w/Wn)^2)))*SIN(2*PI()*Wn*Sheet2!A1932) +(Po*SIN(2*PI()*w*Sheet2!A1932))/(K*(1-(w/Wn)^2))</f>
        <v>-18.944184084841599</v>
      </c>
      <c r="C1932">
        <f t="shared" si="122"/>
        <v>-3.4057321204501489</v>
      </c>
      <c r="D1932">
        <f t="shared" si="123"/>
        <v>-556.30878106928571</v>
      </c>
      <c r="R1932">
        <f t="shared" si="120"/>
        <v>1.93</v>
      </c>
      <c r="S1932">
        <f t="shared" si="121"/>
        <v>-3.4057321204501489</v>
      </c>
    </row>
    <row r="1933" spans="1:19" x14ac:dyDescent="0.3">
      <c r="A1933">
        <v>1.931</v>
      </c>
      <c r="B1933">
        <f>Uo*COS(2*PI()*Wn*Sheet2!A1933) + (Vo/Wn - (Po*(w/Wn))/(K*(1-(w/Wn)^2)))*SIN(2*PI()*Wn*Sheet2!A1933) +(Po*SIN(2*PI()*w*Sheet2!A1933))/(K*(1-(w/Wn)^2))</f>
        <v>-18.825196129188221</v>
      </c>
      <c r="C1933">
        <f t="shared" si="122"/>
        <v>-3.3875430929587087</v>
      </c>
      <c r="D1933">
        <f t="shared" si="123"/>
        <v>-553.33769721573196</v>
      </c>
      <c r="R1933">
        <f t="shared" si="120"/>
        <v>1.931</v>
      </c>
      <c r="S1933">
        <f t="shared" si="121"/>
        <v>-3.3875430929587087</v>
      </c>
    </row>
    <row r="1934" spans="1:19" x14ac:dyDescent="0.3">
      <c r="A1934">
        <v>1.9319999999999999</v>
      </c>
      <c r="B1934">
        <f>Uo*COS(2*PI()*Wn*Sheet2!A1934) + (Vo/Wn - (Po*(w/Wn))/(K*(1-(w/Wn)^2)))*SIN(2*PI()*Wn*Sheet2!A1934) +(Po*SIN(2*PI()*w*Sheet2!A1934))/(K*(1-(w/Wn)^2))</f>
        <v>-18.700058343520894</v>
      </c>
      <c r="C1934">
        <f t="shared" si="122"/>
        <v>-3.3682812658771142</v>
      </c>
      <c r="D1934">
        <f t="shared" si="123"/>
        <v>-550.19137708074936</v>
      </c>
      <c r="R1934">
        <f t="shared" si="120"/>
        <v>1.9319999999999999</v>
      </c>
      <c r="S1934">
        <f t="shared" si="121"/>
        <v>-3.3682812658771142</v>
      </c>
    </row>
    <row r="1935" spans="1:19" x14ac:dyDescent="0.3">
      <c r="A1935">
        <v>1.9330000000000001</v>
      </c>
      <c r="B1935">
        <f>Uo*COS(2*PI()*Wn*Sheet2!A1935) + (Vo/Wn - (Po*(w/Wn))/(K*(1-(w/Wn)^2)))*SIN(2*PI()*Wn*Sheet2!A1935) +(Po*SIN(2*PI()*w*Sheet2!A1935))/(K*(1-(w/Wn)^2))</f>
        <v>-18.568811607950671</v>
      </c>
      <c r="C1935">
        <f t="shared" si="122"/>
        <v>-3.3479548632777232</v>
      </c>
      <c r="D1935">
        <f t="shared" si="123"/>
        <v>-546.87116402415234</v>
      </c>
      <c r="R1935">
        <f t="shared" si="120"/>
        <v>1.9330000000000001</v>
      </c>
      <c r="S1935">
        <f t="shared" si="121"/>
        <v>-3.3479548632777232</v>
      </c>
    </row>
    <row r="1936" spans="1:19" x14ac:dyDescent="0.3">
      <c r="A1936">
        <v>1.9339999999999999</v>
      </c>
      <c r="B1936">
        <f>Uo*COS(2*PI()*Wn*Sheet2!A1936) + (Vo/Wn - (Po*(w/Wn))/(K*(1-(w/Wn)^2)))*SIN(2*PI()*Wn*Sheet2!A1936) +(Po*SIN(2*PI()*w*Sheet2!A1936))/(K*(1-(w/Wn)^2))</f>
        <v>-18.431498798265405</v>
      </c>
      <c r="C1936">
        <f t="shared" si="122"/>
        <v>-3.3265724418439442</v>
      </c>
      <c r="D1936">
        <f t="shared" si="123"/>
        <v>-543.378455736055</v>
      </c>
      <c r="R1936">
        <f t="shared" si="120"/>
        <v>1.9339999999999999</v>
      </c>
      <c r="S1936">
        <f t="shared" si="121"/>
        <v>-3.3265724418439442</v>
      </c>
    </row>
    <row r="1937" spans="1:19" x14ac:dyDescent="0.3">
      <c r="A1937">
        <v>1.9350000000000001</v>
      </c>
      <c r="B1937">
        <f>Uo*COS(2*PI()*Wn*Sheet2!A1937) + (Vo/Wn - (Po*(w/Wn))/(K*(1-(w/Wn)^2)))*SIN(2*PI()*Wn*Sheet2!A1937) +(Po*SIN(2*PI()*w*Sheet2!A1937))/(K*(1-(w/Wn)^2))</f>
        <v>-18.288164771922649</v>
      </c>
      <c r="C1937">
        <f t="shared" si="122"/>
        <v>-3.3041428874768033</v>
      </c>
      <c r="D1937">
        <f t="shared" si="123"/>
        <v>-539.71470368257224</v>
      </c>
      <c r="R1937">
        <f t="shared" si="120"/>
        <v>1.9350000000000001</v>
      </c>
      <c r="S1937">
        <f t="shared" si="121"/>
        <v>-3.3041428874768033</v>
      </c>
    </row>
    <row r="1938" spans="1:19" x14ac:dyDescent="0.3">
      <c r="A1938">
        <v>1.9359999999999999</v>
      </c>
      <c r="B1938">
        <f>Uo*COS(2*PI()*Wn*Sheet2!A1938) + (Vo/Wn - (Po*(w/Wn))/(K*(1-(w/Wn)^2)))*SIN(2*PI()*Wn*Sheet2!A1938) +(Po*SIN(2*PI()*w*Sheet2!A1938))/(K*(1-(w/Wn)^2))</f>
        <v>-18.138856353395951</v>
      </c>
      <c r="C1938">
        <f t="shared" si="122"/>
        <v>-3.2806754118002406</v>
      </c>
      <c r="D1938">
        <f t="shared" si="123"/>
        <v>-535.88141253497724</v>
      </c>
      <c r="R1938">
        <f t="shared" si="120"/>
        <v>1.9359999999999999</v>
      </c>
      <c r="S1938">
        <f t="shared" si="121"/>
        <v>-3.2806754118002406</v>
      </c>
    </row>
    <row r="1939" spans="1:19" x14ac:dyDescent="0.3">
      <c r="A1939">
        <v>1.9370000000000001</v>
      </c>
      <c r="B1939">
        <f>Uo*COS(2*PI()*Wn*Sheet2!A1939) + (Vo/Wn - (Po*(w/Wn))/(K*(1-(w/Wn)^2)))*SIN(2*PI()*Wn*Sheet2!A1939) +(Po*SIN(2*PI()*w*Sheet2!A1939))/(K*(1-(w/Wn)^2))</f>
        <v>-17.983622318878055</v>
      </c>
      <c r="C1939">
        <f t="shared" si="122"/>
        <v>-3.2561795485663256</v>
      </c>
      <c r="D1939">
        <f t="shared" si="123"/>
        <v>-531.88013958251202</v>
      </c>
      <c r="R1939">
        <f t="shared" si="120"/>
        <v>1.9370000000000001</v>
      </c>
      <c r="S1939">
        <f t="shared" si="121"/>
        <v>-3.2561795485663256</v>
      </c>
    </row>
    <row r="1940" spans="1:19" x14ac:dyDescent="0.3">
      <c r="A1940">
        <v>1.9379999999999999</v>
      </c>
      <c r="B1940">
        <f>Uo*COS(2*PI()*Wn*Sheet2!A1940) + (Vo/Wn - (Po*(w/Wn))/(K*(1-(w/Wn)^2)))*SIN(2*PI()*Wn*Sheet2!A1940) +(Po*SIN(2*PI()*w*Sheet2!A1940))/(K*(1-(w/Wn)^2))</f>
        <v>-17.82251338034645</v>
      </c>
      <c r="C1940">
        <f t="shared" si="122"/>
        <v>-3.2306651499618941</v>
      </c>
      <c r="D1940">
        <f t="shared" si="123"/>
        <v>-527.71249412909594</v>
      </c>
      <c r="R1940">
        <f t="shared" si="120"/>
        <v>1.9379999999999999</v>
      </c>
      <c r="S1940">
        <f t="shared" si="121"/>
        <v>-3.2306651499618941</v>
      </c>
    </row>
    <row r="1941" spans="1:19" x14ac:dyDescent="0.3">
      <c r="A1941">
        <v>1.9390000000000001</v>
      </c>
      <c r="B1941">
        <f>Uo*COS(2*PI()*Wn*Sheet2!A1941) + (Vo/Wn - (Po*(w/Wn))/(K*(1-(w/Wn)^2)))*SIN(2*PI()*Wn*Sheet2!A1941) +(Po*SIN(2*PI()*w*Sheet2!A1941))/(K*(1-(w/Wn)^2))</f>
        <v>-17.655582168997121</v>
      </c>
      <c r="C1941">
        <f t="shared" si="122"/>
        <v>-3.2041423828178939</v>
      </c>
      <c r="D1941">
        <f t="shared" si="123"/>
        <v>-523.3801368741415</v>
      </c>
      <c r="R1941">
        <f t="shared" si="120"/>
        <v>1.9390000000000001</v>
      </c>
      <c r="S1941">
        <f t="shared" si="121"/>
        <v>-3.2041423828178939</v>
      </c>
    </row>
    <row r="1942" spans="1:19" x14ac:dyDescent="0.3">
      <c r="A1942">
        <v>1.94</v>
      </c>
      <c r="B1942">
        <f>Uo*COS(2*PI()*Wn*Sheet2!A1942) + (Vo/Wn - (Po*(w/Wn))/(K*(1-(w/Wn)^2)))*SIN(2*PI()*Wn*Sheet2!A1942) +(Po*SIN(2*PI()*w*Sheet2!A1942))/(K*(1-(w/Wn)^2))</f>
        <v>-17.482883218050752</v>
      </c>
      <c r="C1942">
        <f t="shared" si="122"/>
        <v>-3.1766217247228843</v>
      </c>
      <c r="D1942">
        <f t="shared" si="123"/>
        <v>-518.88477927771498</v>
      </c>
      <c r="R1942">
        <f t="shared" si="120"/>
        <v>1.94</v>
      </c>
      <c r="S1942">
        <f t="shared" si="121"/>
        <v>-3.1766217247228843</v>
      </c>
    </row>
    <row r="1943" spans="1:19" x14ac:dyDescent="0.3">
      <c r="A1943">
        <v>1.9410000000000001</v>
      </c>
      <c r="B1943">
        <f>Uo*COS(2*PI()*Wn*Sheet2!A1943) + (Vo/Wn - (Po*(w/Wn))/(K*(1-(w/Wn)^2)))*SIN(2*PI()*Wn*Sheet2!A1943) +(Po*SIN(2*PI()*w*Sheet2!A1943))/(K*(1-(w/Wn)^2))</f>
        <v>-17.30447294493759</v>
      </c>
      <c r="C1943">
        <f t="shared" si="122"/>
        <v>-3.1481139600421284</v>
      </c>
      <c r="D1943">
        <f t="shared" si="123"/>
        <v>-514.22818291027522</v>
      </c>
      <c r="R1943">
        <f t="shared" si="120"/>
        <v>1.9410000000000001</v>
      </c>
      <c r="S1943">
        <f t="shared" si="121"/>
        <v>-3.1481139600421284</v>
      </c>
    </row>
    <row r="1944" spans="1:19" x14ac:dyDescent="0.3">
      <c r="A1944">
        <v>1.9419999999999999</v>
      </c>
      <c r="B1944">
        <f>Uo*COS(2*PI()*Wn*Sheet2!A1944) + (Vo/Wn - (Po*(w/Wn))/(K*(1-(w/Wn)^2)))*SIN(2*PI()*Wn*Sheet2!A1944) +(Po*SIN(2*PI()*w*Sheet2!A1944))/(K*(1-(w/Wn)^2))</f>
        <v>-17.120409632867407</v>
      </c>
      <c r="C1944">
        <f t="shared" si="122"/>
        <v>-3.1186301758437431</v>
      </c>
      <c r="D1944">
        <f t="shared" si="123"/>
        <v>-509.41215878723125</v>
      </c>
      <c r="R1944">
        <f t="shared" si="120"/>
        <v>1.9419999999999999</v>
      </c>
      <c r="S1944">
        <f t="shared" si="121"/>
        <v>-3.1186301758437431</v>
      </c>
    </row>
    <row r="1945" spans="1:19" x14ac:dyDescent="0.3">
      <c r="A1945">
        <v>1.9430000000000001</v>
      </c>
      <c r="B1945">
        <f>Uo*COS(2*PI()*Wn*Sheet2!A1945) + (Vo/Wn - (Po*(w/Wn))/(K*(1-(w/Wn)^2)))*SIN(2*PI()*Wn*Sheet2!A1945) +(Po*SIN(2*PI()*w*Sheet2!A1945))/(K*(1-(w/Wn)^2))</f>
        <v>-16.930753411788949</v>
      </c>
      <c r="C1945">
        <f t="shared" si="122"/>
        <v>-3.0881817577333996</v>
      </c>
      <c r="D1945">
        <f t="shared" si="123"/>
        <v>-504.4385666885625</v>
      </c>
      <c r="R1945">
        <f t="shared" si="120"/>
        <v>1.9430000000000001</v>
      </c>
      <c r="S1945">
        <f t="shared" si="121"/>
        <v>-3.0881817577333996</v>
      </c>
    </row>
    <row r="1946" spans="1:19" x14ac:dyDescent="0.3">
      <c r="A1946">
        <v>1.944</v>
      </c>
      <c r="B1946">
        <f>Uo*COS(2*PI()*Wn*Sheet2!A1946) + (Vo/Wn - (Po*(w/Wn))/(K*(1-(w/Wn)^2)))*SIN(2*PI()*Wn*Sheet2!A1946) +(Po*SIN(2*PI()*w*Sheet2!A1946))/(K*(1-(w/Wn)^2))</f>
        <v>-16.735566238747126</v>
      </c>
      <c r="C1946">
        <f t="shared" si="122"/>
        <v>-3.0567803855991622</v>
      </c>
      <c r="D1946">
        <f t="shared" si="123"/>
        <v>-499.3093144637599</v>
      </c>
      <c r="R1946">
        <f t="shared" si="120"/>
        <v>1.944</v>
      </c>
      <c r="S1946">
        <f t="shared" si="121"/>
        <v>-3.0567803855991622</v>
      </c>
    </row>
    <row r="1947" spans="1:19" x14ac:dyDescent="0.3">
      <c r="A1947">
        <v>1.9450000000000001</v>
      </c>
      <c r="B1947">
        <f>Uo*COS(2*PI()*Wn*Sheet2!A1947) + (Vo/Wn - (Po*(w/Wn))/(K*(1-(w/Wn)^2)))*SIN(2*PI()*Wn*Sheet2!A1947) +(Po*SIN(2*PI()*w*Sheet2!A1947))/(K*(1-(w/Wn)^2))</f>
        <v>-16.534911877642553</v>
      </c>
      <c r="C1947">
        <f t="shared" si="122"/>
        <v>-3.0244380292678521</v>
      </c>
      <c r="D1947">
        <f t="shared" si="123"/>
        <v>-494.02635732231522</v>
      </c>
      <c r="R1947">
        <f t="shared" si="120"/>
        <v>1.9450000000000001</v>
      </c>
      <c r="S1947">
        <f t="shared" si="121"/>
        <v>-3.0244380292678521</v>
      </c>
    </row>
    <row r="1948" spans="1:19" x14ac:dyDescent="0.3">
      <c r="A1948">
        <v>1.946</v>
      </c>
      <c r="B1948">
        <f>Uo*COS(2*PI()*Wn*Sheet2!A1948) + (Vo/Wn - (Po*(w/Wn))/(K*(1-(w/Wn)^2)))*SIN(2*PI()*Wn*Sheet2!A1948) +(Po*SIN(2*PI()*w*Sheet2!A1948))/(K*(1-(w/Wn)^2))</f>
        <v>-16.328855878401274</v>
      </c>
      <c r="C1948">
        <f t="shared" si="122"/>
        <v>-2.9911669440747342</v>
      </c>
      <c r="D1948">
        <f t="shared" si="123"/>
        <v>-488.59169711005245</v>
      </c>
      <c r="R1948">
        <f t="shared" si="120"/>
        <v>1.946</v>
      </c>
      <c r="S1948">
        <f t="shared" si="121"/>
        <v>-2.9911669440747342</v>
      </c>
    </row>
    <row r="1949" spans="1:19" x14ac:dyDescent="0.3">
      <c r="A1949">
        <v>1.9470000000000001</v>
      </c>
      <c r="B1949">
        <f>Uo*COS(2*PI()*Wn*Sheet2!A1949) + (Vo/Wn - (Po*(w/Wn))/(K*(1-(w/Wn)^2)))*SIN(2*PI()*Wn*Sheet2!A1949) +(Po*SIN(2*PI()*w*Sheet2!A1949))/(K*(1-(w/Wn)^2))</f>
        <v>-16.117465555560514</v>
      </c>
      <c r="C1949">
        <f t="shared" si="122"/>
        <v>-2.9569796663479564</v>
      </c>
      <c r="D1949">
        <f t="shared" si="123"/>
        <v>-483.00738157153404</v>
      </c>
      <c r="R1949">
        <f t="shared" si="120"/>
        <v>1.9470000000000001</v>
      </c>
      <c r="S1949">
        <f t="shared" si="121"/>
        <v>-2.9569796663479564</v>
      </c>
    </row>
    <row r="1950" spans="1:19" x14ac:dyDescent="0.3">
      <c r="A1950">
        <v>1.948</v>
      </c>
      <c r="B1950">
        <f>Uo*COS(2*PI()*Wn*Sheet2!A1950) + (Vo/Wn - (Po*(w/Wn))/(K*(1-(w/Wn)^2)))*SIN(2*PI()*Wn*Sheet2!A1950) +(Po*SIN(2*PI()*w*Sheet2!A1950))/(K*(1-(w/Wn)^2))</f>
        <v>-15.900809966278898</v>
      </c>
      <c r="C1950">
        <f t="shared" si="122"/>
        <v>-2.9218890088094502</v>
      </c>
      <c r="D1950">
        <f t="shared" si="123"/>
        <v>-477.27550359882201</v>
      </c>
      <c r="R1950">
        <f t="shared" si="120"/>
        <v>1.948</v>
      </c>
      <c r="S1950">
        <f t="shared" si="121"/>
        <v>-2.9218890088094502</v>
      </c>
    </row>
    <row r="1951" spans="1:19" x14ac:dyDescent="0.3">
      <c r="A1951">
        <v>1.9490000000000001</v>
      </c>
      <c r="B1951">
        <f>Uo*COS(2*PI()*Wn*Sheet2!A1951) + (Vo/Wn - (Po*(w/Wn))/(K*(1-(w/Wn)^2)))*SIN(2*PI()*Wn*Sheet2!A1951) +(Po*SIN(2*PI()*w*Sheet2!A1951))/(K*(1-(w/Wn)^2))</f>
        <v>-15.678959887776129</v>
      </c>
      <c r="C1951">
        <f t="shared" si="122"/>
        <v>-2.8859080558939132</v>
      </c>
      <c r="D1951">
        <f t="shared" si="123"/>
        <v>-471.39820046685753</v>
      </c>
      <c r="R1951">
        <f t="shared" si="120"/>
        <v>1.9490000000000001</v>
      </c>
      <c r="S1951">
        <f t="shared" si="121"/>
        <v>-2.8859080558939132</v>
      </c>
    </row>
    <row r="1952" spans="1:19" x14ac:dyDescent="0.3">
      <c r="A1952">
        <v>1.95</v>
      </c>
      <c r="B1952">
        <f>Uo*COS(2*PI()*Wn*Sheet2!A1952) + (Vo/Wn - (Po*(w/Wn))/(K*(1-(w/Wn)^2)))*SIN(2*PI()*Wn*Sheet2!A1952) +(Po*SIN(2*PI()*w*Sheet2!A1952))/(K*(1-(w/Wn)^2))</f>
        <v>-15.451987794212121</v>
      </c>
      <c r="C1952">
        <f t="shared" si="122"/>
        <v>-2.8490501589876289</v>
      </c>
      <c r="D1952">
        <f t="shared" si="123"/>
        <v>-465.37765305574692</v>
      </c>
      <c r="R1952">
        <f t="shared" si="120"/>
        <v>1.95</v>
      </c>
      <c r="S1952">
        <f t="shared" si="121"/>
        <v>-2.8490501589876289</v>
      </c>
    </row>
    <row r="1953" spans="1:19" x14ac:dyDescent="0.3">
      <c r="A1953">
        <v>1.9510000000000001</v>
      </c>
      <c r="B1953">
        <f>Uo*COS(2*PI()*Wn*Sheet2!A1953) + (Vo/Wn - (Po*(w/Wn))/(K*(1-(w/Wn)^2)))*SIN(2*PI()*Wn*Sheet2!A1953) +(Po*SIN(2*PI()*w*Sheet2!A1953))/(K*(1-(w/Wn)^2))</f>
        <v>-15.219967833010383</v>
      </c>
      <c r="C1953">
        <f t="shared" si="122"/>
        <v>-2.8113289315885566</v>
      </c>
      <c r="D1953">
        <f t="shared" si="123"/>
        <v>-459.2160850601872</v>
      </c>
      <c r="R1953">
        <f t="shared" si="120"/>
        <v>1.9510000000000001</v>
      </c>
      <c r="S1953">
        <f t="shared" si="121"/>
        <v>-2.8113289315885566</v>
      </c>
    </row>
    <row r="1954" spans="1:19" x14ac:dyDescent="0.3">
      <c r="A1954">
        <v>1.952</v>
      </c>
      <c r="B1954">
        <f>Uo*COS(2*PI()*Wn*Sheet2!A1954) + (Vo/Wn - (Po*(w/Wn))/(K*(1-(w/Wn)^2)))*SIN(2*PI()*Wn*Sheet2!A1954) +(Po*SIN(2*PI()*w*Sheet2!A1954))/(K*(1-(w/Wn)^2))</f>
        <v>-14.982975800636094</v>
      </c>
      <c r="C1954">
        <f t="shared" si="122"/>
        <v>-2.7727582443899408</v>
      </c>
      <c r="D1954">
        <f t="shared" si="123"/>
        <v>-452.91576218639921</v>
      </c>
      <c r="R1954">
        <f t="shared" si="120"/>
        <v>1.952</v>
      </c>
      <c r="S1954">
        <f t="shared" si="121"/>
        <v>-2.7727582443899408</v>
      </c>
    </row>
    <row r="1955" spans="1:19" x14ac:dyDescent="0.3">
      <c r="A1955">
        <v>1.9530000000000001</v>
      </c>
      <c r="B1955">
        <f>Uo*COS(2*PI()*Wn*Sheet2!A1955) + (Vo/Wn - (Po*(w/Wn))/(K*(1-(w/Wn)^2)))*SIN(2*PI()*Wn*Sheet2!A1955) +(Po*SIN(2*PI()*w*Sheet2!A1955))/(K*(1-(w/Wn)^2))</f>
        <v>-14.7410891178345</v>
      </c>
      <c r="C1955">
        <f t="shared" si="122"/>
        <v>-2.733352220288511</v>
      </c>
      <c r="D1955">
        <f t="shared" si="123"/>
        <v>-446.47899133674241</v>
      </c>
      <c r="R1955">
        <f t="shared" si="120"/>
        <v>1.9530000000000001</v>
      </c>
      <c r="S1955">
        <f t="shared" si="121"/>
        <v>-2.733352220288511</v>
      </c>
    </row>
    <row r="1956" spans="1:19" x14ac:dyDescent="0.3">
      <c r="A1956">
        <v>1.954</v>
      </c>
      <c r="B1956">
        <f>Uo*COS(2*PI()*Wn*Sheet2!A1956) + (Vo/Wn - (Po*(w/Wn))/(K*(1-(w/Wn)^2)))*SIN(2*PI()*Wn*Sheet2!A1956) +(Po*SIN(2*PI()*w*Sheet2!A1956))/(K*(1-(w/Wn)^2))</f>
        <v>-14.494386804339239</v>
      </c>
      <c r="C1956">
        <f t="shared" si="122"/>
        <v>-2.6931252293196102</v>
      </c>
      <c r="D1956">
        <f t="shared" si="123"/>
        <v>-439.90811978239464</v>
      </c>
      <c r="R1956">
        <f t="shared" si="120"/>
        <v>1.954</v>
      </c>
      <c r="S1956">
        <f t="shared" si="121"/>
        <v>-2.6931252293196102</v>
      </c>
    </row>
    <row r="1957" spans="1:19" x14ac:dyDescent="0.3">
      <c r="A1957">
        <v>1.9550000000000001</v>
      </c>
      <c r="B1957">
        <f>Uo*COS(2*PI()*Wn*Sheet2!A1957) + (Vo/Wn - (Po*(w/Wn))/(K*(1-(w/Wn)^2)))*SIN(2*PI()*Wn*Sheet2!A1957) +(Po*SIN(2*PI()*w*Sheet2!A1957))/(K*(1-(w/Wn)^2))</f>
        <v>-14.242949453057705</v>
      </c>
      <c r="C1957">
        <f t="shared" si="122"/>
        <v>-2.6520918835207103</v>
      </c>
      <c r="D1957">
        <f t="shared" si="123"/>
        <v>-433.2055343243336</v>
      </c>
      <c r="R1957">
        <f t="shared" si="120"/>
        <v>1.9550000000000001</v>
      </c>
      <c r="S1957">
        <f t="shared" si="121"/>
        <v>-2.6520918835207103</v>
      </c>
    </row>
    <row r="1958" spans="1:19" x14ac:dyDescent="0.3">
      <c r="A1958">
        <v>1.956</v>
      </c>
      <c r="B1958">
        <f>Uo*COS(2*PI()*Wn*Sheet2!A1958) + (Vo/Wn - (Po*(w/Wn))/(K*(1-(w/Wn)^2)))*SIN(2*PI()*Wn*Sheet2!A1958) +(Po*SIN(2*PI()*w*Sheet2!A1958))/(K*(1-(w/Wn)^2))</f>
        <v>-13.986859203743593</v>
      </c>
      <c r="C1958">
        <f t="shared" si="122"/>
        <v>-2.6102670317252441</v>
      </c>
      <c r="D1958">
        <f t="shared" si="123"/>
        <v>-426.37366044293628</v>
      </c>
      <c r="R1958">
        <f t="shared" si="120"/>
        <v>1.956</v>
      </c>
      <c r="S1958">
        <f t="shared" si="121"/>
        <v>-2.6102670317252441</v>
      </c>
    </row>
    <row r="1959" spans="1:19" x14ac:dyDescent="0.3">
      <c r="A1959">
        <v>1.9570000000000001</v>
      </c>
      <c r="B1959">
        <f>Uo*COS(2*PI()*Wn*Sheet2!A1959) + (Vo/Wn - (Po*(w/Wn))/(K*(1-(w/Wn)^2)))*SIN(2*PI()*Wn*Sheet2!A1959) +(Po*SIN(2*PI()*w*Sheet2!A1959))/(K*(1-(w/Wn)^2))</f>
        <v>-13.726199716162618</v>
      </c>
      <c r="C1959">
        <f t="shared" si="122"/>
        <v>-2.5676657542885284</v>
      </c>
      <c r="D1959">
        <f t="shared" si="123"/>
        <v>-419.41496143648556</v>
      </c>
      <c r="R1959">
        <f t="shared" si="120"/>
        <v>1.9570000000000001</v>
      </c>
      <c r="S1959">
        <f t="shared" si="121"/>
        <v>-2.5676657542885284</v>
      </c>
    </row>
    <row r="1960" spans="1:19" x14ac:dyDescent="0.3">
      <c r="A1960">
        <v>1.958</v>
      </c>
      <c r="B1960">
        <f>Uo*COS(2*PI()*Wn*Sheet2!A1960) + (Vo/Wn - (Po*(w/Wn))/(K*(1-(w/Wn)^2)))*SIN(2*PI()*Wn*Sheet2!A1960) +(Po*SIN(2*PI()*w*Sheet2!A1960))/(K*(1-(w/Wn)^2))</f>
        <v>-13.46105614276329</v>
      </c>
      <c r="C1960">
        <f t="shared" si="122"/>
        <v>-2.5243033577477414</v>
      </c>
      <c r="D1960">
        <f t="shared" si="123"/>
        <v>-412.33193754890516</v>
      </c>
      <c r="R1960">
        <f t="shared" si="120"/>
        <v>1.958</v>
      </c>
      <c r="S1960">
        <f t="shared" si="121"/>
        <v>-2.5243033577477414</v>
      </c>
    </row>
    <row r="1961" spans="1:19" x14ac:dyDescent="0.3">
      <c r="A1961">
        <v>1.9590000000000001</v>
      </c>
      <c r="B1961">
        <f>Uo*COS(2*PI()*Wn*Sheet2!A1961) + (Vo/Wn - (Po*(w/Wn))/(K*(1-(w/Wn)^2)))*SIN(2*PI()*Wn*Sheet2!A1961) +(Po*SIN(2*PI()*w*Sheet2!A1961))/(K*(1-(w/Wn)^2))</f>
        <v>-13.191515100858416</v>
      </c>
      <c r="C1961">
        <f t="shared" si="122"/>
        <v>-2.4801953694174692</v>
      </c>
      <c r="D1961">
        <f t="shared" si="123"/>
        <v>-405.12712508697001</v>
      </c>
      <c r="R1961">
        <f t="shared" si="120"/>
        <v>1.9590000000000001</v>
      </c>
      <c r="S1961">
        <f t="shared" si="121"/>
        <v>-2.4801953694174692</v>
      </c>
    </row>
    <row r="1962" spans="1:19" x14ac:dyDescent="0.3">
      <c r="A1962">
        <v>1.96</v>
      </c>
      <c r="B1962">
        <f>Uo*COS(2*PI()*Wn*Sheet2!A1962) + (Vo/Wn - (Po*(w/Wn))/(K*(1-(w/Wn)^2)))*SIN(2*PI()*Wn*Sheet2!A1962) +(Po*SIN(2*PI()*w*Sheet2!A1962))/(K*(1-(w/Wn)^2))</f>
        <v>-12.917664644329614</v>
      </c>
      <c r="C1962">
        <f t="shared" si="122"/>
        <v>-2.4353575319233505</v>
      </c>
      <c r="D1962">
        <f t="shared" si="123"/>
        <v>-397.80309552740533</v>
      </c>
      <c r="R1962">
        <f t="shared" si="120"/>
        <v>1.96</v>
      </c>
      <c r="S1962">
        <f t="shared" si="121"/>
        <v>-2.4353575319233505</v>
      </c>
    </row>
    <row r="1963" spans="1:19" x14ac:dyDescent="0.3">
      <c r="A1963">
        <v>1.9610000000000001</v>
      </c>
      <c r="B1963">
        <f>Uo*COS(2*PI()*Wn*Sheet2!A1963) + (Vo/Wn - (Po*(w/Wn))/(K*(1-(w/Wn)^2)))*SIN(2*PI()*Wn*Sheet2!A1963) +(Po*SIN(2*PI()*w*Sheet2!A1963))/(K*(1-(w/Wn)^2))</f>
        <v>-12.639594234861393</v>
      </c>
      <c r="C1963">
        <f t="shared" si="122"/>
        <v>-2.3898057976749163</v>
      </c>
      <c r="D1963">
        <f t="shared" si="123"/>
        <v>-390.36245461405332</v>
      </c>
      <c r="R1963">
        <f t="shared" si="120"/>
        <v>1.9610000000000001</v>
      </c>
      <c r="S1963">
        <f t="shared" si="121"/>
        <v>-2.3898057976749163</v>
      </c>
    </row>
    <row r="1964" spans="1:19" x14ac:dyDescent="0.3">
      <c r="A1964">
        <v>1.962</v>
      </c>
      <c r="B1964">
        <f>Uo*COS(2*PI()*Wn*Sheet2!A1964) + (Vo/Wn - (Po*(w/Wn))/(K*(1-(w/Wn)^2)))*SIN(2*PI()*Wn*Sheet2!A1964) +(Po*SIN(2*PI()*w*Sheet2!A1964))/(K*(1-(w/Wn)^2))</f>
        <v>-12.357394712715951</v>
      </c>
      <c r="C1964">
        <f t="shared" si="122"/>
        <v>-2.3435563232802004</v>
      </c>
      <c r="D1964">
        <f t="shared" si="123"/>
        <v>-382.80784144552882</v>
      </c>
      <c r="R1964">
        <f t="shared" si="120"/>
        <v>1.962</v>
      </c>
      <c r="S1964">
        <f t="shared" si="121"/>
        <v>-2.3435563232802004</v>
      </c>
    </row>
    <row r="1965" spans="1:19" x14ac:dyDescent="0.3">
      <c r="A1965">
        <v>1.9630000000000001</v>
      </c>
      <c r="B1965">
        <f>Uo*COS(2*PI()*Wn*Sheet2!A1965) + (Vo/Wn - (Po*(w/Wn))/(K*(1-(w/Wn)^2)))*SIN(2*PI()*Wn*Sheet2!A1965) +(Po*SIN(2*PI()*w*Sheet2!A1965))/(K*(1-(w/Wn)^2))</f>
        <v>-12.071158267056955</v>
      </c>
      <c r="C1965">
        <f t="shared" si="122"/>
        <v>-2.2966254639036885</v>
      </c>
      <c r="D1965">
        <f t="shared" si="123"/>
        <v>-375.14192755361927</v>
      </c>
      <c r="R1965">
        <f t="shared" si="120"/>
        <v>1.9630000000000001</v>
      </c>
      <c r="S1965">
        <f t="shared" si="121"/>
        <v>-2.2966254639036885</v>
      </c>
    </row>
    <row r="1966" spans="1:19" x14ac:dyDescent="0.3">
      <c r="A1966">
        <v>1.964</v>
      </c>
      <c r="B1966">
        <f>Uo*COS(2*PI()*Wn*Sheet2!A1966) + (Vo/Wn - (Po*(w/Wn))/(K*(1-(w/Wn)^2)))*SIN(2*PI()*Wn*Sheet2!A1966) +(Po*SIN(2*PI()*w*Sheet2!A1966))/(K*(1-(w/Wn)^2))</f>
        <v>-11.780978405833897</v>
      </c>
      <c r="C1966">
        <f t="shared" si="122"/>
        <v>-2.2490297675696711</v>
      </c>
      <c r="D1966">
        <f t="shared" si="123"/>
        <v>-367.36741597276671</v>
      </c>
      <c r="R1966">
        <f t="shared" si="120"/>
        <v>1.964</v>
      </c>
      <c r="S1966">
        <f t="shared" si="121"/>
        <v>-2.2490297675696711</v>
      </c>
    </row>
    <row r="1967" spans="1:19" x14ac:dyDescent="0.3">
      <c r="A1967">
        <v>1.9650000000000001</v>
      </c>
      <c r="B1967">
        <f>Uo*COS(2*PI()*Wn*Sheet2!A1967) + (Vo/Wn - (Po*(w/Wn))/(K*(1-(w/Wn)^2)))*SIN(2*PI()*Wn*Sheet2!A1967) +(Po*SIN(2*PI()*w*Sheet2!A1967))/(K*(1-(w/Wn)^2))</f>
        <v>-11.486949925233947</v>
      </c>
      <c r="C1967">
        <f t="shared" si="122"/>
        <v>-2.200785969412911</v>
      </c>
      <c r="D1967">
        <f t="shared" si="123"/>
        <v>-359.48704030094422</v>
      </c>
      <c r="R1967">
        <f t="shared" si="120"/>
        <v>1.9650000000000001</v>
      </c>
      <c r="S1967">
        <f t="shared" si="121"/>
        <v>-2.200785969412911</v>
      </c>
    </row>
    <row r="1968" spans="1:19" x14ac:dyDescent="0.3">
      <c r="A1968">
        <v>1.966</v>
      </c>
      <c r="B1968">
        <f>Uo*COS(2*PI()*Wn*Sheet2!A1968) + (Vo/Wn - (Po*(w/Wn))/(K*(1-(w/Wn)^2)))*SIN(2*PI()*Wn*Sheet2!A1968) +(Po*SIN(2*PI()*w*Sheet2!A1968))/(K*(1-(w/Wn)^2))</f>
        <v>-11.189168878714641</v>
      </c>
      <c r="C1968">
        <f t="shared" si="122"/>
        <v>-2.1519109858787226</v>
      </c>
      <c r="D1968">
        <f t="shared" si="123"/>
        <v>-351.50356375226841</v>
      </c>
      <c r="R1968">
        <f t="shared" si="120"/>
        <v>1.966</v>
      </c>
      <c r="S1968">
        <f t="shared" si="121"/>
        <v>-2.1519109858787226</v>
      </c>
    </row>
    <row r="1969" spans="1:19" x14ac:dyDescent="0.3">
      <c r="A1969">
        <v>1.9670000000000001</v>
      </c>
      <c r="B1969">
        <f>Uo*COS(2*PI()*Wn*Sheet2!A1969) + (Vo/Wn - (Po*(w/Wn))/(K*(1-(w/Wn)^2)))*SIN(2*PI()*Wn*Sheet2!A1969) +(Po*SIN(2*PI()*w*Sheet2!A1969))/(K*(1-(w/Wn)^2))</f>
        <v>-10.887732545624743</v>
      </c>
      <c r="C1969">
        <f t="shared" si="122"/>
        <v>-2.1024219088741569</v>
      </c>
      <c r="D1969">
        <f t="shared" si="123"/>
        <v>-343.41977820162589</v>
      </c>
      <c r="R1969">
        <f t="shared" si="120"/>
        <v>1.9670000000000001</v>
      </c>
      <c r="S1969">
        <f t="shared" si="121"/>
        <v>-2.1024219088741569</v>
      </c>
    </row>
    <row r="1970" spans="1:19" x14ac:dyDescent="0.3">
      <c r="A1970">
        <v>1.968</v>
      </c>
      <c r="B1970">
        <f>Uo*COS(2*PI()*Wn*Sheet2!A1970) + (Vo/Wn - (Po*(w/Wn))/(K*(1-(w/Wn)^2)))*SIN(2*PI()*Wn*Sheet2!A1970) +(Po*SIN(2*PI()*w*Sheet2!A1970))/(K*(1-(w/Wn)^2))</f>
        <v>-10.582739399424577</v>
      </c>
      <c r="C1970">
        <f t="shared" si="122"/>
        <v>-2.0523359998726707</v>
      </c>
      <c r="D1970">
        <f t="shared" si="123"/>
        <v>-335.23850322170142</v>
      </c>
      <c r="R1970">
        <f t="shared" si="120"/>
        <v>1.968</v>
      </c>
      <c r="S1970">
        <f t="shared" si="121"/>
        <v>-2.0523359998726707</v>
      </c>
    </row>
    <row r="1971" spans="1:19" x14ac:dyDescent="0.3">
      <c r="A1971">
        <v>1.9690000000000001</v>
      </c>
      <c r="B1971">
        <f>Uo*COS(2*PI()*Wn*Sheet2!A1971) + (Vo/Wn - (Po*(w/Wn))/(K*(1-(w/Wn)^2)))*SIN(2*PI()*Wn*Sheet2!A1971) +(Po*SIN(2*PI()*w*Sheet2!A1971))/(K*(1-(w/Wn)^2))</f>
        <v>-10.274289075517347</v>
      </c>
      <c r="C1971">
        <f t="shared" si="122"/>
        <v>-2.0016706839739995</v>
      </c>
      <c r="D1971">
        <f t="shared" si="123"/>
        <v>-326.96258511268854</v>
      </c>
      <c r="R1971">
        <f t="shared" si="120"/>
        <v>1.9690000000000001</v>
      </c>
      <c r="S1971">
        <f t="shared" si="121"/>
        <v>-2.0016706839739995</v>
      </c>
    </row>
    <row r="1972" spans="1:19" x14ac:dyDescent="0.3">
      <c r="A1972">
        <v>1.97</v>
      </c>
      <c r="B1972">
        <f>Uo*COS(2*PI()*Wn*Sheet2!A1972) + (Vo/Wn - (Po*(w/Wn))/(K*(1-(w/Wn)^2)))*SIN(2*PI()*Wn*Sheet2!A1972) +(Po*SIN(2*PI()*w*Sheet2!A1972))/(K*(1-(w/Wn)^2))</f>
        <v>-9.9624823386998216</v>
      </c>
      <c r="C1972">
        <f t="shared" si="122"/>
        <v>-1.950443543921377</v>
      </c>
      <c r="D1972">
        <f t="shared" si="123"/>
        <v>-318.5948959250336</v>
      </c>
      <c r="R1972">
        <f t="shared" si="120"/>
        <v>1.97</v>
      </c>
      <c r="S1972">
        <f t="shared" si="121"/>
        <v>-1.950443543921377</v>
      </c>
    </row>
    <row r="1973" spans="1:19" x14ac:dyDescent="0.3">
      <c r="A1973">
        <v>1.9710000000000001</v>
      </c>
      <c r="B1973">
        <f>Uo*COS(2*PI()*Wn*Sheet2!A1973) + (Vo/Wn - (Po*(w/Wn))/(K*(1-(w/Wn)^2)))*SIN(2*PI()*Wn*Sheet2!A1973) +(Po*SIN(2*PI()*w*Sheet2!A1973))/(K*(1-(w/Wn)^2))</f>
        <v>-9.6474210502440396</v>
      </c>
      <c r="C1973">
        <f t="shared" si="122"/>
        <v>-1.8986723140780963</v>
      </c>
      <c r="D1973">
        <f t="shared" si="123"/>
        <v>-310.13833247553754</v>
      </c>
      <c r="R1973">
        <f t="shared" si="120"/>
        <v>1.9710000000000001</v>
      </c>
      <c r="S1973">
        <f t="shared" si="121"/>
        <v>-1.8986723140780963</v>
      </c>
    </row>
    <row r="1974" spans="1:19" x14ac:dyDescent="0.3">
      <c r="A1974">
        <v>1.972</v>
      </c>
      <c r="B1974">
        <f>Uo*COS(2*PI()*Wn*Sheet2!A1974) + (Vo/Wn - (Po*(w/Wn))/(K*(1-(w/Wn)^2)))*SIN(2*PI()*Wn*Sheet2!A1974) +(Po*SIN(2*PI()*w*Sheet2!A1974))/(K*(1-(w/Wn)^2))</f>
        <v>-9.3292081346220392</v>
      </c>
      <c r="C1974">
        <f t="shared" si="122"/>
        <v>-1.8463748743654738</v>
      </c>
      <c r="D1974">
        <f t="shared" si="123"/>
        <v>-301.59581535715421</v>
      </c>
      <c r="R1974">
        <f t="shared" si="120"/>
        <v>1.972</v>
      </c>
      <c r="S1974">
        <f t="shared" si="121"/>
        <v>-1.8463748743654738</v>
      </c>
    </row>
    <row r="1975" spans="1:19" x14ac:dyDescent="0.3">
      <c r="A1975">
        <v>1.9730000000000001</v>
      </c>
      <c r="B1975">
        <f>Uo*COS(2*PI()*Wn*Sheet2!A1975) + (Vo/Wn - (Po*(w/Wn))/(K*(1-(w/Wn)^2)))*SIN(2*PI()*Wn*Sheet2!A1975) +(Po*SIN(2*PI()*w*Sheet2!A1975))/(K*(1-(w/Wn)^2))</f>
        <v>-9.0079475458814287</v>
      </c>
      <c r="C1975">
        <f t="shared" si="122"/>
        <v>-1.7935692441642206</v>
      </c>
      <c r="D1975">
        <f t="shared" si="123"/>
        <v>-292.97028794281022</v>
      </c>
      <c r="R1975">
        <f t="shared" si="120"/>
        <v>1.9730000000000001</v>
      </c>
      <c r="S1975">
        <f t="shared" si="121"/>
        <v>-1.7935692441642206</v>
      </c>
    </row>
    <row r="1976" spans="1:19" x14ac:dyDescent="0.3">
      <c r="A1976">
        <v>1.974</v>
      </c>
      <c r="B1976">
        <f>Uo*COS(2*PI()*Wn*Sheet2!A1976) + (Vo/Wn - (Po*(w/Wn))/(K*(1-(w/Wn)^2)))*SIN(2*PI()*Wn*Sheet2!A1976) +(Po*SIN(2*PI()*w*Sheet2!A1976))/(K*(1-(w/Wn)^2))</f>
        <v>-8.6837442336864612</v>
      </c>
      <c r="C1976">
        <f t="shared" si="122"/>
        <v>-1.740273576181419</v>
      </c>
      <c r="D1976">
        <f t="shared" si="123"/>
        <v>-284.26471538360761</v>
      </c>
      <c r="R1976">
        <f t="shared" si="120"/>
        <v>1.974</v>
      </c>
      <c r="S1976">
        <f t="shared" si="121"/>
        <v>-1.740273576181419</v>
      </c>
    </row>
    <row r="1977" spans="1:19" x14ac:dyDescent="0.3">
      <c r="A1977">
        <v>1.9750000000000001</v>
      </c>
      <c r="B1977">
        <f>Uo*COS(2*PI()*Wn*Sheet2!A1977) + (Vo/Wn - (Po*(w/Wn))/(K*(1-(w/Wn)^2)))*SIN(2*PI()*Wn*Sheet2!A1977) +(Po*SIN(2*PI()*w*Sheet2!A1977))/(K*(1-(w/Wn)^2))</f>
        <v>-8.3567041090326342</v>
      </c>
      <c r="C1977">
        <f t="shared" si="122"/>
        <v>-1.6865061502848495</v>
      </c>
      <c r="D1977">
        <f t="shared" si="123"/>
        <v>-275.48208360169275</v>
      </c>
      <c r="R1977">
        <f t="shared" si="120"/>
        <v>1.9750000000000001</v>
      </c>
      <c r="S1977">
        <f t="shared" si="121"/>
        <v>-1.6865061502848495</v>
      </c>
    </row>
    <row r="1978" spans="1:19" x14ac:dyDescent="0.3">
      <c r="A1978">
        <v>1.976</v>
      </c>
      <c r="B1978">
        <f>Uo*COS(2*PI()*Wn*Sheet2!A1978) + (Vo/Wn - (Po*(w/Wn))/(K*(1-(w/Wn)^2)))*SIN(2*PI()*Wn*Sheet2!A1978) +(Po*SIN(2*PI()*w*Sheet2!A1978))/(K*(1-(w/Wn)^2))</f>
        <v>-8.0269340096471957</v>
      </c>
      <c r="C1978">
        <f t="shared" si="122"/>
        <v>-1.6322853673071573</v>
      </c>
      <c r="D1978">
        <f t="shared" si="123"/>
        <v>-266.62539827819899</v>
      </c>
      <c r="R1978">
        <f t="shared" si="120"/>
        <v>1.976</v>
      </c>
      <c r="S1978">
        <f t="shared" si="121"/>
        <v>-1.6322853673071573</v>
      </c>
    </row>
    <row r="1979" spans="1:19" x14ac:dyDescent="0.3">
      <c r="A1979">
        <v>1.9770000000000001</v>
      </c>
      <c r="B1979">
        <f>Uo*COS(2*PI()*Wn*Sheet2!A1979) + (Vo/Wn - (Po*(w/Wn))/(K*(1-(w/Wn)^2)))*SIN(2*PI()*Wn*Sheet2!A1979) +(Po*SIN(2*PI()*w*Sheet2!A1979))/(K*(1-(w/Wn)^2))</f>
        <v>-7.6945416650881011</v>
      </c>
      <c r="C1979">
        <f t="shared" si="122"/>
        <v>-1.5776297428216175</v>
      </c>
      <c r="D1979">
        <f t="shared" si="123"/>
        <v>-257.6976838365498</v>
      </c>
      <c r="R1979">
        <f t="shared" si="120"/>
        <v>1.9770000000000001</v>
      </c>
      <c r="S1979">
        <f t="shared" si="121"/>
        <v>-1.5776297428216175</v>
      </c>
    </row>
    <row r="1980" spans="1:19" x14ac:dyDescent="0.3">
      <c r="A1980">
        <v>1.978</v>
      </c>
      <c r="B1980">
        <f>Uo*COS(2*PI()*Wn*Sheet2!A1980) + (Vo/Wn - (Po*(w/Wn))/(K*(1-(w/Wn)^2)))*SIN(2*PI()*Wn*Sheet2!A1980) +(Po*SIN(2*PI()*w*Sheet2!A1980))/(K*(1-(w/Wn)^2))</f>
        <v>-7.3596356615504375</v>
      </c>
      <c r="C1980">
        <f t="shared" si="122"/>
        <v>-1.5225579008917174</v>
      </c>
      <c r="D1980">
        <f t="shared" si="123"/>
        <v>-248.70198242148555</v>
      </c>
      <c r="R1980">
        <f t="shared" si="120"/>
        <v>1.978</v>
      </c>
      <c r="S1980">
        <f t="shared" si="121"/>
        <v>-1.5225579008917174</v>
      </c>
    </row>
    <row r="1981" spans="1:19" x14ac:dyDescent="0.3">
      <c r="A1981">
        <v>1.9790000000000001</v>
      </c>
      <c r="B1981">
        <f>Uo*COS(2*PI()*Wn*Sheet2!A1981) + (Vo/Wn - (Po*(w/Wn))/(K*(1-(w/Wn)^2)))*SIN(2*PI()*Wn*Sheet2!A1981) +(Po*SIN(2*PI()*w*Sheet2!A1981))/(K*(1-(w/Wn)^2))</f>
        <v>-7.0223254063930094</v>
      </c>
      <c r="C1981">
        <f t="shared" si="122"/>
        <v>-1.4670885677965904</v>
      </c>
      <c r="D1981">
        <f t="shared" si="123"/>
        <v>-239.64135287414533</v>
      </c>
      <c r="R1981">
        <f t="shared" si="120"/>
        <v>1.9790000000000001</v>
      </c>
      <c r="S1981">
        <f t="shared" si="121"/>
        <v>-1.4670885677965904</v>
      </c>
    </row>
    <row r="1982" spans="1:19" x14ac:dyDescent="0.3">
      <c r="A1982">
        <v>1.98</v>
      </c>
      <c r="B1982">
        <f>Uo*COS(2*PI()*Wn*Sheet2!A1982) + (Vo/Wn - (Po*(w/Wn))/(K*(1-(w/Wn)^2)))*SIN(2*PI()*Wn*Sheet2!A1982) +(Po*SIN(2*PI()*w*Sheet2!A1982))/(K*(1-(w/Wn)^2))</f>
        <v>-6.6827210923979772</v>
      </c>
      <c r="C1982">
        <f t="shared" si="122"/>
        <v>-1.4112405657345513</v>
      </c>
      <c r="D1982">
        <f t="shared" si="123"/>
        <v>-230.51886970357188</v>
      </c>
      <c r="R1982">
        <f t="shared" si="120"/>
        <v>1.98</v>
      </c>
      <c r="S1982">
        <f t="shared" si="121"/>
        <v>-1.4112405657345513</v>
      </c>
    </row>
    <row r="1983" spans="1:19" x14ac:dyDescent="0.3">
      <c r="A1983">
        <v>1.9810000000000001</v>
      </c>
      <c r="B1983">
        <f>Uo*COS(2*PI()*Wn*Sheet2!A1983) + (Vo/Wn - (Po*(w/Wn))/(K*(1-(w/Wn)^2)))*SIN(2*PI()*Wn*Sheet2!A1983) +(Po*SIN(2*PI()*w*Sheet2!A1983))/(K*(1-(w/Wn)^2))</f>
        <v>-6.3409336617719312</v>
      </c>
      <c r="C1983">
        <f t="shared" si="122"/>
        <v>-1.3550328065063488</v>
      </c>
      <c r="D1983">
        <f t="shared" si="123"/>
        <v>-221.33762205490353</v>
      </c>
      <c r="R1983">
        <f t="shared" si="120"/>
        <v>1.9810000000000001</v>
      </c>
      <c r="S1983">
        <f t="shared" si="121"/>
        <v>-1.3550328065063488</v>
      </c>
    </row>
    <row r="1984" spans="1:19" x14ac:dyDescent="0.3">
      <c r="A1984">
        <v>1.982</v>
      </c>
      <c r="B1984">
        <f>Uo*COS(2*PI()*Wn*Sheet2!A1984) + (Vo/Wn - (Po*(w/Wn))/(K*(1-(w/Wn)^2)))*SIN(2*PI()*Wn*Sheet2!A1984) +(Po*SIN(2*PI()*w*Sheet2!A1984))/(K*(1-(w/Wn)^2))</f>
        <v>-5.9970747699041365</v>
      </c>
      <c r="C1984">
        <f t="shared" si="122"/>
        <v>-1.2984842851811185</v>
      </c>
      <c r="D1984">
        <f t="shared" si="123"/>
        <v>-212.10071267474024</v>
      </c>
      <c r="R1984">
        <f t="shared" si="120"/>
        <v>1.982</v>
      </c>
      <c r="S1984">
        <f t="shared" si="121"/>
        <v>-1.2984842851811185</v>
      </c>
    </row>
    <row r="1985" spans="1:19" x14ac:dyDescent="0.3">
      <c r="A1985">
        <v>1.9830000000000001</v>
      </c>
      <c r="B1985">
        <f>Uo*COS(2*PI()*Wn*Sheet2!A1985) + (Vo/Wn - (Po*(w/Wn))/(K*(1-(w/Wn)^2)))*SIN(2*PI()*Wn*Sheet2!A1985) +(Po*SIN(2*PI()*w*Sheet2!A1985))/(K*(1-(w/Wn)^2))</f>
        <v>-5.651256748890324</v>
      </c>
      <c r="C1985">
        <f t="shared" si="122"/>
        <v>-1.2416140737460564</v>
      </c>
      <c r="D1985">
        <f t="shared" si="123"/>
        <v>-202.81125687385054</v>
      </c>
      <c r="R1985">
        <f t="shared" ref="R1985:R2048" si="124">A1985</f>
        <v>1.9830000000000001</v>
      </c>
      <c r="S1985">
        <f t="shared" ref="S1985:S2048" si="125">C1985</f>
        <v>-1.2416140737460564</v>
      </c>
    </row>
    <row r="1986" spans="1:19" x14ac:dyDescent="0.3">
      <c r="A1986">
        <v>1.984</v>
      </c>
      <c r="B1986">
        <f>Uo*COS(2*PI()*Wn*Sheet2!A1986) + (Vo/Wn - (Po*(w/Wn))/(K*(1-(w/Wn)^2)))*SIN(2*PI()*Wn*Sheet2!A1986) +(Po*SIN(2*PI()*w*Sheet2!A1986))/(K*(1-(w/Wn)^2))</f>
        <v>-5.3035925708362317</v>
      </c>
      <c r="C1986">
        <f t="shared" ref="C1986:C2049" si="126">EXP(-zeta*Wn*A1986*2*PI())*($H$1*COS(wnD*2*PI()*A1986) + $H$2*SIN(wnD*2*PI()*A1986)) + $H$3*SIN(w*2*PI()*A1986) + $H$4*COS(w*2*PI()*A1986)</f>
        <v>-1.1844413147428052</v>
      </c>
      <c r="D1986">
        <f t="shared" ref="D1986:D2049" si="127">K*C1986</f>
        <v>-193.47238148770808</v>
      </c>
      <c r="R1986">
        <f t="shared" si="124"/>
        <v>1.984</v>
      </c>
      <c r="S1986">
        <f t="shared" si="125"/>
        <v>-1.1844413147428052</v>
      </c>
    </row>
    <row r="1987" spans="1:19" x14ac:dyDescent="0.3">
      <c r="A1987">
        <v>1.9850000000000001</v>
      </c>
      <c r="B1987">
        <f>Uo*COS(2*PI()*Wn*Sheet2!A1987) + (Vo/Wn - (Po*(w/Wn))/(K*(1-(w/Wn)^2)))*SIN(2*PI()*Wn*Sheet2!A1987) +(Po*SIN(2*PI()*w*Sheet2!A1987))/(K*(1-(w/Wn)^2))</f>
        <v>-4.954195810951231</v>
      </c>
      <c r="C1987">
        <f t="shared" si="126"/>
        <v>-1.1269852148921684</v>
      </c>
      <c r="D1987">
        <f t="shared" si="127"/>
        <v>-184.08722383512142</v>
      </c>
      <c r="R1987">
        <f t="shared" si="124"/>
        <v>1.9850000000000001</v>
      </c>
      <c r="S1987">
        <f t="shared" si="125"/>
        <v>-1.1269852148921684</v>
      </c>
    </row>
    <row r="1988" spans="1:19" x14ac:dyDescent="0.3">
      <c r="A1988">
        <v>1.986</v>
      </c>
      <c r="B1988">
        <f>Uo*COS(2*PI()*Wn*Sheet2!A1988) + (Vo/Wn - (Po*(w/Wn))/(K*(1-(w/Wn)^2)))*SIN(2*PI()*Wn*Sheet2!A1988) +(Po*SIN(2*PI()*w*Sheet2!A1988))/(K*(1-(w/Wn)^2))</f>
        <v>-4.6031806104464481</v>
      </c>
      <c r="C1988">
        <f t="shared" si="126"/>
        <v>-1.0692650387094156</v>
      </c>
      <c r="D1988">
        <f t="shared" si="127"/>
        <v>-174.65893067532718</v>
      </c>
      <c r="R1988">
        <f t="shared" si="124"/>
        <v>1.986</v>
      </c>
      <c r="S1988">
        <f t="shared" si="125"/>
        <v>-1.0692650387094156</v>
      </c>
    </row>
    <row r="1989" spans="1:19" x14ac:dyDescent="0.3">
      <c r="A1989">
        <v>1.9870000000000001</v>
      </c>
      <c r="B1989">
        <f>Uo*COS(2*PI()*Wn*Sheet2!A1989) + (Vo/Wn - (Po*(w/Wn))/(K*(1-(w/Wn)^2)))*SIN(2*PI()*Wn*Sheet2!A1989) +(Po*SIN(2*PI()*w*Sheet2!A1989))/(K*(1-(w/Wn)^2))</f>
        <v>-4.2506616392459291</v>
      </c>
      <c r="C1989">
        <f t="shared" si="126"/>
        <v>-1.0113001021122283</v>
      </c>
      <c r="D1989">
        <f t="shared" si="127"/>
        <v>-165.19065716388099</v>
      </c>
      <c r="R1989">
        <f t="shared" si="124"/>
        <v>1.9870000000000001</v>
      </c>
      <c r="S1989">
        <f t="shared" si="125"/>
        <v>-1.0113001021122283</v>
      </c>
    </row>
    <row r="1990" spans="1:19" x14ac:dyDescent="0.3">
      <c r="A1990">
        <v>1.988</v>
      </c>
      <c r="B1990">
        <f>Uo*COS(2*PI()*Wn*Sheet2!A1990) + (Vo/Wn - (Po*(w/Wn))/(K*(1-(w/Wn)^2)))*SIN(2*PI()*Wn*Sheet2!A1990) +(Po*SIN(2*PI()*w*Sheet2!A1990))/(K*(1-(w/Wn)^2))</f>
        <v>-3.8967540585272733</v>
      </c>
      <c r="C1990">
        <f t="shared" si="126"/>
        <v>-0.9531097660235528</v>
      </c>
      <c r="D1990">
        <f t="shared" si="127"/>
        <v>-155.68556580771627</v>
      </c>
      <c r="R1990">
        <f t="shared" si="124"/>
        <v>1.988</v>
      </c>
      <c r="S1990">
        <f t="shared" si="125"/>
        <v>-0.9531097660235528</v>
      </c>
    </row>
    <row r="1991" spans="1:19" x14ac:dyDescent="0.3">
      <c r="A1991">
        <v>1.9890000000000001</v>
      </c>
      <c r="B1991">
        <f>Uo*COS(2*PI()*Wn*Sheet2!A1991) + (Vo/Wn - (Po*(w/Wn))/(K*(1-(w/Wn)^2)))*SIN(2*PI()*Wn*Sheet2!A1991) +(Po*SIN(2*PI()*w*Sheet2!A1991))/(K*(1-(w/Wn)^2))</f>
        <v>-3.5415734830995866</v>
      </c>
      <c r="C1991">
        <f t="shared" si="126"/>
        <v>-0.89471342997094727</v>
      </c>
      <c r="D1991">
        <f t="shared" si="127"/>
        <v>-146.14682541963094</v>
      </c>
      <c r="R1991">
        <f t="shared" si="124"/>
        <v>1.9890000000000001</v>
      </c>
      <c r="S1991">
        <f t="shared" si="125"/>
        <v>-0.89471342997094727</v>
      </c>
    </row>
    <row r="1992" spans="1:19" x14ac:dyDescent="0.3">
      <c r="A1992">
        <v>1.99</v>
      </c>
      <c r="B1992">
        <f>Uo*COS(2*PI()*Wn*Sheet2!A1992) + (Vo/Wn - (Po*(w/Wn))/(K*(1-(w/Wn)^2)))*SIN(2*PI()*Wn*Sheet2!A1992) +(Po*SIN(2*PI()*w*Sheet2!A1992))/(K*(1-(w/Wn)^2))</f>
        <v>-3.1852359436353139</v>
      </c>
      <c r="C1992">
        <f t="shared" si="126"/>
        <v>-0.83613052568545698</v>
      </c>
      <c r="D1992">
        <f t="shared" si="127"/>
        <v>-136.57761007269633</v>
      </c>
      <c r="R1992">
        <f t="shared" si="124"/>
        <v>1.99</v>
      </c>
      <c r="S1992">
        <f t="shared" si="125"/>
        <v>-0.83613052568545698</v>
      </c>
    </row>
    <row r="1993" spans="1:19" x14ac:dyDescent="0.3">
      <c r="A1993">
        <v>1.9910000000000001</v>
      </c>
      <c r="B1993">
        <f>Uo*COS(2*PI()*Wn*Sheet2!A1993) + (Vo/Wn - (Po*(w/Wn))/(K*(1-(w/Wn)^2)))*SIN(2*PI()*Wn*Sheet2!A1993) +(Po*SIN(2*PI()*w*Sheet2!A1993))/(K*(1-(w/Wn)^2))</f>
        <v>-2.8278578487646904</v>
      </c>
      <c r="C1993">
        <f t="shared" si="126"/>
        <v>-0.77738051070097292</v>
      </c>
      <c r="D1993">
        <f t="shared" si="127"/>
        <v>-126.98109805474562</v>
      </c>
      <c r="R1993">
        <f t="shared" si="124"/>
        <v>1.9910000000000001</v>
      </c>
      <c r="S1993">
        <f t="shared" si="125"/>
        <v>-0.77738051070097292</v>
      </c>
    </row>
    <row r="1994" spans="1:19" x14ac:dyDescent="0.3">
      <c r="A1994">
        <v>1.992</v>
      </c>
      <c r="B1994">
        <f>Uo*COS(2*PI()*Wn*Sheet2!A1994) + (Vo/Wn - (Po*(w/Wn))/(K*(1-(w/Wn)^2)))*SIN(2*PI()*Wn*Sheet2!A1994) +(Po*SIN(2*PI()*w*Sheet2!A1994))/(K*(1-(w/Wn)^2))</f>
        <v>-2.4695559470475583</v>
      </c>
      <c r="C1994">
        <f t="shared" si="126"/>
        <v>-0.7184828619570871</v>
      </c>
      <c r="D1994">
        <f t="shared" si="127"/>
        <v>-117.3604708234332</v>
      </c>
      <c r="R1994">
        <f t="shared" si="124"/>
        <v>1.992</v>
      </c>
      <c r="S1994">
        <f t="shared" si="125"/>
        <v>-0.7184828619570871</v>
      </c>
    </row>
    <row r="1995" spans="1:19" x14ac:dyDescent="0.3">
      <c r="A1995">
        <v>1.9930000000000001</v>
      </c>
      <c r="B1995">
        <f>Uo*COS(2*PI()*Wn*Sheet2!A1995) + (Vo/Wn - (Po*(w/Wn))/(K*(1-(w/Wn)^2)))*SIN(2*PI()*Wn*Sheet2!A1995) +(Po*SIN(2*PI()*w*Sheet2!A1995))/(K*(1-(w/Wn)^2))</f>
        <v>-2.1104472888332917</v>
      </c>
      <c r="C1995">
        <f t="shared" si="126"/>
        <v>-0.65945706940703053</v>
      </c>
      <c r="D1995">
        <f t="shared" si="127"/>
        <v>-107.71891196212431</v>
      </c>
      <c r="R1995">
        <f t="shared" si="124"/>
        <v>1.9930000000000001</v>
      </c>
      <c r="S1995">
        <f t="shared" si="125"/>
        <v>-0.65945706940703053</v>
      </c>
    </row>
    <row r="1996" spans="1:19" x14ac:dyDescent="0.3">
      <c r="A1996">
        <v>1.994</v>
      </c>
      <c r="B1996">
        <f>Uo*COS(2*PI()*Wn*Sheet2!A1996) + (Vo/Wn - (Po*(w/Wn))/(K*(1-(w/Wn)^2)))*SIN(2*PI()*Wn*Sheet2!A1996) +(Po*SIN(2*PI()*w*Sheet2!A1996))/(K*(1-(w/Wn)^2))</f>
        <v>-1.750649188023681</v>
      </c>
      <c r="C1996">
        <f t="shared" si="126"/>
        <v>-0.60032262963293148</v>
      </c>
      <c r="D1996">
        <f t="shared" si="127"/>
        <v>-98.059606136980307</v>
      </c>
      <c r="R1996">
        <f t="shared" si="124"/>
        <v>1.994</v>
      </c>
      <c r="S1996">
        <f t="shared" si="125"/>
        <v>-0.60032262963293148</v>
      </c>
    </row>
    <row r="1997" spans="1:19" x14ac:dyDescent="0.3">
      <c r="A1997">
        <v>1.9950000000000001</v>
      </c>
      <c r="B1997">
        <f>Uo*COS(2*PI()*Wn*Sheet2!A1997) + (Vo/Wn - (Po*(w/Wn))/(K*(1-(w/Wn)^2)))*SIN(2*PI()*Wn*Sheet2!A1997) +(Po*SIN(2*PI()*w*Sheet2!A1997))/(K*(1-(w/Wn)^2))</f>
        <v>-1.3902791837476061</v>
      </c>
      <c r="C1997">
        <f t="shared" si="126"/>
        <v>-0.54109903947041438</v>
      </c>
      <c r="D1997">
        <f t="shared" si="127"/>
        <v>-88.385738055569917</v>
      </c>
      <c r="R1997">
        <f t="shared" si="124"/>
        <v>1.9950000000000001</v>
      </c>
      <c r="S1997">
        <f t="shared" si="125"/>
        <v>-0.54109903947041438</v>
      </c>
    </row>
    <row r="1998" spans="1:19" x14ac:dyDescent="0.3">
      <c r="A1998">
        <v>1.996</v>
      </c>
      <c r="B1998">
        <f>Uo*COS(2*PI()*Wn*Sheet2!A1998) + (Vo/Wn - (Po*(w/Wn))/(K*(1-(w/Wn)^2)))*SIN(2*PI()*Wn*Sheet2!A1998) +(Po*SIN(2*PI()*w*Sheet2!A1998))/(K*(1-(w/Wn)^2))</f>
        <v>-1.0294550019643911</v>
      </c>
      <c r="C1998">
        <f t="shared" si="126"/>
        <v>-0.48180578964476894</v>
      </c>
      <c r="D1998">
        <f t="shared" si="127"/>
        <v>-78.700491427370153</v>
      </c>
      <c r="R1998">
        <f t="shared" si="124"/>
        <v>1.996</v>
      </c>
      <c r="S1998">
        <f t="shared" si="125"/>
        <v>-0.48180578964476894</v>
      </c>
    </row>
    <row r="1999" spans="1:19" x14ac:dyDescent="0.3">
      <c r="A1999">
        <v>1.9970000000000001</v>
      </c>
      <c r="B1999">
        <f>Uo*COS(2*PI()*Wn*Sheet2!A1999) + (Vo/Wn - (Po*(w/Wn))/(K*(1-(w/Wn)^2)))*SIN(2*PI()*Wn*Sheet2!A1999) +(Po*SIN(2*PI()*w*Sheet2!A1999))/(K*(1-(w/Wn)^2))</f>
        <v>-0.66829451700386167</v>
      </c>
      <c r="C1999">
        <f t="shared" si="126"/>
        <v>-0.422462358420235</v>
      </c>
      <c r="D1999">
        <f t="shared" si="127"/>
        <v>-69.007047926409783</v>
      </c>
      <c r="R1999">
        <f t="shared" si="124"/>
        <v>1.9970000000000001</v>
      </c>
      <c r="S1999">
        <f t="shared" si="125"/>
        <v>-0.422462358420235</v>
      </c>
    </row>
    <row r="2000" spans="1:19" x14ac:dyDescent="0.3">
      <c r="A2000">
        <v>1.998</v>
      </c>
      <c r="B2000">
        <f>Uo*COS(2*PI()*Wn*Sheet2!A2000) + (Vo/Wn - (Po*(w/Wn))/(K*(1-(w/Wn)^2)))*SIN(2*PI()*Wn*Sheet2!A2000) +(Po*SIN(2*PI()*w*Sheet2!A2000))/(K*(1-(w/Wn)^2))</f>
        <v>-0.30691571306005799</v>
      </c>
      <c r="C2000">
        <f t="shared" si="126"/>
        <v>-0.36308820526540075</v>
      </c>
      <c r="D2000">
        <f t="shared" si="127"/>
        <v>-59.308586156544813</v>
      </c>
      <c r="R2000">
        <f t="shared" si="124"/>
        <v>1.998</v>
      </c>
      <c r="S2000">
        <f t="shared" si="125"/>
        <v>-0.36308820526540075</v>
      </c>
    </row>
    <row r="2001" spans="1:19" x14ac:dyDescent="0.3">
      <c r="A2001">
        <v>1.9990000000000001</v>
      </c>
      <c r="B2001">
        <f>Uo*COS(2*PI()*Wn*Sheet2!A2001) + (Vo/Wn - (Po*(w/Wn))/(K*(1-(w/Wn)^2)))*SIN(2*PI()*Wn*Sheet2!A2001) +(Po*SIN(2*PI()*w*Sheet2!A2001))/(K*(1-(w/Wn)^2))</f>
        <v>5.4563354352502827E-2</v>
      </c>
      <c r="C2001">
        <f t="shared" si="126"/>
        <v>-0.30370276453559775</v>
      </c>
      <c r="D2001">
        <f t="shared" si="127"/>
        <v>-49.608280619510253</v>
      </c>
      <c r="R2001">
        <f t="shared" si="124"/>
        <v>1.9990000000000001</v>
      </c>
      <c r="S2001">
        <f t="shared" si="125"/>
        <v>-0.30370276453559775</v>
      </c>
    </row>
    <row r="2002" spans="1:19" x14ac:dyDescent="0.3">
      <c r="A2002">
        <v>2</v>
      </c>
      <c r="B2002">
        <f>Uo*COS(2*PI()*Wn*Sheet2!A2002) + (Vo/Wn - (Po*(w/Wn))/(K*(1-(w/Wn)^2)))*SIN(2*PI()*Wn*Sheet2!A2002) +(Po*SIN(2*PI()*w*Sheet2!A2002))/(K*(1-(w/Wn)^2))</f>
        <v>0.41602459696501198</v>
      </c>
      <c r="C2002">
        <f t="shared" si="126"/>
        <v>-0.24432543917526939</v>
      </c>
      <c r="D2002">
        <f t="shared" si="127"/>
        <v>-39.909300686234509</v>
      </c>
      <c r="R2002">
        <f t="shared" si="124"/>
        <v>2</v>
      </c>
      <c r="S2002">
        <f t="shared" si="125"/>
        <v>-0.24432543917526939</v>
      </c>
    </row>
    <row r="2003" spans="1:19" x14ac:dyDescent="0.3">
      <c r="A2003">
        <v>2.0009999999999999</v>
      </c>
      <c r="B2003">
        <f>Uo*COS(2*PI()*Wn*Sheet2!A2003) + (Vo/Wn - (Po*(w/Wn))/(K*(1-(w/Wn)^2)))*SIN(2*PI()*Wn*Sheet2!A2003) +(Po*SIN(2*PI()*w*Sheet2!A2003))/(K*(1-(w/Wn)^2))</f>
        <v>0.77734993233196481</v>
      </c>
      <c r="C2003">
        <f t="shared" si="126"/>
        <v>-0.18497559444182607</v>
      </c>
      <c r="D2003">
        <f t="shared" si="127"/>
        <v>-30.214809571663448</v>
      </c>
      <c r="R2003">
        <f t="shared" si="124"/>
        <v>2.0009999999999999</v>
      </c>
      <c r="S2003">
        <f t="shared" si="125"/>
        <v>-0.18497559444182607</v>
      </c>
    </row>
    <row r="2004" spans="1:19" x14ac:dyDescent="0.3">
      <c r="A2004">
        <v>2.0019999999999998</v>
      </c>
      <c r="B2004">
        <f>Uo*COS(2*PI()*Wn*Sheet2!A2004) + (Vo/Wn - (Po*(w/Wn))/(K*(1-(w/Wn)^2)))*SIN(2*PI()*Wn*Sheet2!A2004) +(Po*SIN(2*PI()*w*Sheet2!A2004))/(K*(1-(w/Wn)^2))</f>
        <v>1.1384213224061432</v>
      </c>
      <c r="C2004">
        <f t="shared" si="126"/>
        <v>-0.12567255165315749</v>
      </c>
      <c r="D2004">
        <f t="shared" si="127"/>
        <v>-20.527963313448815</v>
      </c>
      <c r="R2004">
        <f t="shared" si="124"/>
        <v>2.0019999999999998</v>
      </c>
      <c r="S2004">
        <f t="shared" si="125"/>
        <v>-0.12567255165315749</v>
      </c>
    </row>
    <row r="2005" spans="1:19" x14ac:dyDescent="0.3">
      <c r="A2005">
        <v>2.0030000000000001</v>
      </c>
      <c r="B2005">
        <f>Uo*COS(2*PI()*Wn*Sheet2!A2005) + (Vo/Wn - (Po*(w/Wn))/(K*(1-(w/Wn)^2)))*SIN(2*PI()*Wn*Sheet2!A2005) +(Po*SIN(2*PI()*w*Sheet2!A2005))/(K*(1-(w/Wn)^2))</f>
        <v>1.4991208120990949</v>
      </c>
      <c r="C2005">
        <f t="shared" si="126"/>
        <v>-6.6435581960754095E-2</v>
      </c>
      <c r="D2005">
        <f t="shared" si="127"/>
        <v>-10.851909754819696</v>
      </c>
      <c r="R2005">
        <f t="shared" si="124"/>
        <v>2.0030000000000001</v>
      </c>
      <c r="S2005">
        <f t="shared" si="125"/>
        <v>-6.6435581960754095E-2</v>
      </c>
    </row>
    <row r="2006" spans="1:19" x14ac:dyDescent="0.3">
      <c r="A2006">
        <v>2.004</v>
      </c>
      <c r="B2006">
        <f>Uo*COS(2*PI()*Wn*Sheet2!A2006) + (Vo/Wn - (Po*(w/Wn))/(K*(1-(w/Wn)^2)))*SIN(2*PI()*Wn*Sheet2!A2006) +(Po*SIN(2*PI()*w*Sheet2!A2006))/(K*(1-(w/Wn)^2))</f>
        <v>1.8593305678152217</v>
      </c>
      <c r="C2006">
        <f t="shared" si="126"/>
        <v>-7.283900150562044E-3</v>
      </c>
      <c r="D2006">
        <f t="shared" si="127"/>
        <v>-1.1897875319841584</v>
      </c>
      <c r="R2006">
        <f t="shared" si="124"/>
        <v>2.004</v>
      </c>
      <c r="S2006">
        <f t="shared" si="125"/>
        <v>-7.283900150562044E-3</v>
      </c>
    </row>
    <row r="2007" spans="1:19" x14ac:dyDescent="0.3">
      <c r="A2007">
        <v>2.0049999999999999</v>
      </c>
      <c r="B2007">
        <f>Uo*COS(2*PI()*Wn*Sheet2!A2007) + (Vo/Wn - (Po*(w/Wn))/(K*(1-(w/Wn)^2)))*SIN(2*PI()*Wn*Sheet2!A2007) +(Po*SIN(2*PI()*w*Sheet2!A2007))/(K*(1-(w/Wn)^2))</f>
        <v>2.2189329159454676</v>
      </c>
      <c r="C2007">
        <f t="shared" si="126"/>
        <v>5.1763341526778424E-2</v>
      </c>
      <c r="D2007">
        <f t="shared" si="127"/>
        <v>8.4552749336695072</v>
      </c>
      <c r="R2007">
        <f t="shared" si="124"/>
        <v>2.0049999999999999</v>
      </c>
      <c r="S2007">
        <f t="shared" si="125"/>
        <v>5.1763341526778424E-2</v>
      </c>
    </row>
    <row r="2008" spans="1:19" x14ac:dyDescent="0.3">
      <c r="A2008">
        <v>2.0059999999999998</v>
      </c>
      <c r="B2008">
        <f>Uo*COS(2*PI()*Wn*Sheet2!A2008) + (Vo/Wn - (Po*(w/Wn))/(K*(1-(w/Wn)^2)))*SIN(2*PI()*Wn*Sheet2!A2008) +(Po*SIN(2*PI()*w*Sheet2!A2008))/(K*(1-(w/Wn)^2))</f>
        <v>2.5778103813094533</v>
      </c>
      <c r="C2008">
        <f t="shared" si="126"/>
        <v>0.11068705949402716</v>
      </c>
      <c r="D2008">
        <f t="shared" si="127"/>
        <v>18.080160438198821</v>
      </c>
      <c r="R2008">
        <f t="shared" si="124"/>
        <v>2.0059999999999998</v>
      </c>
      <c r="S2008">
        <f t="shared" si="125"/>
        <v>0.11068705949402716</v>
      </c>
    </row>
    <row r="2009" spans="1:19" x14ac:dyDescent="0.3">
      <c r="A2009">
        <v>2.0070000000000001</v>
      </c>
      <c r="B2009">
        <f>Uo*COS(2*PI()*Wn*Sheet2!A2009) + (Vo/Wn - (Po*(w/Wn))/(K*(1-(w/Wn)^2)))*SIN(2*PI()*Wn*Sheet2!A2009) +(Po*SIN(2*PI()*w*Sheet2!A2009))/(K*(1-(w/Wn)^2))</f>
        <v>2.9358457255322152</v>
      </c>
      <c r="C2009">
        <f t="shared" si="126"/>
        <v>0.16946824495184593</v>
      </c>
      <c r="D2009">
        <f t="shared" si="127"/>
        <v>27.681763992245997</v>
      </c>
      <c r="R2009">
        <f t="shared" si="124"/>
        <v>2.0070000000000001</v>
      </c>
      <c r="S2009">
        <f t="shared" si="125"/>
        <v>0.16946824495184593</v>
      </c>
    </row>
    <row r="2010" spans="1:19" x14ac:dyDescent="0.3">
      <c r="A2010">
        <v>2.008</v>
      </c>
      <c r="B2010">
        <f>Uo*COS(2*PI()*Wn*Sheet2!A2010) + (Vo/Wn - (Po*(w/Wn))/(K*(1-(w/Wn)^2)))*SIN(2*PI()*Wn*Sheet2!A2010) +(Po*SIN(2*PI()*w*Sheet2!A2010))/(K*(1-(w/Wn)^2))</f>
        <v>3.2929219853427485</v>
      </c>
      <c r="C2010">
        <f t="shared" si="126"/>
        <v>0.22808796994796526</v>
      </c>
      <c r="D2010">
        <f t="shared" si="127"/>
        <v>37.256993812405078</v>
      </c>
      <c r="R2010">
        <f t="shared" si="124"/>
        <v>2.008</v>
      </c>
      <c r="S2010">
        <f t="shared" si="125"/>
        <v>0.22808796994796526</v>
      </c>
    </row>
    <row r="2011" spans="1:19" x14ac:dyDescent="0.3">
      <c r="A2011">
        <v>2.0089999999999999</v>
      </c>
      <c r="B2011">
        <f>Uo*COS(2*PI()*Wn*Sheet2!A2011) + (Vo/Wn - (Po*(w/Wn))/(K*(1-(w/Wn)^2)))*SIN(2*PI()*Wn*Sheet2!A2011) +(Po*SIN(2*PI()*w*Sheet2!A2011))/(K*(1-(w/Wn)^2))</f>
        <v>3.6489225107853507</v>
      </c>
      <c r="C2011">
        <f t="shared" si="126"/>
        <v>0.28652739340911698</v>
      </c>
      <c r="D2011">
        <f t="shared" si="127"/>
        <v>46.802772306506995</v>
      </c>
      <c r="R2011">
        <f t="shared" si="124"/>
        <v>2.0089999999999999</v>
      </c>
      <c r="S2011">
        <f t="shared" si="125"/>
        <v>0.28652739340911698</v>
      </c>
    </row>
    <row r="2012" spans="1:19" x14ac:dyDescent="0.3">
      <c r="A2012">
        <v>2.0099999999999998</v>
      </c>
      <c r="B2012">
        <f>Uo*COS(2*PI()*Wn*Sheet2!A2012) + (Vo/Wn - (Po*(w/Wn))/(K*(1-(w/Wn)^2)))*SIN(2*PI()*Wn*Sheet2!A2012) +(Po*SIN(2*PI()*w*Sheet2!A2012))/(K*(1-(w/Wn)^2))</f>
        <v>4.0037310033259343</v>
      </c>
      <c r="C2012">
        <f t="shared" si="126"/>
        <v>0.3447677671335117</v>
      </c>
      <c r="D2012">
        <f t="shared" si="127"/>
        <v>56.316037052459855</v>
      </c>
      <c r="R2012">
        <f t="shared" si="124"/>
        <v>2.0099999999999998</v>
      </c>
      <c r="S2012">
        <f t="shared" si="125"/>
        <v>0.3447677671335117</v>
      </c>
    </row>
    <row r="2013" spans="1:19" x14ac:dyDescent="0.3">
      <c r="A2013">
        <v>2.0110000000000001</v>
      </c>
      <c r="B2013">
        <f>Uo*COS(2*PI()*Wn*Sheet2!A2013) + (Vo/Wn - (Po*(w/Wn))/(K*(1-(w/Wn)^2)))*SIN(2*PI()*Wn*Sheet2!A2013) +(Po*SIN(2*PI()*w*Sheet2!A2013))/(K*(1-(w/Wn)^2))</f>
        <v>4.357231553844386</v>
      </c>
      <c r="C2013">
        <f t="shared" si="126"/>
        <v>0.40279044174232181</v>
      </c>
      <c r="D2013">
        <f t="shared" si="127"/>
        <v>65.793741770393027</v>
      </c>
      <c r="R2013">
        <f t="shared" si="124"/>
        <v>2.0110000000000001</v>
      </c>
      <c r="S2013">
        <f t="shared" si="125"/>
        <v>0.40279044174232181</v>
      </c>
    </row>
    <row r="2014" spans="1:19" x14ac:dyDescent="0.3">
      <c r="A2014">
        <v>2.012</v>
      </c>
      <c r="B2014">
        <f>Uo*COS(2*PI()*Wn*Sheet2!A2014) + (Vo/Wn - (Po*(w/Wn))/(K*(1-(w/Wn)^2)))*SIN(2*PI()*Wn*Sheet2!A2014) +(Po*SIN(2*PI()*w*Sheet2!A2014))/(K*(1-(w/Wn)^2))</f>
        <v>4.7093086805002713</v>
      </c>
      <c r="C2014">
        <f t="shared" si="126"/>
        <v>0.46057687258802293</v>
      </c>
      <c r="D2014">
        <f t="shared" si="127"/>
        <v>75.232857287754257</v>
      </c>
      <c r="R2014">
        <f t="shared" si="124"/>
        <v>2.012</v>
      </c>
      <c r="S2014">
        <f t="shared" si="125"/>
        <v>0.46057687258802293</v>
      </c>
    </row>
    <row r="2015" spans="1:19" x14ac:dyDescent="0.3">
      <c r="A2015">
        <v>2.0129999999999999</v>
      </c>
      <c r="B2015">
        <f>Uo*COS(2*PI()*Wn*Sheet2!A2015) + (Vo/Wn - (Po*(w/Wn))/(K*(1-(w/Wn)^2)))*SIN(2*PI()*Wn*Sheet2!A2015) +(Po*SIN(2*PI()*w*Sheet2!A2015))/(K*(1-(w/Wn)^2))</f>
        <v>5.0598473664582553</v>
      </c>
      <c r="C2015">
        <f t="shared" si="126"/>
        <v>0.51810862561809223</v>
      </c>
      <c r="D2015">
        <f t="shared" si="127"/>
        <v>84.630372497114521</v>
      </c>
      <c r="R2015">
        <f t="shared" si="124"/>
        <v>2.0129999999999999</v>
      </c>
      <c r="S2015">
        <f t="shared" si="125"/>
        <v>0.51810862561809223</v>
      </c>
    </row>
    <row r="2016" spans="1:19" x14ac:dyDescent="0.3">
      <c r="A2016">
        <v>2.0139999999999998</v>
      </c>
      <c r="B2016">
        <f>Uo*COS(2*PI()*Wn*Sheet2!A2016) + (Vo/Wn - (Po*(w/Wn))/(K*(1-(w/Wn)^2)))*SIN(2*PI()*Wn*Sheet2!A2016) +(Po*SIN(2*PI()*w*Sheet2!A2016))/(K*(1-(w/Wn)^2))</f>
        <v>5.4087330974623073</v>
      </c>
      <c r="C2016">
        <f t="shared" si="126"/>
        <v>0.57536738319190373</v>
      </c>
      <c r="D2016">
        <f t="shared" si="127"/>
        <v>93.983295306327889</v>
      </c>
      <c r="R2016">
        <f t="shared" si="124"/>
        <v>2.0139999999999998</v>
      </c>
      <c r="S2016">
        <f t="shared" si="125"/>
        <v>0.57536738319190373</v>
      </c>
    </row>
    <row r="2017" spans="1:19" x14ac:dyDescent="0.3">
      <c r="A2017">
        <v>2.0150000000000001</v>
      </c>
      <c r="B2017">
        <f>Uo*COS(2*PI()*Wn*Sheet2!A2017) + (Vo/Wn - (Po*(w/Wn))/(K*(1-(w/Wn)^2)))*SIN(2*PI()*Wn*Sheet2!A2017) +(Po*SIN(2*PI()*w*Sheet2!A2017))/(K*(1-(w/Wn)^2))</f>
        <v>5.755851899245167</v>
      </c>
      <c r="C2017">
        <f t="shared" si="126"/>
        <v>0.63233494984903471</v>
      </c>
      <c r="D2017">
        <f t="shared" si="127"/>
        <v>103.28865358075466</v>
      </c>
      <c r="R2017">
        <f t="shared" si="124"/>
        <v>2.0150000000000001</v>
      </c>
      <c r="S2017">
        <f t="shared" si="125"/>
        <v>0.63233494984903471</v>
      </c>
    </row>
    <row r="2018" spans="1:19" x14ac:dyDescent="0.3">
      <c r="A2018">
        <v>2.016</v>
      </c>
      <c r="B2018">
        <f>Uo*COS(2*PI()*Wn*Sheet2!A2018) + (Vo/Wn - (Po*(w/Wn))/(K*(1-(w/Wn)^2)))*SIN(2*PI()*Wn*Sheet2!A2018) +(Po*SIN(2*PI()*w*Sheet2!A2018))/(K*(1-(w/Wn)^2))</f>
        <v>6.1010903747605951</v>
      </c>
      <c r="C2018">
        <f t="shared" si="126"/>
        <v>0.6889932580273711</v>
      </c>
      <c r="D2018">
        <f t="shared" si="127"/>
        <v>112.54349607728436</v>
      </c>
      <c r="R2018">
        <f t="shared" si="124"/>
        <v>2.016</v>
      </c>
      <c r="S2018">
        <f t="shared" si="125"/>
        <v>0.6889932580273711</v>
      </c>
    </row>
    <row r="2019" spans="1:19" x14ac:dyDescent="0.3">
      <c r="A2019">
        <v>2.0169999999999999</v>
      </c>
      <c r="B2019">
        <f>Uo*COS(2*PI()*Wn*Sheet2!A2019) + (Vo/Wn - (Po*(w/Wn))/(K*(1-(w/Wn)^2)))*SIN(2*PI()*Wn*Sheet2!A2019) +(Po*SIN(2*PI()*w*Sheet2!A2019))/(K*(1-(w/Wn)^2))</f>
        <v>6.4443357412296525</v>
      </c>
      <c r="C2019">
        <f t="shared" si="126"/>
        <v>0.74532437372924953</v>
      </c>
      <c r="D2019">
        <f t="shared" si="127"/>
        <v>121.74489336987087</v>
      </c>
      <c r="R2019">
        <f t="shared" si="124"/>
        <v>2.0169999999999999</v>
      </c>
      <c r="S2019">
        <f t="shared" si="125"/>
        <v>0.74532437372924953</v>
      </c>
    </row>
    <row r="2020" spans="1:19" x14ac:dyDescent="0.3">
      <c r="A2020">
        <v>2.0179999999999998</v>
      </c>
      <c r="B2020">
        <f>Uo*COS(2*PI()*Wn*Sheet2!A2020) + (Vo/Wn - (Po*(w/Wn))/(K*(1-(w/Wn)^2)))*SIN(2*PI()*Wn*Sheet2!A2020) +(Po*SIN(2*PI()*w*Sheet2!A2020))/(K*(1-(w/Wn)^2))</f>
        <v>6.7854758669837025</v>
      </c>
      <c r="C2020">
        <f t="shared" si="126"/>
        <v>0.80131050213357768</v>
      </c>
      <c r="D2020">
        <f t="shared" si="127"/>
        <v>130.88993876624329</v>
      </c>
      <c r="R2020">
        <f t="shared" si="124"/>
        <v>2.0179999999999998</v>
      </c>
      <c r="S2020">
        <f t="shared" si="125"/>
        <v>0.80131050213357768</v>
      </c>
    </row>
    <row r="2021" spans="1:19" x14ac:dyDescent="0.3">
      <c r="A2021">
        <v>2.0190000000000001</v>
      </c>
      <c r="B2021">
        <f>Uo*COS(2*PI()*Wn*Sheet2!A2021) + (Vo/Wn - (Po*(w/Wn))/(K*(1-(w/Wn)^2)))*SIN(2*PI()*Wn*Sheet2!A2021) +(Po*SIN(2*PI()*w*Sheet2!A2021))/(K*(1-(w/Wn)^2))</f>
        <v>7.1243993080955477</v>
      </c>
      <c r="C2021">
        <f t="shared" si="126"/>
        <v>0.85693399315252516</v>
      </c>
      <c r="D2021">
        <f t="shared" si="127"/>
        <v>139.97574921556279</v>
      </c>
      <c r="R2021">
        <f t="shared" si="124"/>
        <v>2.0190000000000001</v>
      </c>
      <c r="S2021">
        <f t="shared" si="125"/>
        <v>0.85693399315252516</v>
      </c>
    </row>
    <row r="2022" spans="1:19" x14ac:dyDescent="0.3">
      <c r="A2022">
        <v>2.02</v>
      </c>
      <c r="B2022">
        <f>Uo*COS(2*PI()*Wn*Sheet2!A2022) + (Vo/Wn - (Po*(w/Wn))/(K*(1-(w/Wn)^2)))*SIN(2*PI()*Wn*Sheet2!A2022) +(Po*SIN(2*PI()*w*Sheet2!A2022))/(K*(1-(w/Wn)^2))</f>
        <v>7.4609953447864275</v>
      </c>
      <c r="C2022">
        <f t="shared" si="126"/>
        <v>0.91217734693080921</v>
      </c>
      <c r="D2022">
        <f t="shared" si="127"/>
        <v>148.99946620670258</v>
      </c>
      <c r="R2022">
        <f t="shared" si="124"/>
        <v>2.02</v>
      </c>
      <c r="S2022">
        <f t="shared" si="125"/>
        <v>0.91217734693080921</v>
      </c>
    </row>
    <row r="2023" spans="1:19" x14ac:dyDescent="0.3">
      <c r="A2023">
        <v>2.0209999999999999</v>
      </c>
      <c r="B2023">
        <f>Uo*COS(2*PI()*Wn*Sheet2!A2023) + (Vo/Wn - (Po*(w/Wn))/(K*(1-(w/Wn)^2)))*SIN(2*PI()*Wn*Sheet2!A2023) +(Po*SIN(2*PI()*w*Sheet2!A2023))/(K*(1-(w/Wn)^2))</f>
        <v>7.7951540175957676</v>
      </c>
      <c r="C2023">
        <f t="shared" si="126"/>
        <v>0.9670232192862156</v>
      </c>
      <c r="D2023">
        <f t="shared" si="127"/>
        <v>157.95825665692888</v>
      </c>
      <c r="R2023">
        <f t="shared" si="124"/>
        <v>2.0209999999999999</v>
      </c>
      <c r="S2023">
        <f t="shared" si="125"/>
        <v>0.9670232192862156</v>
      </c>
    </row>
    <row r="2024" spans="1:19" x14ac:dyDescent="0.3">
      <c r="A2024">
        <v>2.0219999999999998</v>
      </c>
      <c r="B2024">
        <f>Uo*COS(2*PI()*Wn*Sheet2!A2024) + (Vo/Wn - (Po*(w/Wn))/(K*(1-(w/Wn)^2)))*SIN(2*PI()*Wn*Sheet2!A2024) +(Po*SIN(2*PI()*w*Sheet2!A2024))/(K*(1-(w/Wn)^2))</f>
        <v>8.1267661633032304</v>
      </c>
      <c r="C2024">
        <f t="shared" si="126"/>
        <v>1.0214544270893735</v>
      </c>
      <c r="D2024">
        <f t="shared" si="127"/>
        <v>166.84931379065947</v>
      </c>
      <c r="R2024">
        <f t="shared" si="124"/>
        <v>2.0219999999999998</v>
      </c>
      <c r="S2024">
        <f t="shared" si="125"/>
        <v>1.0214544270893735</v>
      </c>
    </row>
    <row r="2025" spans="1:19" x14ac:dyDescent="0.3">
      <c r="A2025">
        <v>2.0230000000000001</v>
      </c>
      <c r="B2025">
        <f>Uo*COS(2*PI()*Wn*Sheet2!A2025) + (Vo/Wn - (Po*(w/Wn))/(K*(1-(w/Wn)^2)))*SIN(2*PI()*Wn*Sheet2!A2025) +(Po*SIN(2*PI()*w*Sheet2!A2025))/(K*(1-(w/Wn)^2))</f>
        <v>8.4557234505900976</v>
      </c>
      <c r="C2025">
        <f t="shared" si="126"/>
        <v>1.0754539535811618</v>
      </c>
      <c r="D2025">
        <f t="shared" si="127"/>
        <v>175.66985800803462</v>
      </c>
      <c r="R2025">
        <f t="shared" si="124"/>
        <v>2.0230000000000001</v>
      </c>
      <c r="S2025">
        <f t="shared" si="125"/>
        <v>1.0754539535811618</v>
      </c>
    </row>
    <row r="2026" spans="1:19" x14ac:dyDescent="0.3">
      <c r="A2026">
        <v>2.024</v>
      </c>
      <c r="B2026">
        <f>Uo*COS(2*PI()*Wn*Sheet2!A2026) + (Vo/Wn - (Po*(w/Wn))/(K*(1-(w/Wn)^2)))*SIN(2*PI()*Wn*Sheet2!A2026) +(Po*SIN(2*PI()*w*Sheet2!A2026))/(K*(1-(w/Wn)^2))</f>
        <v>8.7819184154281302</v>
      </c>
      <c r="C2026">
        <f t="shared" si="126"/>
        <v>1.1290049536263065</v>
      </c>
      <c r="D2026">
        <f t="shared" si="127"/>
        <v>184.41713774306501</v>
      </c>
      <c r="R2026">
        <f t="shared" si="124"/>
        <v>2.024</v>
      </c>
      <c r="S2026">
        <f t="shared" si="125"/>
        <v>1.1290049536263065</v>
      </c>
    </row>
    <row r="2027" spans="1:19" x14ac:dyDescent="0.3">
      <c r="A2027">
        <v>2.0249999999999999</v>
      </c>
      <c r="B2027">
        <f>Uo*COS(2*PI()*Wn*Sheet2!A2027) + (Vo/Wn - (Po*(w/Wn))/(K*(1-(w/Wn)^2)))*SIN(2*PI()*Wn*Sheet2!A2027) +(Po*SIN(2*PI()*w*Sheet2!A2027))/(K*(1-(w/Wn)^2))</f>
        <v>9.1052444961876837</v>
      </c>
      <c r="C2027">
        <f t="shared" si="126"/>
        <v>1.1820907589015726</v>
      </c>
      <c r="D2027">
        <f t="shared" si="127"/>
        <v>193.08843031109629</v>
      </c>
      <c r="R2027">
        <f t="shared" si="124"/>
        <v>2.0249999999999999</v>
      </c>
      <c r="S2027">
        <f t="shared" si="125"/>
        <v>1.1820907589015726</v>
      </c>
    </row>
    <row r="2028" spans="1:19" x14ac:dyDescent="0.3">
      <c r="A2028">
        <v>2.0259999999999998</v>
      </c>
      <c r="B2028">
        <f>Uo*COS(2*PI()*Wn*Sheet2!A2028) + (Vo/Wn - (Po*(w/Wn))/(K*(1-(w/Wn)^2)))*SIN(2*PI()*Wn*Sheet2!A2028) +(Po*SIN(2*PI()*w*Sheet2!A2028))/(K*(1-(w/Wn)^2))</f>
        <v>9.4255960684477991</v>
      </c>
      <c r="C2028">
        <f t="shared" si="126"/>
        <v>1.2346948830166931</v>
      </c>
      <c r="D2028">
        <f t="shared" si="127"/>
        <v>201.68104274528625</v>
      </c>
      <c r="R2028">
        <f t="shared" si="124"/>
        <v>2.0259999999999998</v>
      </c>
      <c r="S2028">
        <f t="shared" si="125"/>
        <v>1.2346948830166931</v>
      </c>
    </row>
    <row r="2029" spans="1:19" x14ac:dyDescent="0.3">
      <c r="A2029">
        <v>2.0270000000000001</v>
      </c>
      <c r="B2029">
        <f>Uo*COS(2*PI()*Wn*Sheet2!A2029) + (Vo/Wn - (Po*(w/Wn))/(K*(1-(w/Wn)^2)))*SIN(2*PI()*Wn*Sheet2!A2029) +(Po*SIN(2*PI()*w*Sheet2!A2029))/(K*(1-(w/Wn)^2))</f>
        <v>9.7428684795028246</v>
      </c>
      <c r="C2029">
        <f t="shared" si="126"/>
        <v>1.2868010265667942</v>
      </c>
      <c r="D2029">
        <f t="shared" si="127"/>
        <v>210.1923126218926</v>
      </c>
      <c r="R2029">
        <f t="shared" si="124"/>
        <v>2.0270000000000001</v>
      </c>
      <c r="S2029">
        <f t="shared" si="125"/>
        <v>1.2868010265667942</v>
      </c>
    </row>
    <row r="2030" spans="1:19" x14ac:dyDescent="0.3">
      <c r="A2030">
        <v>2.028</v>
      </c>
      <c r="B2030">
        <f>Uo*COS(2*PI()*Wn*Sheet2!A2030) + (Vo/Wn - (Po*(w/Wn))/(K*(1-(w/Wn)^2)))*SIN(2*PI()*Wn*Sheet2!A2030) +(Po*SIN(2*PI()*w*Sheet2!A2030))/(K*(1-(w/Wn)^2))</f>
        <v>10.056958082549556</v>
      </c>
      <c r="C2030">
        <f t="shared" si="126"/>
        <v>1.3383930821145433</v>
      </c>
      <c r="D2030">
        <f t="shared" si="127"/>
        <v>218.619608874081</v>
      </c>
      <c r="R2030">
        <f t="shared" si="124"/>
        <v>2.028</v>
      </c>
      <c r="S2030">
        <f t="shared" si="125"/>
        <v>1.3383930821145433</v>
      </c>
    </row>
    <row r="2031" spans="1:19" x14ac:dyDescent="0.3">
      <c r="A2031">
        <v>2.0289999999999999</v>
      </c>
      <c r="B2031">
        <f>Uo*COS(2*PI()*Wn*Sheet2!A2031) + (Vo/Wn - (Po*(w/Wn))/(K*(1-(w/Wn)^2)))*SIN(2*PI()*Wn*Sheet2!A2031) +(Po*SIN(2*PI()*w*Sheet2!A2031))/(K*(1-(w/Wn)^2))</f>
        <v>10.367762270547038</v>
      </c>
      <c r="C2031">
        <f t="shared" si="126"/>
        <v>1.3894551391008514</v>
      </c>
      <c r="D2031">
        <f t="shared" si="127"/>
        <v>226.96033259406309</v>
      </c>
      <c r="R2031">
        <f t="shared" si="124"/>
        <v>2.0289999999999999</v>
      </c>
      <c r="S2031">
        <f t="shared" si="125"/>
        <v>1.3894551391008514</v>
      </c>
    </row>
    <row r="2032" spans="1:19" x14ac:dyDescent="0.3">
      <c r="A2032">
        <v>2.0299999999999998</v>
      </c>
      <c r="B2032">
        <f>Uo*COS(2*PI()*Wn*Sheet2!A2032) + (Vo/Wn - (Po*(w/Wn))/(K*(1-(w/Wn)^2)))*SIN(2*PI()*Wn*Sheet2!A2032) +(Po*SIN(2*PI()*w*Sheet2!A2032))/(K*(1-(w/Wn)^2))</f>
        <v>10.67517950973656</v>
      </c>
      <c r="C2032">
        <f t="shared" si="126"/>
        <v>1.4399714886822226</v>
      </c>
      <c r="D2032">
        <f t="shared" si="127"/>
        <v>235.21191782325252</v>
      </c>
      <c r="R2032">
        <f t="shared" si="124"/>
        <v>2.0299999999999998</v>
      </c>
      <c r="S2032">
        <f t="shared" si="125"/>
        <v>1.4399714886822226</v>
      </c>
    </row>
    <row r="2033" spans="1:19" x14ac:dyDescent="0.3">
      <c r="A2033">
        <v>2.0310000000000001</v>
      </c>
      <c r="B2033">
        <f>Uo*COS(2*PI()*Wn*Sheet2!A2033) + (Vo/Wn - (Po*(w/Wn))/(K*(1-(w/Wn)^2)))*SIN(2*PI()*Wn*Sheet2!A2033) +(Po*SIN(2*PI()*w*Sheet2!A2033))/(K*(1-(w/Wn)^2))</f>
        <v>10.979109372810649</v>
      </c>
      <c r="C2033">
        <f t="shared" si="126"/>
        <v>1.4899266284937538</v>
      </c>
      <c r="D2033">
        <f t="shared" si="127"/>
        <v>243.3718323302765</v>
      </c>
      <c r="R2033">
        <f t="shared" si="124"/>
        <v>2.0310000000000001</v>
      </c>
      <c r="S2033">
        <f t="shared" si="125"/>
        <v>1.4899266284937538</v>
      </c>
    </row>
    <row r="2034" spans="1:19" x14ac:dyDescent="0.3">
      <c r="A2034">
        <v>2.032</v>
      </c>
      <c r="B2034">
        <f>Uo*COS(2*PI()*Wn*Sheet2!A2034) + (Vo/Wn - (Po*(w/Wn))/(K*(1-(w/Wn)^2)))*SIN(2*PI()*Wn*Sheet2!A2034) +(Po*SIN(2*PI()*w*Sheet2!A2034))/(K*(1-(w/Wn)^2))</f>
        <v>11.27945257171991</v>
      </c>
      <c r="C2034">
        <f t="shared" si="126"/>
        <v>1.5393052673358261</v>
      </c>
      <c r="D2034">
        <f t="shared" si="127"/>
        <v>251.43757837652248</v>
      </c>
      <c r="R2034">
        <f t="shared" si="124"/>
        <v>2.032</v>
      </c>
      <c r="S2034">
        <f t="shared" si="125"/>
        <v>1.5393052673358261</v>
      </c>
    </row>
    <row r="2035" spans="1:19" x14ac:dyDescent="0.3">
      <c r="A2035">
        <v>2.0329999999999999</v>
      </c>
      <c r="B2035">
        <f>Uo*COS(2*PI()*Wn*Sheet2!A2035) + (Vo/Wn - (Po*(w/Wn))/(K*(1-(w/Wn)^2)))*SIN(2*PI()*Wn*Sheet2!A2035) +(Po*SIN(2*PI()*w*Sheet2!A2035))/(K*(1-(w/Wn)^2))</f>
        <v>11.576110990110084</v>
      </c>
      <c r="C2035">
        <f t="shared" si="126"/>
        <v>1.5880923297837983</v>
      </c>
      <c r="D2035">
        <f t="shared" si="127"/>
        <v>259.40669346910801</v>
      </c>
      <c r="R2035">
        <f t="shared" si="124"/>
        <v>2.0329999999999999</v>
      </c>
      <c r="S2035">
        <f t="shared" si="125"/>
        <v>1.5880923297837983</v>
      </c>
    </row>
    <row r="2036" spans="1:19" x14ac:dyDescent="0.3">
      <c r="A2036">
        <v>2.0339999999999998</v>
      </c>
      <c r="B2036">
        <f>Uo*COS(2*PI()*Wn*Sheet2!A2036) + (Vo/Wn - (Po*(w/Wn))/(K*(1-(w/Wn)^2)))*SIN(2*PI()*Wn*Sheet2!A2036) +(Po*SIN(2*PI()*w*Sheet2!A2036))/(K*(1-(w/Wn)^2))</f>
        <v>11.868987715373347</v>
      </c>
      <c r="C2036">
        <f t="shared" si="126"/>
        <v>1.6362729607186672</v>
      </c>
      <c r="D2036">
        <f t="shared" si="127"/>
        <v>267.2767511009406</v>
      </c>
      <c r="R2036">
        <f t="shared" si="124"/>
        <v>2.0339999999999998</v>
      </c>
      <c r="S2036">
        <f t="shared" si="125"/>
        <v>1.6362729607186672</v>
      </c>
    </row>
    <row r="2037" spans="1:19" x14ac:dyDescent="0.3">
      <c r="A2037">
        <v>2.0350000000000001</v>
      </c>
      <c r="B2037">
        <f>Uo*COS(2*PI()*Wn*Sheet2!A2037) + (Vo/Wn - (Po*(w/Wn))/(K*(1-(w/Wn)^2)))*SIN(2*PI()*Wn*Sheet2!A2037) +(Po*SIN(2*PI()*w*Sheet2!A2037))/(K*(1-(w/Wn)^2))</f>
        <v>12.157987070308847</v>
      </c>
      <c r="C2037">
        <f t="shared" si="126"/>
        <v>1.6838325297777696</v>
      </c>
      <c r="D2037">
        <f t="shared" si="127"/>
        <v>275.04536147771699</v>
      </c>
      <c r="R2037">
        <f t="shared" si="124"/>
        <v>2.0350000000000001</v>
      </c>
      <c r="S2037">
        <f t="shared" si="125"/>
        <v>1.6838325297777696</v>
      </c>
    </row>
    <row r="2038" spans="1:19" x14ac:dyDescent="0.3">
      <c r="A2038">
        <v>2.036</v>
      </c>
      <c r="B2038">
        <f>Uo*COS(2*PI()*Wn*Sheet2!A2038) + (Vo/Wn - (Po*(w/Wn))/(K*(1-(w/Wn)^2)))*SIN(2*PI()*Wn*Sheet2!A2038) +(Po*SIN(2*PI()*w*Sheet2!A2038))/(K*(1-(w/Wn)^2))</f>
        <v>12.443014644377804</v>
      </c>
      <c r="C2038">
        <f t="shared" si="126"/>
        <v>1.7307566357239768</v>
      </c>
      <c r="D2038">
        <f t="shared" si="127"/>
        <v>282.71017223160862</v>
      </c>
      <c r="R2038">
        <f t="shared" si="124"/>
        <v>2.036</v>
      </c>
      <c r="S2038">
        <f t="shared" si="125"/>
        <v>1.7307566357239768</v>
      </c>
    </row>
    <row r="2039" spans="1:19" x14ac:dyDescent="0.3">
      <c r="A2039">
        <v>2.0369999999999999</v>
      </c>
      <c r="B2039">
        <f>Uo*COS(2*PI()*Wn*Sheet2!A2039) + (Vo/Wn - (Po*(w/Wn))/(K*(1-(w/Wn)^2)))*SIN(2*PI()*Wn*Sheet2!A2039) +(Po*SIN(2*PI()*w*Sheet2!A2039))/(K*(1-(w/Wn)^2))</f>
        <v>12.72397732454597</v>
      </c>
      <c r="C2039">
        <f t="shared" si="126"/>
        <v>1.7770311107324082</v>
      </c>
      <c r="D2039">
        <f t="shared" si="127"/>
        <v>290.26886912147415</v>
      </c>
      <c r="R2039">
        <f t="shared" si="124"/>
        <v>2.0369999999999999</v>
      </c>
      <c r="S2039">
        <f t="shared" si="125"/>
        <v>1.7770311107324082</v>
      </c>
    </row>
    <row r="2040" spans="1:19" x14ac:dyDescent="0.3">
      <c r="A2040">
        <v>2.0379999999999998</v>
      </c>
      <c r="B2040">
        <f>Uo*COS(2*PI()*Wn*Sheet2!A2040) + (Vo/Wn - (Po*(w/Wn))/(K*(1-(w/Wn)^2)))*SIN(2*PI()*Wn*Sheet2!A2040) +(Po*SIN(2*PI()*w*Sheet2!A2040))/(K*(1-(w/Wn)^2))</f>
        <v>13.000783325702089</v>
      </c>
      <c r="C2040">
        <f t="shared" si="126"/>
        <v>1.8226420245930113</v>
      </c>
      <c r="D2040">
        <f t="shared" si="127"/>
        <v>297.71917671932908</v>
      </c>
      <c r="R2040">
        <f t="shared" si="124"/>
        <v>2.0379999999999998</v>
      </c>
      <c r="S2040">
        <f t="shared" si="125"/>
        <v>1.8226420245930113</v>
      </c>
    </row>
    <row r="2041" spans="1:19" x14ac:dyDescent="0.3">
      <c r="A2041">
        <v>2.0390000000000001</v>
      </c>
      <c r="B2041">
        <f>Uo*COS(2*PI()*Wn*Sheet2!A2041) + (Vo/Wn - (Po*(w/Wn))/(K*(1-(w/Wn)^2)))*SIN(2*PI()*Wn*Sheet2!A2041) +(Po*SIN(2*PI()*w*Sheet2!A2041))/(K*(1-(w/Wn)^2))</f>
        <v>13.273342220642199</v>
      </c>
      <c r="C2041">
        <f t="shared" si="126"/>
        <v>1.8675756888282031</v>
      </c>
      <c r="D2041">
        <f t="shared" si="127"/>
        <v>305.05885908294147</v>
      </c>
      <c r="R2041">
        <f t="shared" si="124"/>
        <v>2.0390000000000001</v>
      </c>
      <c r="S2041">
        <f t="shared" si="125"/>
        <v>1.8675756888282031</v>
      </c>
    </row>
    <row r="2042" spans="1:19" x14ac:dyDescent="0.3">
      <c r="A2042">
        <v>2.04</v>
      </c>
      <c r="B2042">
        <f>Uo*COS(2*PI()*Wn*Sheet2!A2042) + (Vo/Wn - (Po*(w/Wn))/(K*(1-(w/Wn)^2)))*SIN(2*PI()*Wn*Sheet2!A2042) +(Po*SIN(2*PI()*w*Sheet2!A2042))/(K*(1-(w/Wn)^2))</f>
        <v>13.54156496960973</v>
      </c>
      <c r="C2042">
        <f t="shared" si="126"/>
        <v>1.9118186607238881</v>
      </c>
      <c r="D2042">
        <f t="shared" si="127"/>
        <v>312.28572041427776</v>
      </c>
      <c r="R2042">
        <f t="shared" si="124"/>
        <v>2.04</v>
      </c>
      <c r="S2042">
        <f t="shared" si="125"/>
        <v>1.9118186607238881</v>
      </c>
    </row>
    <row r="2043" spans="1:19" x14ac:dyDescent="0.3">
      <c r="A2043">
        <v>2.0409999999999999</v>
      </c>
      <c r="B2043">
        <f>Uo*COS(2*PI()*Wn*Sheet2!A2043) + (Vo/Wn - (Po*(w/Wn))/(K*(1-(w/Wn)^2)))*SIN(2*PI()*Wn*Sheet2!A2043) +(Po*SIN(2*PI()*w*Sheet2!A2043))/(K*(1-(w/Wn)^2))</f>
        <v>13.805363949384464</v>
      </c>
      <c r="C2043">
        <f t="shared" si="126"/>
        <v>1.9553577472733386</v>
      </c>
      <c r="D2043">
        <f t="shared" si="127"/>
        <v>319.39760570371544</v>
      </c>
      <c r="R2043">
        <f t="shared" si="124"/>
        <v>2.0409999999999999</v>
      </c>
      <c r="S2043">
        <f t="shared" si="125"/>
        <v>1.9553577472733386</v>
      </c>
    </row>
    <row r="2044" spans="1:19" x14ac:dyDescent="0.3">
      <c r="A2044">
        <v>2.0419999999999998</v>
      </c>
      <c r="B2044">
        <f>Uo*COS(2*PI()*Wn*Sheet2!A2044) + (Vo/Wn - (Po*(w/Wn))/(K*(1-(w/Wn)^2)))*SIN(2*PI()*Wn*Sheet2!A2044) +(Po*SIN(2*PI()*w*Sheet2!A2044))/(K*(1-(w/Wn)^2))</f>
        <v>14.064652981906091</v>
      </c>
      <c r="C2044">
        <f t="shared" si="126"/>
        <v>1.9981800090321942</v>
      </c>
      <c r="D2044">
        <f t="shared" si="127"/>
        <v>326.39240135973733</v>
      </c>
      <c r="R2044">
        <f t="shared" si="124"/>
        <v>2.0419999999999998</v>
      </c>
      <c r="S2044">
        <f t="shared" si="125"/>
        <v>1.9981800090321942</v>
      </c>
    </row>
    <row r="2045" spans="1:19" x14ac:dyDescent="0.3">
      <c r="A2045">
        <v>2.0430000000000001</v>
      </c>
      <c r="B2045">
        <f>Uo*COS(2*PI()*Wn*Sheet2!A2045) + (Vo/Wn - (Po*(w/Wn))/(K*(1-(w/Wn)^2)))*SIN(2*PI()*Wn*Sheet2!A2045) +(Po*SIN(2*PI()*w*Sheet2!A2045))/(K*(1-(w/Wn)^2))</f>
        <v>14.319347362427861</v>
      </c>
      <c r="C2045">
        <f t="shared" si="126"/>
        <v>2.0402727638838503</v>
      </c>
      <c r="D2045">
        <f t="shared" si="127"/>
        <v>333.26803582398816</v>
      </c>
      <c r="R2045">
        <f t="shared" si="124"/>
        <v>2.0430000000000001</v>
      </c>
      <c r="S2045">
        <f t="shared" si="125"/>
        <v>2.0402727638838503</v>
      </c>
    </row>
    <row r="2046" spans="1:19" x14ac:dyDescent="0.3">
      <c r="A2046">
        <v>2.044</v>
      </c>
      <c r="B2046">
        <f>Uo*COS(2*PI()*Wn*Sheet2!A2046) + (Vo/Wn - (Po*(w/Wn))/(K*(1-(w/Wn)^2)))*SIN(2*PI()*Wn*Sheet2!A2046) +(Po*SIN(2*PI()*w*Sheet2!A2046))/(K*(1-(w/Wn)^2))</f>
        <v>14.569363887187276</v>
      </c>
      <c r="C2046">
        <f t="shared" si="126"/>
        <v>2.0816235907139702</v>
      </c>
      <c r="D2046">
        <f t="shared" si="127"/>
        <v>340.02248017148742</v>
      </c>
      <c r="R2046">
        <f t="shared" si="124"/>
        <v>2.044</v>
      </c>
      <c r="S2046">
        <f t="shared" si="125"/>
        <v>2.0816235907139702</v>
      </c>
    </row>
    <row r="2047" spans="1:19" x14ac:dyDescent="0.3">
      <c r="A2047">
        <v>2.0449999999999999</v>
      </c>
      <c r="B2047">
        <f>Uo*COS(2*PI()*Wn*Sheet2!A2047) + (Vo/Wn - (Po*(w/Wn))/(K*(1-(w/Wn)^2)))*SIN(2*PI()*Wn*Sheet2!A2047) +(Po*SIN(2*PI()*w*Sheet2!A2047))/(K*(1-(w/Wn)^2))</f>
        <v>14.814620880587485</v>
      </c>
      <c r="C2047">
        <f t="shared" si="126"/>
        <v>2.1222203329933329</v>
      </c>
      <c r="D2047">
        <f t="shared" si="127"/>
        <v>346.6537486958689</v>
      </c>
      <c r="R2047">
        <f t="shared" si="124"/>
        <v>2.0449999999999999</v>
      </c>
      <c r="S2047">
        <f t="shared" si="125"/>
        <v>2.1222203329933329</v>
      </c>
    </row>
    <row r="2048" spans="1:19" x14ac:dyDescent="0.3">
      <c r="A2048">
        <v>2.0459999999999998</v>
      </c>
      <c r="B2048">
        <f>Uo*COS(2*PI()*Wn*Sheet2!A2048) + (Vo/Wn - (Po*(w/Wn))/(K*(1-(w/Wn)^2)))*SIN(2*PI()*Wn*Sheet2!A2048) +(Po*SIN(2*PI()*w*Sheet2!A2048))/(K*(1-(w/Wn)^2))</f>
        <v>15.0550382218794</v>
      </c>
      <c r="C2048">
        <f t="shared" si="126"/>
        <v>2.1620511022676929</v>
      </c>
      <c r="D2048">
        <f t="shared" si="127"/>
        <v>353.15989947943154</v>
      </c>
      <c r="R2048">
        <f t="shared" si="124"/>
        <v>2.0459999999999998</v>
      </c>
      <c r="S2048">
        <f t="shared" si="125"/>
        <v>2.1620511022676929</v>
      </c>
    </row>
    <row r="2049" spans="1:19" x14ac:dyDescent="0.3">
      <c r="A2049">
        <v>2.0470000000000002</v>
      </c>
      <c r="B2049">
        <f>Uo*COS(2*PI()*Wn*Sheet2!A2049) + (Vo/Wn - (Po*(w/Wn))/(K*(1-(w/Wn)^2)))*SIN(2*PI()*Wn*Sheet2!A2049) +(Po*SIN(2*PI()*w*Sheet2!A2049))/(K*(1-(w/Wn)^2))</f>
        <v>15.290537371335041</v>
      </c>
      <c r="C2049">
        <f t="shared" si="126"/>
        <v>2.2011042815539179</v>
      </c>
      <c r="D2049">
        <f t="shared" si="127"/>
        <v>359.53903494788074</v>
      </c>
      <c r="R2049">
        <f t="shared" ref="R2049:R2112" si="128">A2049</f>
        <v>2.0470000000000002</v>
      </c>
      <c r="S2049">
        <f t="shared" ref="S2049:S2112" si="129">C2049</f>
        <v>2.2011042815539179</v>
      </c>
    </row>
    <row r="2050" spans="1:19" x14ac:dyDescent="0.3">
      <c r="A2050">
        <v>2.048</v>
      </c>
      <c r="B2050">
        <f>Uo*COS(2*PI()*Wn*Sheet2!A2050) + (Vo/Wn - (Po*(w/Wn))/(K*(1-(w/Wn)^2)))*SIN(2*PI()*Wn*Sheet2!A2050) +(Po*SIN(2*PI()*w*Sheet2!A2050))/(K*(1-(w/Wn)^2))</f>
        <v>15.521041395905247</v>
      </c>
      <c r="C2050">
        <f t="shared" ref="C2050:C2113" si="130">EXP(-zeta*Wn*A2050*2*PI())*($H$1*COS(wnD*2*PI()*A2050) + $H$2*SIN(wnD*2*PI()*A2050)) + $H$3*SIN(w*2*PI()*A2050) + $H$4*COS(w*2*PI()*A2050)</f>
        <v>2.2393685286413829</v>
      </c>
      <c r="D2050">
        <f t="shared" ref="D2050:D2113" si="131">K*C2050</f>
        <v>365.78930240959409</v>
      </c>
      <c r="R2050">
        <f t="shared" si="128"/>
        <v>2.048</v>
      </c>
      <c r="S2050">
        <f t="shared" si="129"/>
        <v>2.2393685286413829</v>
      </c>
    </row>
    <row r="2051" spans="1:19" x14ac:dyDescent="0.3">
      <c r="A2051">
        <v>2.0489999999999999</v>
      </c>
      <c r="B2051">
        <f>Uo*COS(2*PI()*Wn*Sheet2!A2051) + (Vo/Wn - (Po*(w/Wn))/(K*(1-(w/Wn)^2)))*SIN(2*PI()*Wn*Sheet2!A2051) +(Po*SIN(2*PI()*w*Sheet2!A2051))/(K*(1-(w/Wn)^2))</f>
        <v>15.746474994352489</v>
      </c>
      <c r="C2051">
        <f t="shared" si="130"/>
        <v>2.2768327792977132</v>
      </c>
      <c r="D2051">
        <f t="shared" si="131"/>
        <v>371.90889457926318</v>
      </c>
      <c r="R2051">
        <f t="shared" si="128"/>
        <v>2.0489999999999999</v>
      </c>
      <c r="S2051">
        <f t="shared" si="129"/>
        <v>2.2768327792977132</v>
      </c>
    </row>
    <row r="2052" spans="1:19" x14ac:dyDescent="0.3">
      <c r="A2052">
        <v>2.0499999999999998</v>
      </c>
      <c r="B2052">
        <f>Uo*COS(2*PI()*Wn*Sheet2!A2052) + (Vo/Wn - (Po*(w/Wn))/(K*(1-(w/Wn)^2)))*SIN(2*PI()*Wn*Sheet2!A2052) +(Po*SIN(2*PI()*w*Sheet2!A2052))/(K*(1-(w/Wn)^2))</f>
        <v>15.966764521849708</v>
      </c>
      <c r="C2052">
        <f t="shared" si="130"/>
        <v>2.3134862503780114</v>
      </c>
      <c r="D2052">
        <f t="shared" si="131"/>
        <v>377.89605008576962</v>
      </c>
      <c r="R2052">
        <f t="shared" si="128"/>
        <v>2.0499999999999998</v>
      </c>
      <c r="S2052">
        <f t="shared" si="129"/>
        <v>2.3134862503780114</v>
      </c>
    </row>
    <row r="2053" spans="1:19" x14ac:dyDescent="0.3">
      <c r="A2053">
        <v>2.0510000000000002</v>
      </c>
      <c r="B2053">
        <f>Uo*COS(2*PI()*Wn*Sheet2!A2053) + (Vo/Wn - (Po*(w/Wn))/(K*(1-(w/Wn)^2)))*SIN(2*PI()*Wn*Sheet2!A2053) +(Po*SIN(2*PI()*w*Sheet2!A2053))/(K*(1-(w/Wn)^2))</f>
        <v>16.181838014039467</v>
      </c>
      <c r="C2053">
        <f t="shared" si="130"/>
        <v>2.3493184428367413</v>
      </c>
      <c r="D2053">
        <f t="shared" si="131"/>
        <v>383.74905396416079</v>
      </c>
      <c r="R2053">
        <f t="shared" si="128"/>
        <v>2.0510000000000002</v>
      </c>
      <c r="S2053">
        <f t="shared" si="129"/>
        <v>2.3493184428367413</v>
      </c>
    </row>
    <row r="2054" spans="1:19" x14ac:dyDescent="0.3">
      <c r="A2054">
        <v>2.052</v>
      </c>
      <c r="B2054">
        <f>Uo*COS(2*PI()*Wn*Sheet2!A2054) + (Vo/Wn - (Po*(w/Wn))/(K*(1-(w/Wn)^2)))*SIN(2*PI()*Wn*Sheet2!A2054) +(Po*SIN(2*PI()*w*Sheet2!A2054))/(K*(1-(w/Wn)^2))</f>
        <v>16.391625210542283</v>
      </c>
      <c r="C2054">
        <f t="shared" si="130"/>
        <v>2.3843191446413812</v>
      </c>
      <c r="D2054">
        <f t="shared" si="131"/>
        <v>389.46623813158004</v>
      </c>
      <c r="R2054">
        <f t="shared" si="128"/>
        <v>2.052</v>
      </c>
      <c r="S2054">
        <f t="shared" si="129"/>
        <v>2.3843191446413812</v>
      </c>
    </row>
    <row r="2055" spans="1:19" x14ac:dyDescent="0.3">
      <c r="A2055">
        <v>2.0529999999999999</v>
      </c>
      <c r="B2055">
        <f>Uo*COS(2*PI()*Wn*Sheet2!A2055) + (Vo/Wn - (Po*(w/Wn))/(K*(1-(w/Wn)^2)))*SIN(2*PI()*Wn*Sheet2!A2055) +(Po*SIN(2*PI()*w*Sheet2!A2055))/(K*(1-(w/Wn)^2))</f>
        <v>16.596057577910457</v>
      </c>
      <c r="C2055">
        <f t="shared" si="130"/>
        <v>2.4184784335872704</v>
      </c>
      <c r="D2055">
        <f t="shared" si="131"/>
        <v>395.04598184705742</v>
      </c>
      <c r="R2055">
        <f t="shared" si="128"/>
        <v>2.0529999999999999</v>
      </c>
      <c r="S2055">
        <f t="shared" si="129"/>
        <v>2.4184784335872704</v>
      </c>
    </row>
    <row r="2056" spans="1:19" x14ac:dyDescent="0.3">
      <c r="A2056">
        <v>2.0539999999999998</v>
      </c>
      <c r="B2056">
        <f>Uo*COS(2*PI()*Wn*Sheet2!A2056) + (Vo/Wn - (Po*(w/Wn))/(K*(1-(w/Wn)^2)))*SIN(2*PI()*Wn*Sheet2!A2056) +(Po*SIN(2*PI()*w*Sheet2!A2056))/(K*(1-(w/Wn)^2))</f>
        <v>16.795068332016022</v>
      </c>
      <c r="C2056">
        <f t="shared" si="130"/>
        <v>2.4517866800126464</v>
      </c>
      <c r="D2056">
        <f t="shared" si="131"/>
        <v>400.48671215499695</v>
      </c>
      <c r="R2056">
        <f t="shared" si="128"/>
        <v>2.0539999999999998</v>
      </c>
      <c r="S2056">
        <f t="shared" si="129"/>
        <v>2.4517866800126464</v>
      </c>
    </row>
    <row r="2057" spans="1:19" x14ac:dyDescent="0.3">
      <c r="A2057">
        <v>2.0550000000000002</v>
      </c>
      <c r="B2057">
        <f>Uo*COS(2*PI()*Wn*Sheet2!A2057) + (Vo/Wn - (Po*(w/Wn))/(K*(1-(w/Wn)^2)))*SIN(2*PI()*Wn*Sheet2!A2057) +(Po*SIN(2*PI()*w*Sheet2!A2057))/(K*(1-(w/Wn)^2))</f>
        <v>16.988592459867785</v>
      </c>
      <c r="C2057">
        <f t="shared" si="130"/>
        <v>2.4842345494133702</v>
      </c>
      <c r="D2057">
        <f t="shared" si="131"/>
        <v>405.78690431227858</v>
      </c>
      <c r="R2057">
        <f t="shared" si="128"/>
        <v>2.0550000000000002</v>
      </c>
      <c r="S2057">
        <f t="shared" si="129"/>
        <v>2.4842345494133702</v>
      </c>
    </row>
    <row r="2058" spans="1:19" x14ac:dyDescent="0.3">
      <c r="A2058">
        <v>2.056</v>
      </c>
      <c r="B2058">
        <f>Uo*COS(2*PI()*Wn*Sheet2!A2058) + (Vo/Wn - (Po*(w/Wn))/(K*(1-(w/Wn)^2)))*SIN(2*PI()*Wn*Sheet2!A2058) +(Po*SIN(2*PI()*w*Sheet2!A2058))/(K*(1-(w/Wn)^2))</f>
        <v>17.176566740849971</v>
      </c>
      <c r="C2058">
        <f t="shared" si="130"/>
        <v>2.5158130049565077</v>
      </c>
      <c r="D2058">
        <f t="shared" si="131"/>
        <v>410.94508219883869</v>
      </c>
      <c r="R2058">
        <f t="shared" si="128"/>
        <v>2.056</v>
      </c>
      <c r="S2058">
        <f t="shared" si="129"/>
        <v>2.5158130049565077</v>
      </c>
    </row>
    <row r="2059" spans="1:19" x14ac:dyDescent="0.3">
      <c r="A2059">
        <v>2.0569999999999999</v>
      </c>
      <c r="B2059">
        <f>Uo*COS(2*PI()*Wn*Sheet2!A2059) + (Vo/Wn - (Po*(w/Wn))/(K*(1-(w/Wn)^2)))*SIN(2*PI()*Wn*Sheet2!A2059) +(Po*SIN(2*PI()*w*Sheet2!A2059))/(K*(1-(w/Wn)^2))</f>
        <v>17.358929767375418</v>
      </c>
      <c r="C2059">
        <f t="shared" si="130"/>
        <v>2.5465133098924193</v>
      </c>
      <c r="D2059">
        <f t="shared" si="131"/>
        <v>415.95981871167254</v>
      </c>
      <c r="R2059">
        <f t="shared" si="128"/>
        <v>2.0569999999999999</v>
      </c>
      <c r="S2059">
        <f t="shared" si="129"/>
        <v>2.5465133098924193</v>
      </c>
    </row>
    <row r="2060" spans="1:19" x14ac:dyDescent="0.3">
      <c r="A2060">
        <v>2.0579999999999998</v>
      </c>
      <c r="B2060">
        <f>Uo*COS(2*PI()*Wn*Sheet2!A2060) + (Vo/Wn - (Po*(w/Wn))/(K*(1-(w/Wn)^2)))*SIN(2*PI()*Wn*Sheet2!A2060) +(Po*SIN(2*PI()*w*Sheet2!A2060))/(K*(1-(w/Wn)^2))</f>
        <v>17.535621964945722</v>
      </c>
      <c r="C2060">
        <f t="shared" si="130"/>
        <v>2.5763270298642733</v>
      </c>
      <c r="D2060">
        <f t="shared" si="131"/>
        <v>420.82973614208129</v>
      </c>
      <c r="R2060">
        <f t="shared" si="128"/>
        <v>2.0579999999999998</v>
      </c>
      <c r="S2060">
        <f t="shared" si="129"/>
        <v>2.5763270298642733</v>
      </c>
    </row>
    <row r="2061" spans="1:19" x14ac:dyDescent="0.3">
      <c r="A2061">
        <v>2.0590000000000002</v>
      </c>
      <c r="B2061">
        <f>Uo*COS(2*PI()*Wn*Sheet2!A2061) + (Vo/Wn - (Po*(w/Wn))/(K*(1-(w/Wn)^2)))*SIN(2*PI()*Wn*Sheet2!A2061) +(Po*SIN(2*PI()*w*Sheet2!A2061))/(K*(1-(w/Wn)^2))</f>
        <v>17.70658561161374</v>
      </c>
      <c r="C2061">
        <f t="shared" si="130"/>
        <v>2.6052460351149112</v>
      </c>
      <c r="D2061">
        <f t="shared" si="131"/>
        <v>425.55350653615216</v>
      </c>
      <c r="R2061">
        <f t="shared" si="128"/>
        <v>2.0590000000000002</v>
      </c>
      <c r="S2061">
        <f t="shared" si="129"/>
        <v>2.6052460351149112</v>
      </c>
    </row>
    <row r="2062" spans="1:19" x14ac:dyDescent="0.3">
      <c r="A2062">
        <v>2.06</v>
      </c>
      <c r="B2062">
        <f>Uo*COS(2*PI()*Wn*Sheet2!A2062) + (Vo/Wn - (Po*(w/Wn))/(K*(1-(w/Wn)^2)))*SIN(2*PI()*Wn*Sheet2!A2062) +(Po*SIN(2*PI()*w*Sheet2!A2062))/(K*(1-(w/Wn)^2))</f>
        <v>17.871764856839402</v>
      </c>
      <c r="C2062">
        <f t="shared" si="130"/>
        <v>2.633262502590179</v>
      </c>
      <c r="D2062">
        <f t="shared" si="131"/>
        <v>430.12985203832676</v>
      </c>
      <c r="R2062">
        <f t="shared" si="128"/>
        <v>2.06</v>
      </c>
      <c r="S2062">
        <f t="shared" si="129"/>
        <v>2.633262502590179</v>
      </c>
    </row>
    <row r="2063" spans="1:19" x14ac:dyDescent="0.3">
      <c r="A2063">
        <v>2.0609999999999999</v>
      </c>
      <c r="B2063">
        <f>Uo*COS(2*PI()*Wn*Sheet2!A2063) + (Vo/Wn - (Po*(w/Wn))/(K*(1-(w/Wn)^2)))*SIN(2*PI()*Wn*Sheet2!A2063) +(Po*SIN(2*PI()*w*Sheet2!A2063))/(K*(1-(w/Wn)^2))</f>
        <v>18.031105739735903</v>
      </c>
      <c r="C2063">
        <f t="shared" si="130"/>
        <v>2.6603689179384653</v>
      </c>
      <c r="D2063">
        <f t="shared" si="131"/>
        <v>434.55754521801515</v>
      </c>
      <c r="R2063">
        <f t="shared" si="128"/>
        <v>2.0609999999999999</v>
      </c>
      <c r="S2063">
        <f t="shared" si="129"/>
        <v>2.6603689179384653</v>
      </c>
    </row>
    <row r="2064" spans="1:19" x14ac:dyDescent="0.3">
      <c r="A2064">
        <v>2.0619999999999998</v>
      </c>
      <c r="B2064">
        <f>Uo*COS(2*PI()*Wn*Sheet2!A2064) + (Vo/Wn - (Po*(w/Wn))/(K*(1-(w/Wn)^2)))*SIN(2*PI()*Wn*Sheet2!A2064) +(Po*SIN(2*PI()*w*Sheet2!A2064))/(K*(1-(w/Wn)^2))</f>
        <v>18.184556206697209</v>
      </c>
      <c r="C2064">
        <f t="shared" si="130"/>
        <v>2.6865580774057842</v>
      </c>
      <c r="D2064">
        <f t="shared" si="131"/>
        <v>438.83540937914825</v>
      </c>
      <c r="R2064">
        <f t="shared" si="128"/>
        <v>2.0619999999999998</v>
      </c>
      <c r="S2064">
        <f t="shared" si="129"/>
        <v>2.6865580774057842</v>
      </c>
    </row>
    <row r="2065" spans="1:19" x14ac:dyDescent="0.3">
      <c r="A2065">
        <v>2.0630000000000002</v>
      </c>
      <c r="B2065">
        <f>Uo*COS(2*PI()*Wn*Sheet2!A2065) + (Vo/Wn - (Po*(w/Wn))/(K*(1-(w/Wn)^2)))*SIN(2*PI()*Wn*Sheet2!A2065) +(Po*SIN(2*PI()*w*Sheet2!A2065))/(K*(1-(w/Wn)^2))</f>
        <v>18.3320661284029</v>
      </c>
      <c r="C2065">
        <f t="shared" si="130"/>
        <v>2.711823089626102</v>
      </c>
      <c r="D2065">
        <f t="shared" si="131"/>
        <v>442.96231885261784</v>
      </c>
      <c r="R2065">
        <f t="shared" si="128"/>
        <v>2.0630000000000002</v>
      </c>
      <c r="S2065">
        <f t="shared" si="129"/>
        <v>2.711823089626102</v>
      </c>
    </row>
    <row r="2066" spans="1:19" x14ac:dyDescent="0.3">
      <c r="A2066">
        <v>2.0640000000000001</v>
      </c>
      <c r="B2066">
        <f>Uo*COS(2*PI()*Wn*Sheet2!A2066) + (Vo/Wn - (Po*(w/Wn))/(K*(1-(w/Wn)^2)))*SIN(2*PI()*Wn*Sheet2!A2066) +(Po*SIN(2*PI()*w*Sheet2!A2066))/(K*(1-(w/Wn)^2))</f>
        <v>18.473587316194614</v>
      </c>
      <c r="C2066">
        <f t="shared" si="130"/>
        <v>2.7361573773064225</v>
      </c>
      <c r="D2066">
        <f t="shared" si="131"/>
        <v>446.93719927152739</v>
      </c>
      <c r="R2066">
        <f t="shared" si="128"/>
        <v>2.0640000000000001</v>
      </c>
      <c r="S2066">
        <f t="shared" si="129"/>
        <v>2.7361573773064225</v>
      </c>
    </row>
    <row r="2067" spans="1:19" x14ac:dyDescent="0.3">
      <c r="A2067">
        <v>2.0649999999999999</v>
      </c>
      <c r="B2067">
        <f>Uo*COS(2*PI()*Wn*Sheet2!A2067) + (Vo/Wn - (Po*(w/Wn))/(K*(1-(w/Wn)^2)))*SIN(2*PI()*Wn*Sheet2!A2067) +(Po*SIN(2*PI()*w*Sheet2!A2067))/(K*(1-(w/Wn)^2))</f>
        <v>18.609073537818503</v>
      </c>
      <c r="C2067">
        <f t="shared" si="130"/>
        <v>2.75955467880646</v>
      </c>
      <c r="D2067">
        <f t="shared" si="131"/>
        <v>450.75902782922265</v>
      </c>
      <c r="R2067">
        <f t="shared" si="128"/>
        <v>2.0649999999999999</v>
      </c>
      <c r="S2067">
        <f t="shared" si="129"/>
        <v>2.75955467880646</v>
      </c>
    </row>
    <row r="2068" spans="1:19" x14ac:dyDescent="0.3">
      <c r="A2068">
        <v>2.0659999999999998</v>
      </c>
      <c r="B2068">
        <f>Uo*COS(2*PI()*Wn*Sheet2!A2068) + (Vo/Wn - (Po*(w/Wn))/(K*(1-(w/Wn)^2)))*SIN(2*PI()*Wn*Sheet2!A2068) +(Po*SIN(2*PI()*w*Sheet2!A2068))/(K*(1-(w/Wn)^2))</f>
        <v>18.73848053252804</v>
      </c>
      <c r="C2068">
        <f t="shared" si="130"/>
        <v>2.7820090496122285</v>
      </c>
      <c r="D2068">
        <f t="shared" si="131"/>
        <v>454.42683351999545</v>
      </c>
      <c r="R2068">
        <f t="shared" si="128"/>
        <v>2.0659999999999998</v>
      </c>
      <c r="S2068">
        <f t="shared" si="129"/>
        <v>2.7820090496122285</v>
      </c>
    </row>
    <row r="2069" spans="1:19" x14ac:dyDescent="0.3">
      <c r="A2069">
        <v>2.0670000000000002</v>
      </c>
      <c r="B2069">
        <f>Uo*COS(2*PI()*Wn*Sheet2!A2069) + (Vo/Wn - (Po*(w/Wn))/(K*(1-(w/Wn)^2)))*SIN(2*PI()*Wn*Sheet2!A2069) +(Po*SIN(2*PI()*w*Sheet2!A2069))/(K*(1-(w/Wn)^2))</f>
        <v>18.861766025543623</v>
      </c>
      <c r="C2069">
        <f t="shared" si="130"/>
        <v>2.8035148637036418</v>
      </c>
      <c r="D2069">
        <f t="shared" si="131"/>
        <v>457.93969736247391</v>
      </c>
      <c r="R2069">
        <f t="shared" si="128"/>
        <v>2.0670000000000002</v>
      </c>
      <c r="S2069">
        <f t="shared" si="129"/>
        <v>2.8035148637036418</v>
      </c>
    </row>
    <row r="2070" spans="1:19" x14ac:dyDescent="0.3">
      <c r="A2070">
        <v>2.0680000000000001</v>
      </c>
      <c r="B2070">
        <f>Uo*COS(2*PI()*Wn*Sheet2!A2070) + (Vo/Wn - (Po*(w/Wn))/(K*(1-(w/Wn)^2)))*SIN(2*PI()*Wn*Sheet2!A2070) +(Po*SIN(2*PI()*w*Sheet2!A2070))/(K*(1-(w/Wn)^2))</f>
        <v>18.978889741862343</v>
      </c>
      <c r="C2070">
        <f t="shared" si="130"/>
        <v>2.8240668148155716</v>
      </c>
      <c r="D2070">
        <f t="shared" si="131"/>
        <v>461.2967526056097</v>
      </c>
      <c r="R2070">
        <f t="shared" si="128"/>
        <v>2.0680000000000001</v>
      </c>
      <c r="S2070">
        <f t="shared" si="129"/>
        <v>2.8240668148155716</v>
      </c>
    </row>
    <row r="2071" spans="1:19" x14ac:dyDescent="0.3">
      <c r="A2071">
        <v>2.069</v>
      </c>
      <c r="B2071">
        <f>Uo*COS(2*PI()*Wn*Sheet2!A2071) + (Vo/Wn - (Po*(w/Wn))/(K*(1-(w/Wn)^2)))*SIN(2*PI()*Wn*Sheet2!A2071) +(Po*SIN(2*PI()*w*Sheet2!A2071))/(K*(1-(w/Wn)^2))</f>
        <v>19.08981341941568</v>
      </c>
      <c r="C2071">
        <f t="shared" si="130"/>
        <v>2.8436599175923667</v>
      </c>
      <c r="D2071">
        <f t="shared" si="131"/>
        <v>464.49718491726298</v>
      </c>
      <c r="R2071">
        <f t="shared" si="128"/>
        <v>2.069</v>
      </c>
      <c r="S2071">
        <f t="shared" si="129"/>
        <v>2.8436599175923667</v>
      </c>
    </row>
    <row r="2072" spans="1:19" x14ac:dyDescent="0.3">
      <c r="A2072">
        <v>2.0699999999999998</v>
      </c>
      <c r="B2072">
        <f>Uo*COS(2*PI()*Wn*Sheet2!A2072) + (Vo/Wn - (Po*(w/Wn))/(K*(1-(w/Wn)^2)))*SIN(2*PI()*Wn*Sheet2!A2072) +(Po*SIN(2*PI()*w*Sheet2!A2072))/(K*(1-(w/Wn)^2))</f>
        <v>19.194500821568653</v>
      </c>
      <c r="C2072">
        <f t="shared" si="130"/>
        <v>2.8622895086354689</v>
      </c>
      <c r="D2072">
        <f t="shared" si="131"/>
        <v>467.54023255532496</v>
      </c>
      <c r="R2072">
        <f t="shared" si="128"/>
        <v>2.0699999999999998</v>
      </c>
      <c r="S2072">
        <f t="shared" si="129"/>
        <v>2.8622895086354689</v>
      </c>
    </row>
    <row r="2073" spans="1:19" x14ac:dyDescent="0.3">
      <c r="A2073">
        <v>2.0710000000000002</v>
      </c>
      <c r="B2073">
        <f>Uo*COS(2*PI()*Wn*Sheet2!A2073) + (Vo/Wn - (Po*(w/Wn))/(K*(1-(w/Wn)^2)))*SIN(2*PI()*Wn*Sheet2!A2073) +(Po*SIN(2*PI()*w*Sheet2!A2073))/(K*(1-(w/Wn)^2))</f>
        <v>19.292917748957581</v>
      </c>
      <c r="C2073">
        <f t="shared" si="130"/>
        <v>2.8799512474440858</v>
      </c>
      <c r="D2073">
        <f t="shared" si="131"/>
        <v>470.42518652137176</v>
      </c>
      <c r="R2073">
        <f t="shared" si="128"/>
        <v>2.0710000000000002</v>
      </c>
      <c r="S2073">
        <f t="shared" si="129"/>
        <v>2.8799512474440858</v>
      </c>
    </row>
    <row r="2074" spans="1:19" x14ac:dyDescent="0.3">
      <c r="A2074">
        <v>2.0720000000000001</v>
      </c>
      <c r="B2074">
        <f>Uo*COS(2*PI()*Wn*Sheet2!A2074) + (Vo/Wn - (Po*(w/Wn))/(K*(1-(w/Wn)^2)))*SIN(2*PI()*Wn*Sheet2!A2074) +(Po*SIN(2*PI()*w*Sheet2!A2074))/(K*(1-(w/Wn)^2))</f>
        <v>19.38503205066251</v>
      </c>
      <c r="C2074">
        <f t="shared" si="130"/>
        <v>2.8966411172487558</v>
      </c>
      <c r="D2074">
        <f t="shared" si="131"/>
        <v>473.15139069682346</v>
      </c>
      <c r="R2074">
        <f t="shared" si="128"/>
        <v>2.0720000000000001</v>
      </c>
      <c r="S2074">
        <f t="shared" si="129"/>
        <v>2.8966411172487558</v>
      </c>
    </row>
    <row r="2075" spans="1:19" x14ac:dyDescent="0.3">
      <c r="A2075">
        <v>2.073</v>
      </c>
      <c r="B2075">
        <f>Uo*COS(2*PI()*Wn*Sheet2!A2075) + (Vo/Wn - (Po*(w/Wn))/(K*(1-(w/Wn)^2)))*SIN(2*PI()*Wn*Sheet2!A2075) +(Po*SIN(2*PI()*w*Sheet2!A2075))/(K*(1-(w/Wn)^2))</f>
        <v>19.470813634710208</v>
      </c>
      <c r="C2075">
        <f t="shared" si="130"/>
        <v>2.9123554257377897</v>
      </c>
      <c r="D2075">
        <f t="shared" si="131"/>
        <v>475.71824196160395</v>
      </c>
      <c r="R2075">
        <f t="shared" si="128"/>
        <v>2.073</v>
      </c>
      <c r="S2075">
        <f t="shared" si="129"/>
        <v>2.9123554257377897</v>
      </c>
    </row>
    <row r="2076" spans="1:19" x14ac:dyDescent="0.3">
      <c r="A2076">
        <v>2.0739999999999998</v>
      </c>
      <c r="B2076">
        <f>Uo*COS(2*PI()*Wn*Sheet2!A2076) + (Vo/Wn - (Po*(w/Wn))/(K*(1-(w/Wn)^2)))*SIN(2*PI()*Wn*Sheet2!A2076) +(Po*SIN(2*PI()*w*Sheet2!A2076))/(K*(1-(w/Wn)^2))</f>
        <v>19.550234477904745</v>
      </c>
      <c r="C2076">
        <f t="shared" si="130"/>
        <v>2.9270908056764839</v>
      </c>
      <c r="D2076">
        <f t="shared" si="131"/>
        <v>478.12519029528687</v>
      </c>
      <c r="R2076">
        <f t="shared" si="128"/>
        <v>2.0739999999999998</v>
      </c>
      <c r="S2076">
        <f t="shared" si="129"/>
        <v>2.9270908056764839</v>
      </c>
    </row>
    <row r="2077" spans="1:19" x14ac:dyDescent="0.3">
      <c r="A2077">
        <v>2.0750000000000002</v>
      </c>
      <c r="B2077">
        <f>Uo*COS(2*PI()*Wn*Sheet2!A2077) + (Vo/Wn - (Po*(w/Wn))/(K*(1-(w/Wn)^2)))*SIN(2*PI()*Wn*Sheet2!A2077) +(Po*SIN(2*PI()*w*Sheet2!A2077))/(K*(1-(w/Wn)^2))</f>
        <v>19.623268634982082</v>
      </c>
      <c r="C2077">
        <f t="shared" si="130"/>
        <v>2.940844215419061</v>
      </c>
      <c r="D2077">
        <f t="shared" si="131"/>
        <v>480.37173886071787</v>
      </c>
      <c r="R2077">
        <f t="shared" si="128"/>
        <v>2.0750000000000002</v>
      </c>
      <c r="S2077">
        <f t="shared" si="129"/>
        <v>2.940844215419061</v>
      </c>
    </row>
    <row r="2078" spans="1:19" x14ac:dyDescent="0.3">
      <c r="A2078">
        <v>2.0760000000000001</v>
      </c>
      <c r="B2078">
        <f>Uo*COS(2*PI()*Wn*Sheet2!A2078) + (Vo/Wn - (Po*(w/Wn))/(K*(1-(w/Wn)^2)))*SIN(2*PI()*Wn*Sheet2!A2078) +(Po*SIN(2*PI()*w*Sheet2!A2078))/(K*(1-(w/Wn)^2))</f>
        <v>19.689892247085702</v>
      </c>
      <c r="C2078">
        <f t="shared" si="130"/>
        <v>2.9536129393134885</v>
      </c>
      <c r="D2078">
        <f t="shared" si="131"/>
        <v>482.45744407014001</v>
      </c>
      <c r="R2078">
        <f t="shared" si="128"/>
        <v>2.0760000000000001</v>
      </c>
      <c r="S2078">
        <f t="shared" si="129"/>
        <v>2.9536129393134885</v>
      </c>
    </row>
    <row r="2079" spans="1:19" x14ac:dyDescent="0.3">
      <c r="A2079">
        <v>2.077</v>
      </c>
      <c r="B2079">
        <f>Uo*COS(2*PI()*Wn*Sheet2!A2079) + (Vo/Wn - (Po*(w/Wn))/(K*(1-(w/Wn)^2)))*SIN(2*PI()*Wn*Sheet2!A2079) +(Po*SIN(2*PI()*w*Sheet2!A2079))/(K*(1-(w/Wn)^2))</f>
        <v>19.750083549561179</v>
      </c>
      <c r="C2079">
        <f t="shared" si="130"/>
        <v>2.965394587999155</v>
      </c>
      <c r="D2079">
        <f t="shared" si="131"/>
        <v>484.38191563381758</v>
      </c>
      <c r="R2079">
        <f t="shared" si="128"/>
        <v>2.077</v>
      </c>
      <c r="S2079">
        <f t="shared" si="129"/>
        <v>2.965394587999155</v>
      </c>
    </row>
    <row r="2080" spans="1:19" x14ac:dyDescent="0.3">
      <c r="A2080">
        <v>2.0779999999999998</v>
      </c>
      <c r="B2080">
        <f>Uo*COS(2*PI()*Wn*Sheet2!A2080) + (Vo/Wn - (Po*(w/Wn))/(K*(1-(w/Wn)^2)))*SIN(2*PI()*Wn*Sheet2!A2080) +(Po*SIN(2*PI()*w*Sheet2!A2080))/(K*(1-(w/Wn)^2))</f>
        <v>19.803822879066061</v>
      </c>
      <c r="C2080">
        <f t="shared" si="130"/>
        <v>2.9761870985974812</v>
      </c>
      <c r="D2080">
        <f t="shared" si="131"/>
        <v>486.14481659117138</v>
      </c>
      <c r="R2080">
        <f t="shared" si="128"/>
        <v>2.0779999999999998</v>
      </c>
      <c r="S2080">
        <f t="shared" si="129"/>
        <v>2.9761870985974812</v>
      </c>
    </row>
    <row r="2081" spans="1:19" x14ac:dyDescent="0.3">
      <c r="A2081">
        <v>2.0790000000000002</v>
      </c>
      <c r="B2081">
        <f>Uo*COS(2*PI()*Wn*Sheet2!A2081) + (Vo/Wn - (Po*(w/Wn))/(K*(1-(w/Wn)^2)))*SIN(2*PI()*Wn*Sheet2!A2081) +(Po*SIN(2*PI()*w*Sheet2!A2081))/(K*(1-(w/Wn)^2))</f>
        <v>19.85109267999351</v>
      </c>
      <c r="C2081">
        <f t="shared" si="130"/>
        <v>2.9859887347956526</v>
      </c>
      <c r="D2081">
        <f t="shared" si="131"/>
        <v>487.74586332445608</v>
      </c>
      <c r="R2081">
        <f t="shared" si="128"/>
        <v>2.0790000000000002</v>
      </c>
      <c r="S2081">
        <f t="shared" si="129"/>
        <v>2.9859887347956526</v>
      </c>
    </row>
    <row r="2082" spans="1:19" x14ac:dyDescent="0.3">
      <c r="A2082">
        <v>2.08</v>
      </c>
      <c r="B2082">
        <f>Uo*COS(2*PI()*Wn*Sheet2!A2082) + (Vo/Wn - (Po*(w/Wn))/(K*(1-(w/Wn)^2)))*SIN(2*PI()*Wn*Sheet2!A2082) +(Po*SIN(2*PI()*w*Sheet2!A2082))/(K*(1-(w/Wn)^2))</f>
        <v>19.891877510207433</v>
      </c>
      <c r="C2082">
        <f t="shared" si="130"/>
        <v>2.9947980868235922</v>
      </c>
      <c r="D2082">
        <f t="shared" si="131"/>
        <v>489.18482555499861</v>
      </c>
      <c r="R2082">
        <f t="shared" si="128"/>
        <v>2.08</v>
      </c>
      <c r="S2082">
        <f t="shared" si="129"/>
        <v>2.9947980868235922</v>
      </c>
    </row>
    <row r="2083" spans="1:19" x14ac:dyDescent="0.3">
      <c r="A2083">
        <v>2.081</v>
      </c>
      <c r="B2083">
        <f>Uo*COS(2*PI()*Wn*Sheet2!A2083) + (Vo/Wn - (Po*(w/Wn))/(K*(1-(w/Wn)^2)))*SIN(2*PI()*Wn*Sheet2!A2083) +(Po*SIN(2*PI()*w*Sheet2!A2083))/(K*(1-(w/Wn)^2))</f>
        <v>19.926164046087113</v>
      </c>
      <c r="C2083">
        <f t="shared" si="130"/>
        <v>3.0026140713244343</v>
      </c>
      <c r="D2083">
        <f t="shared" si="131"/>
        <v>490.46152632204104</v>
      </c>
      <c r="R2083">
        <f t="shared" si="128"/>
        <v>2.081</v>
      </c>
      <c r="S2083">
        <f t="shared" si="129"/>
        <v>3.0026140713244343</v>
      </c>
    </row>
    <row r="2084" spans="1:19" x14ac:dyDescent="0.3">
      <c r="A2084">
        <v>2.0819999999999999</v>
      </c>
      <c r="B2084">
        <f>Uo*COS(2*PI()*Wn*Sheet2!A2084) + (Vo/Wn - (Po*(w/Wn))/(K*(1-(w/Wn)^2)))*SIN(2*PI()*Wn*Sheet2!A2084) +(Po*SIN(2*PI()*w*Sheet2!A2084))/(K*(1-(w/Wn)^2))</f>
        <v>19.953941086879809</v>
      </c>
      <c r="C2084">
        <f t="shared" si="130"/>
        <v>3.0094359311186674</v>
      </c>
      <c r="D2084">
        <f t="shared" si="131"/>
        <v>491.57584194421446</v>
      </c>
      <c r="R2084">
        <f t="shared" si="128"/>
        <v>2.0819999999999999</v>
      </c>
      <c r="S2084">
        <f t="shared" si="129"/>
        <v>3.0094359311186674</v>
      </c>
    </row>
    <row r="2085" spans="1:19" x14ac:dyDescent="0.3">
      <c r="A2085">
        <v>2.0830000000000002</v>
      </c>
      <c r="B2085">
        <f>Uo*COS(2*PI()*Wn*Sheet2!A2085) + (Vo/Wn - (Po*(w/Wn))/(K*(1-(w/Wn)^2)))*SIN(2*PI()*Wn*Sheet2!A2085) +(Po*SIN(2*PI()*w*Sheet2!A2085))/(K*(1-(w/Wn)^2))</f>
        <v>19.975199558359801</v>
      </c>
      <c r="C2085">
        <f t="shared" si="130"/>
        <v>3.015263234862227</v>
      </c>
      <c r="D2085">
        <f t="shared" si="131"/>
        <v>492.52770196368999</v>
      </c>
      <c r="R2085">
        <f t="shared" si="128"/>
        <v>2.0830000000000002</v>
      </c>
      <c r="S2085">
        <f t="shared" si="129"/>
        <v>3.015263234862227</v>
      </c>
    </row>
    <row r="2086" spans="1:19" x14ac:dyDescent="0.3">
      <c r="A2086">
        <v>2.0840000000000001</v>
      </c>
      <c r="B2086">
        <f>Uo*COS(2*PI()*Wn*Sheet2!A2086) + (Vo/Wn - (Po*(w/Wn))/(K*(1-(w/Wn)^2)))*SIN(2*PI()*Wn*Sheet2!A2086) +(Po*SIN(2*PI()*w*Sheet2!A2086))/(K*(1-(w/Wn)^2))</f>
        <v>19.989932515792724</v>
      </c>
      <c r="C2086">
        <f t="shared" si="130"/>
        <v>3.0200958765988979</v>
      </c>
      <c r="D2086">
        <f t="shared" si="131"/>
        <v>493.31708907306626</v>
      </c>
      <c r="R2086">
        <f t="shared" si="128"/>
        <v>2.0840000000000001</v>
      </c>
      <c r="S2086">
        <f t="shared" si="129"/>
        <v>3.0200958765988979</v>
      </c>
    </row>
    <row r="2087" spans="1:19" x14ac:dyDescent="0.3">
      <c r="A2087">
        <v>2.085</v>
      </c>
      <c r="B2087">
        <f>Uo*COS(2*PI()*Wn*Sheet2!A2087) + (Vo/Wn - (Po*(w/Wn))/(K*(1-(w/Wn)^2)))*SIN(2*PI()*Wn*Sheet2!A2087) +(Po*SIN(2*PI()*w*Sheet2!A2087))/(K*(1-(w/Wn)^2))</f>
        <v>19.998135146204362</v>
      </c>
      <c r="C2087">
        <f t="shared" si="130"/>
        <v>3.0239340752072996</v>
      </c>
      <c r="D2087">
        <f t="shared" si="131"/>
        <v>493.94403902503711</v>
      </c>
      <c r="R2087">
        <f t="shared" si="128"/>
        <v>2.085</v>
      </c>
      <c r="S2087">
        <f t="shared" si="129"/>
        <v>3.0239340752072996</v>
      </c>
    </row>
    <row r="2088" spans="1:19" x14ac:dyDescent="0.3">
      <c r="A2088">
        <v>2.0859999999999999</v>
      </c>
      <c r="B2088">
        <f>Uo*COS(2*PI()*Wn*Sheet2!A2088) + (Vo/Wn - (Po*(w/Wn))/(K*(1-(w/Wn)^2)))*SIN(2*PI()*Wn*Sheet2!A2088) +(Po*SIN(2*PI()*w*Sheet2!A2088))/(K*(1-(w/Wn)^2))</f>
        <v>19.999804769952906</v>
      </c>
      <c r="C2088">
        <f t="shared" si="130"/>
        <v>3.0267783737428591</v>
      </c>
      <c r="D2088">
        <f t="shared" si="131"/>
        <v>494.40864052490639</v>
      </c>
      <c r="R2088">
        <f t="shared" si="128"/>
        <v>2.0859999999999999</v>
      </c>
      <c r="S2088">
        <f t="shared" si="129"/>
        <v>3.0267783737428591</v>
      </c>
    </row>
    <row r="2089" spans="1:19" x14ac:dyDescent="0.3">
      <c r="A2089">
        <v>2.0870000000000002</v>
      </c>
      <c r="B2089">
        <f>Uo*COS(2*PI()*Wn*Sheet2!A2089) + (Vo/Wn - (Po*(w/Wn))/(K*(1-(w/Wn)^2)))*SIN(2*PI()*Wn*Sheet2!A2089) +(Po*SIN(2*PI()*w*Sheet2!A2089))/(K*(1-(w/Wn)^2))</f>
        <v>19.994940841604336</v>
      </c>
      <c r="C2089">
        <f t="shared" si="130"/>
        <v>3.0286296386751421</v>
      </c>
      <c r="D2089">
        <f t="shared" si="131"/>
        <v>494.71103510601006</v>
      </c>
      <c r="R2089">
        <f t="shared" si="128"/>
        <v>2.0870000000000002</v>
      </c>
      <c r="S2089">
        <f t="shared" si="129"/>
        <v>3.0286296386751421</v>
      </c>
    </row>
    <row r="2090" spans="1:19" x14ac:dyDescent="0.3">
      <c r="A2090">
        <v>2.0880000000000001</v>
      </c>
      <c r="B2090">
        <f>Uo*COS(2*PI()*Wn*Sheet2!A2090) + (Vo/Wn - (Po*(w/Wn))/(K*(1-(w/Wn)^2)))*SIN(2*PI()*Wn*Sheet2!A2090) +(Po*SIN(2*PI()*w*Sheet2!A2090))/(K*(1-(w/Wn)^2))</f>
        <v>19.983544950110627</v>
      </c>
      <c r="C2090">
        <f t="shared" si="130"/>
        <v>3.029489059021039</v>
      </c>
      <c r="D2090">
        <f t="shared" si="131"/>
        <v>494.85141698812612</v>
      </c>
      <c r="R2090">
        <f t="shared" si="128"/>
        <v>2.0880000000000001</v>
      </c>
      <c r="S2090">
        <f t="shared" si="129"/>
        <v>3.029489059021039</v>
      </c>
    </row>
    <row r="2091" spans="1:19" x14ac:dyDescent="0.3">
      <c r="A2091">
        <v>2.089</v>
      </c>
      <c r="B2091">
        <f>Uo*COS(2*PI()*Wn*Sheet2!A2091) + (Vo/Wn - (Po*(w/Wn))/(K*(1-(w/Wn)^2)))*SIN(2*PI()*Wn*Sheet2!A2091) +(Po*SIN(2*PI()*w*Sheet2!A2091))/(K*(1-(w/Wn)^2))</f>
        <v>19.965620818290667</v>
      </c>
      <c r="C2091">
        <f t="shared" si="130"/>
        <v>3.0293581453742138</v>
      </c>
      <c r="D2091">
        <f t="shared" si="131"/>
        <v>494.83003291894073</v>
      </c>
      <c r="R2091">
        <f t="shared" si="128"/>
        <v>2.089</v>
      </c>
      <c r="S2091">
        <f t="shared" si="129"/>
        <v>3.0293581453742138</v>
      </c>
    </row>
    <row r="2092" spans="1:19" x14ac:dyDescent="0.3">
      <c r="A2092">
        <v>2.09</v>
      </c>
      <c r="B2092">
        <f>Uo*COS(2*PI()*Wn*Sheet2!A2092) + (Vo/Wn - (Po*(w/Wn))/(K*(1-(w/Wn)^2)))*SIN(2*PI()*Wn*Sheet2!A2092) +(Po*SIN(2*PI()*w*Sheet2!A2092))/(K*(1-(w/Wn)^2))</f>
        <v>19.941174301614065</v>
      </c>
      <c r="C2092">
        <f t="shared" si="130"/>
        <v>3.0282387288313588</v>
      </c>
      <c r="D2092">
        <f t="shared" si="131"/>
        <v>494.64718199865689</v>
      </c>
      <c r="R2092">
        <f t="shared" si="128"/>
        <v>2.09</v>
      </c>
      <c r="S2092">
        <f t="shared" si="129"/>
        <v>3.0282387288313588</v>
      </c>
    </row>
    <row r="2093" spans="1:19" x14ac:dyDescent="0.3">
      <c r="A2093">
        <v>2.0910000000000002</v>
      </c>
      <c r="B2093">
        <f>Uo*COS(2*PI()*Wn*Sheet2!A2093) + (Vo/Wn - (Po*(w/Wn))/(K*(1-(w/Wn)^2)))*SIN(2*PI()*Wn*Sheet2!A2093) +(Po*SIN(2*PI()*w*Sheet2!A2093))/(K*(1-(w/Wn)^2))</f>
        <v>19.910213386288262</v>
      </c>
      <c r="C2093">
        <f t="shared" si="130"/>
        <v>3.026132959815778</v>
      </c>
      <c r="D2093">
        <f t="shared" si="131"/>
        <v>494.30321548783326</v>
      </c>
      <c r="R2093">
        <f t="shared" si="128"/>
        <v>2.0910000000000002</v>
      </c>
      <c r="S2093">
        <f t="shared" si="129"/>
        <v>3.026132959815778</v>
      </c>
    </row>
    <row r="2094" spans="1:19" x14ac:dyDescent="0.3">
      <c r="A2094">
        <v>2.0920000000000001</v>
      </c>
      <c r="B2094">
        <f>Uo*COS(2*PI()*Wn*Sheet2!A2094) + (Vo/Wn - (Po*(w/Wn))/(K*(1-(w/Wn)^2)))*SIN(2*PI()*Wn*Sheet2!A2094) +(Po*SIN(2*PI()*w*Sheet2!A2094))/(K*(1-(w/Wn)^2))</f>
        <v>19.872748186649702</v>
      </c>
      <c r="C2094">
        <f t="shared" si="130"/>
        <v>3.0230433067988796</v>
      </c>
      <c r="D2094">
        <f t="shared" si="131"/>
        <v>493.79853659854626</v>
      </c>
      <c r="R2094">
        <f t="shared" si="128"/>
        <v>2.0920000000000001</v>
      </c>
      <c r="S2094">
        <f t="shared" si="129"/>
        <v>3.0230433067988796</v>
      </c>
    </row>
    <row r="2095" spans="1:19" x14ac:dyDescent="0.3">
      <c r="A2095">
        <v>2.093</v>
      </c>
      <c r="B2095">
        <f>Uo*COS(2*PI()*Wn*Sheet2!A2095) + (Vo/Wn - (Po*(w/Wn))/(K*(1-(w/Wn)^2)))*SIN(2*PI()*Wn*Sheet2!A2095) +(Po*SIN(2*PI()*w*Sheet2!A2095))/(K*(1-(w/Wn)^2))</f>
        <v>19.828790941859502</v>
      </c>
      <c r="C2095">
        <f t="shared" si="130"/>
        <v>3.0189725549201474</v>
      </c>
      <c r="D2095">
        <f t="shared" si="131"/>
        <v>493.13360026896976</v>
      </c>
      <c r="R2095">
        <f t="shared" si="128"/>
        <v>2.093</v>
      </c>
      <c r="S2095">
        <f t="shared" si="129"/>
        <v>3.0189725549201474</v>
      </c>
    </row>
    <row r="2096" spans="1:19" x14ac:dyDescent="0.3">
      <c r="A2096">
        <v>2.0939999999999999</v>
      </c>
      <c r="B2096">
        <f>Uo*COS(2*PI()*Wn*Sheet2!A2096) + (Vo/Wn - (Po*(w/Wn))/(K*(1-(w/Wn)^2)))*SIN(2*PI()*Wn*Sheet2!A2096) +(Po*SIN(2*PI()*w*Sheet2!A2096))/(K*(1-(w/Wn)^2))</f>
        <v>19.778356011905313</v>
      </c>
      <c r="C2096">
        <f t="shared" si="130"/>
        <v>3.0139238045062791</v>
      </c>
      <c r="D2096">
        <f t="shared" si="131"/>
        <v>492.30891292148368</v>
      </c>
      <c r="R2096">
        <f t="shared" si="128"/>
        <v>2.0939999999999999</v>
      </c>
      <c r="S2096">
        <f t="shared" si="129"/>
        <v>3.0139238045062791</v>
      </c>
    </row>
    <row r="2097" spans="1:19" x14ac:dyDescent="0.3">
      <c r="A2097">
        <v>2.0950000000000002</v>
      </c>
      <c r="B2097">
        <f>Uo*COS(2*PI()*Wn*Sheet2!A2097) + (Vo/Wn - (Po*(w/Wn))/(K*(1-(w/Wn)^2)))*SIN(2*PI()*Wn*Sheet2!A2097) +(Po*SIN(2*PI()*w*Sheet2!A2097))/(K*(1-(w/Wn)^2))</f>
        <v>19.721459872910046</v>
      </c>
      <c r="C2097">
        <f t="shared" si="130"/>
        <v>3.0079004694901057</v>
      </c>
      <c r="D2097">
        <f t="shared" si="131"/>
        <v>491.32503220441293</v>
      </c>
      <c r="R2097">
        <f t="shared" si="128"/>
        <v>2.0950000000000002</v>
      </c>
      <c r="S2097">
        <f t="shared" si="129"/>
        <v>3.0079004694901057</v>
      </c>
    </row>
    <row r="2098" spans="1:19" x14ac:dyDescent="0.3">
      <c r="A2098">
        <v>2.0960000000000001</v>
      </c>
      <c r="B2098">
        <f>Uo*COS(2*PI()*Wn*Sheet2!A2098) + (Vo/Wn - (Po*(w/Wn))/(K*(1-(w/Wn)^2)))*SIN(2*PI()*Wn*Sheet2!A2098) +(Po*SIN(2*PI()*w*Sheet2!A2098))/(K*(1-(w/Wn)^2))</f>
        <v>19.658121111749573</v>
      </c>
      <c r="C2098">
        <f t="shared" si="130"/>
        <v>3.0009062757300193</v>
      </c>
      <c r="D2098">
        <f t="shared" si="131"/>
        <v>490.18256671751442</v>
      </c>
      <c r="R2098">
        <f t="shared" si="128"/>
        <v>2.0960000000000001</v>
      </c>
      <c r="S2098">
        <f t="shared" si="129"/>
        <v>3.0009062757300193</v>
      </c>
    </row>
    <row r="2099" spans="1:19" x14ac:dyDescent="0.3">
      <c r="A2099">
        <v>2.097</v>
      </c>
      <c r="B2099">
        <f>Uo*COS(2*PI()*Wn*Sheet2!A2099) + (Vo/Wn - (Po*(w/Wn))/(K*(1-(w/Wn)^2)))*SIN(2*PI()*Wn*Sheet2!A2099) +(Po*SIN(2*PI()*w*Sheet2!A2099))/(K*(1-(w/Wn)^2))</f>
        <v>19.588360419980688</v>
      </c>
      <c r="C2099">
        <f t="shared" si="130"/>
        <v>2.9929452592306163</v>
      </c>
      <c r="D2099">
        <f t="shared" si="131"/>
        <v>488.88217572132822</v>
      </c>
      <c r="R2099">
        <f t="shared" si="128"/>
        <v>2.097</v>
      </c>
      <c r="S2099">
        <f t="shared" si="129"/>
        <v>2.9929452592306163</v>
      </c>
    </row>
    <row r="2100" spans="1:19" x14ac:dyDescent="0.3">
      <c r="A2100">
        <v>2.0979999999999999</v>
      </c>
      <c r="B2100">
        <f>Uo*COS(2*PI()*Wn*Sheet2!A2100) + (Vo/Wn - (Po*(w/Wn))/(K*(1-(w/Wn)^2)))*SIN(2*PI()*Wn*Sheet2!A2100) +(Po*SIN(2*PI()*w*Sheet2!A2100))/(K*(1-(w/Wn)^2))</f>
        <v>19.51220058708153</v>
      </c>
      <c r="C2100">
        <f t="shared" si="130"/>
        <v>2.9840217642653388</v>
      </c>
      <c r="D2100">
        <f t="shared" si="131"/>
        <v>487.42456883052108</v>
      </c>
      <c r="R2100">
        <f t="shared" si="128"/>
        <v>2.0979999999999999</v>
      </c>
      <c r="S2100">
        <f t="shared" si="129"/>
        <v>2.9840217642653388</v>
      </c>
    </row>
    <row r="2101" spans="1:19" x14ac:dyDescent="0.3">
      <c r="A2101">
        <v>2.0990000000000002</v>
      </c>
      <c r="B2101">
        <f>Uo*COS(2*PI()*Wn*Sheet2!A2101) + (Vo/Wn - (Po*(w/Wn))/(K*(1-(w/Wn)^2)))*SIN(2*PI()*Wn*Sheet2!A2101) +(Po*SIN(2*PI()*w*Sheet2!A2101))/(K*(1-(w/Wn)^2))</f>
        <v>19.429666493006692</v>
      </c>
      <c r="C2101">
        <f t="shared" si="130"/>
        <v>2.9741404414018748</v>
      </c>
      <c r="D2101">
        <f t="shared" si="131"/>
        <v>485.81050569134527</v>
      </c>
      <c r="R2101">
        <f t="shared" si="128"/>
        <v>2.0990000000000002</v>
      </c>
      <c r="S2101">
        <f t="shared" si="129"/>
        <v>2.9741404414018748</v>
      </c>
    </row>
    <row r="2102" spans="1:19" x14ac:dyDescent="0.3">
      <c r="A2102">
        <v>2.1</v>
      </c>
      <c r="B2102">
        <f>Uo*COS(2*PI()*Wn*Sheet2!A2102) + (Vo/Wn - (Po*(w/Wn))/(K*(1-(w/Wn)^2)))*SIN(2*PI()*Wn*Sheet2!A2102) +(Po*SIN(2*PI()*w*Sheet2!A2102))/(K*(1-(w/Wn)^2))</f>
        <v>19.340785100059673</v>
      </c>
      <c r="C2102">
        <f t="shared" si="130"/>
        <v>2.9633062454312005</v>
      </c>
      <c r="D2102">
        <f t="shared" si="131"/>
        <v>484.04079564335859</v>
      </c>
      <c r="R2102">
        <f t="shared" si="128"/>
        <v>2.1</v>
      </c>
      <c r="S2102">
        <f t="shared" si="129"/>
        <v>2.9633062454312005</v>
      </c>
    </row>
    <row r="2103" spans="1:19" x14ac:dyDescent="0.3">
      <c r="A2103">
        <v>2.101</v>
      </c>
      <c r="B2103">
        <f>Uo*COS(2*PI()*Wn*Sheet2!A2103) + (Vo/Wn - (Po*(w/Wn))/(K*(1-(w/Wn)^2)))*SIN(2*PI()*Wn*Sheet2!A2103) +(Po*SIN(2*PI()*w*Sheet2!A2103))/(K*(1-(w/Wn)^2))</f>
        <v>19.245585444084366</v>
      </c>
      <c r="C2103">
        <f t="shared" si="130"/>
        <v>2.9515244332009876</v>
      </c>
      <c r="D2103">
        <f t="shared" si="131"/>
        <v>482.1162973655226</v>
      </c>
      <c r="R2103">
        <f t="shared" si="128"/>
        <v>2.101</v>
      </c>
      <c r="S2103">
        <f t="shared" si="129"/>
        <v>2.9515244332009876</v>
      </c>
    </row>
    <row r="2104" spans="1:19" x14ac:dyDescent="0.3">
      <c r="A2104">
        <v>2.1019999999999999</v>
      </c>
      <c r="B2104">
        <f>Uo*COS(2*PI()*Wn*Sheet2!A2104) + (Vo/Wn - (Po*(w/Wn))/(K*(1-(w/Wn)^2)))*SIN(2*PI()*Wn*Sheet2!A2104) +(Po*SIN(2*PI()*w*Sheet2!A2104))/(K*(1-(w/Wn)^2))</f>
        <v>19.144098624980021</v>
      </c>
      <c r="C2104">
        <f t="shared" si="130"/>
        <v>2.9388005613544128</v>
      </c>
      <c r="D2104">
        <f t="shared" si="131"/>
        <v>480.03791850684883</v>
      </c>
      <c r="R2104">
        <f t="shared" si="128"/>
        <v>2.1019999999999999</v>
      </c>
      <c r="S2104">
        <f t="shared" si="129"/>
        <v>2.9388005613544128</v>
      </c>
    </row>
    <row r="2105" spans="1:19" x14ac:dyDescent="0.3">
      <c r="A2105">
        <v>2.1030000000000002</v>
      </c>
      <c r="B2105">
        <f>Uo*COS(2*PI()*Wn*Sheet2!A2105) + (Vo/Wn - (Po*(w/Wn))/(K*(1-(w/Wn)^2)))*SIN(2*PI()*Wn*Sheet2!A2105) +(Po*SIN(2*PI()*w*Sheet2!A2105))/(K*(1-(w/Wn)^2))</f>
        <v>19.036357796541186</v>
      </c>
      <c r="C2105">
        <f t="shared" si="130"/>
        <v>2.9251404839751562</v>
      </c>
      <c r="D2105">
        <f t="shared" si="131"/>
        <v>477.80661530172125</v>
      </c>
      <c r="R2105">
        <f t="shared" si="128"/>
        <v>2.1030000000000002</v>
      </c>
      <c r="S2105">
        <f t="shared" si="129"/>
        <v>2.9251404839751562</v>
      </c>
    </row>
    <row r="2106" spans="1:19" x14ac:dyDescent="0.3">
      <c r="A2106">
        <v>2.1040000000000001</v>
      </c>
      <c r="B2106">
        <f>Uo*COS(2*PI()*Wn*Sheet2!A2106) + (Vo/Wn - (Po*(w/Wn))/(K*(1-(w/Wn)^2)))*SIN(2*PI()*Wn*Sheet2!A2106) +(Po*SIN(2*PI()*w*Sheet2!A2106))/(K*(1-(w/Wn)^2))</f>
        <v>18.922398155627249</v>
      </c>
      <c r="C2106">
        <f t="shared" si="130"/>
        <v>2.9105503501396059</v>
      </c>
      <c r="D2106">
        <f t="shared" si="131"/>
        <v>475.42339217006173</v>
      </c>
      <c r="R2106">
        <f t="shared" si="128"/>
        <v>2.1040000000000001</v>
      </c>
      <c r="S2106">
        <f t="shared" si="129"/>
        <v>2.9105503501396059</v>
      </c>
    </row>
    <row r="2107" spans="1:19" x14ac:dyDescent="0.3">
      <c r="A2107">
        <v>2.105</v>
      </c>
      <c r="B2107">
        <f>Uo*COS(2*PI()*Wn*Sheet2!A2107) + (Vo/Wn - (Po*(w/Wn))/(K*(1-(w/Wn)^2)))*SIN(2*PI()*Wn*Sheet2!A2107) +(Po*SIN(2*PI()*w*Sheet2!A2107))/(K*(1-(w/Wn)^2))</f>
        <v>18.802256930664207</v>
      </c>
      <c r="C2107">
        <f t="shared" si="130"/>
        <v>2.8950366013771602</v>
      </c>
      <c r="D2107">
        <f t="shared" si="131"/>
        <v>472.88930130248326</v>
      </c>
      <c r="R2107">
        <f t="shared" si="128"/>
        <v>2.105</v>
      </c>
      <c r="S2107">
        <f t="shared" si="129"/>
        <v>2.8950366013771602</v>
      </c>
    </row>
    <row r="2108" spans="1:19" x14ac:dyDescent="0.3">
      <c r="A2108">
        <v>2.1059999999999999</v>
      </c>
      <c r="B2108">
        <f>Uo*COS(2*PI()*Wn*Sheet2!A2108) + (Vo/Wn - (Po*(w/Wn))/(K*(1-(w/Wn)^2)))*SIN(2*PI()*Wn*Sheet2!A2108) +(Po*SIN(2*PI()*w*Sheet2!A2108))/(K*(1-(w/Wn)^2))</f>
        <v>18.675973369482751</v>
      </c>
      <c r="C2108">
        <f t="shared" si="130"/>
        <v>2.8786059690396981</v>
      </c>
      <c r="D2108">
        <f t="shared" si="131"/>
        <v>470.20544223060682</v>
      </c>
      <c r="R2108">
        <f t="shared" si="128"/>
        <v>2.1059999999999999</v>
      </c>
      <c r="S2108">
        <f t="shared" si="129"/>
        <v>2.8786059690396981</v>
      </c>
    </row>
    <row r="2109" spans="1:19" x14ac:dyDescent="0.3">
      <c r="A2109">
        <v>2.1070000000000002</v>
      </c>
      <c r="B2109">
        <f>Uo*COS(2*PI()*Wn*Sheet2!A2109) + (Vo/Wn - (Po*(w/Wn))/(K*(1-(w/Wn)^2)))*SIN(2*PI()*Wn*Sheet2!A2109) +(Po*SIN(2*PI()*w*Sheet2!A2109))/(K*(1-(w/Wn)^2))</f>
        <v>18.543588726496779</v>
      </c>
      <c r="C2109">
        <f t="shared" si="130"/>
        <v>2.8612654715811709</v>
      </c>
      <c r="D2109">
        <f t="shared" si="131"/>
        <v>467.37296138269642</v>
      </c>
      <c r="R2109">
        <f t="shared" si="128"/>
        <v>2.1070000000000002</v>
      </c>
      <c r="S2109">
        <f t="shared" si="129"/>
        <v>2.8612654715811709</v>
      </c>
    </row>
    <row r="2110" spans="1:19" x14ac:dyDescent="0.3">
      <c r="A2110">
        <v>2.1080000000000001</v>
      </c>
      <c r="B2110">
        <f>Uo*COS(2*PI()*Wn*Sheet2!A2110) + (Vo/Wn - (Po*(w/Wn))/(K*(1-(w/Wn)^2)))*SIN(2*PI()*Wn*Sheet2!A2110) +(Po*SIN(2*PI()*w*Sheet2!A2110))/(K*(1-(w/Wn)^2))</f>
        <v>18.405146249226753</v>
      </c>
      <c r="C2110">
        <f t="shared" si="130"/>
        <v>2.8430224117484815</v>
      </c>
      <c r="D2110">
        <f t="shared" si="131"/>
        <v>464.39305162480383</v>
      </c>
      <c r="R2110">
        <f t="shared" si="128"/>
        <v>2.1080000000000001</v>
      </c>
      <c r="S2110">
        <f t="shared" si="129"/>
        <v>2.8430224117484815</v>
      </c>
    </row>
    <row r="2111" spans="1:19" x14ac:dyDescent="0.3">
      <c r="A2111">
        <v>2.109</v>
      </c>
      <c r="B2111">
        <f>Uo*COS(2*PI()*Wn*Sheet2!A2111) + (Vo/Wn - (Po*(w/Wn))/(K*(1-(w/Wn)^2)))*SIN(2*PI()*Wn*Sheet2!A2111) +(Po*SIN(2*PI()*w*Sheet2!A2111))/(K*(1-(w/Wn)^2))</f>
        <v>18.260691164170872</v>
      </c>
      <c r="C2111">
        <f t="shared" si="130"/>
        <v>2.8238843736845198</v>
      </c>
      <c r="D2111">
        <f t="shared" si="131"/>
        <v>461.26695178756449</v>
      </c>
      <c r="R2111">
        <f t="shared" si="128"/>
        <v>2.109</v>
      </c>
      <c r="S2111">
        <f t="shared" si="129"/>
        <v>2.8238843736845198</v>
      </c>
    </row>
    <row r="2112" spans="1:19" x14ac:dyDescent="0.3">
      <c r="A2112">
        <v>2.11</v>
      </c>
      <c r="B2112">
        <f>Uo*COS(2*PI()*Wn*Sheet2!A2112) + (Vo/Wn - (Po*(w/Wn))/(K*(1-(w/Wn)^2)))*SIN(2*PI()*Wn*Sheet2!A2112) +(Po*SIN(2*PI()*w*Sheet2!A2112))/(K*(1-(w/Wn)^2))</f>
        <v>18.110270662031102</v>
      </c>
      <c r="C2112">
        <f t="shared" si="130"/>
        <v>2.803859219944695</v>
      </c>
      <c r="D2112">
        <f t="shared" si="131"/>
        <v>457.99594617886305</v>
      </c>
      <c r="R2112">
        <f t="shared" si="128"/>
        <v>2.11</v>
      </c>
      <c r="S2112">
        <f t="shared" si="129"/>
        <v>2.803859219944695</v>
      </c>
    </row>
    <row r="2113" spans="1:19" x14ac:dyDescent="0.3">
      <c r="A2113">
        <v>2.1110000000000002</v>
      </c>
      <c r="B2113">
        <f>Uo*COS(2*PI()*Wn*Sheet2!A2113) + (Vo/Wn - (Po*(w/Wn))/(K*(1-(w/Wn)^2)))*SIN(2*PI()*Wn*Sheet2!A2113) +(Po*SIN(2*PI()*w*Sheet2!A2113))/(K*(1-(w/Wn)^2))</f>
        <v>17.953933882296354</v>
      </c>
      <c r="C2113">
        <f t="shared" si="130"/>
        <v>2.7829550884279315</v>
      </c>
      <c r="D2113">
        <f t="shared" si="131"/>
        <v>454.5813640825279</v>
      </c>
      <c r="R2113">
        <f t="shared" ref="R2113:R2176" si="132">A2113</f>
        <v>2.1110000000000002</v>
      </c>
      <c r="S2113">
        <f t="shared" ref="S2113:S2176" si="133">C2113</f>
        <v>2.7829550884279315</v>
      </c>
    </row>
    <row r="2114" spans="1:19" x14ac:dyDescent="0.3">
      <c r="A2114">
        <v>2.1120000000000001</v>
      </c>
      <c r="B2114">
        <f>Uo*COS(2*PI()*Wn*Sheet2!A2114) + (Vo/Wn - (Po*(w/Wn))/(K*(1-(w/Wn)^2)))*SIN(2*PI()*Wn*Sheet2!A2114) +(Po*SIN(2*PI()*w*Sheet2!A2114))/(K*(1-(w/Wn)^2))</f>
        <v>17.791731897189983</v>
      </c>
      <c r="C2114">
        <f t="shared" ref="C2114:C2177" si="134">EXP(-zeta*Wn*A2114*2*PI())*($H$1*COS(wnD*2*PI()*A2114) + $H$2*SIN(wnD*2*PI()*A2114)) + $H$3*SIN(w*2*PI()*A2114) + $H$4*COS(w*2*PI()*A2114)</f>
        <v>2.7611803892233762</v>
      </c>
      <c r="D2114">
        <f t="shared" ref="D2114:D2177" si="135">K*C2114</f>
        <v>451.02457924325654</v>
      </c>
      <c r="R2114">
        <f t="shared" si="132"/>
        <v>2.1120000000000001</v>
      </c>
      <c r="S2114">
        <f t="shared" si="133"/>
        <v>2.7611803892233762</v>
      </c>
    </row>
    <row r="2115" spans="1:19" x14ac:dyDescent="0.3">
      <c r="A2115">
        <v>2.113</v>
      </c>
      <c r="B2115">
        <f>Uo*COS(2*PI()*Wn*Sheet2!A2115) + (Vo/Wn - (Po*(w/Wn))/(K*(1-(w/Wn)^2)))*SIN(2*PI()*Wn*Sheet2!A2115) +(Po*SIN(2*PI()*w*Sheet2!A2115))/(K*(1-(w/Wn)^2))</f>
        <v>17.623717694985306</v>
      </c>
      <c r="C2115">
        <f t="shared" si="134"/>
        <v>2.738543801373901</v>
      </c>
      <c r="D2115">
        <f t="shared" si="135"/>
        <v>447.32700933795087</v>
      </c>
      <c r="R2115">
        <f t="shared" si="132"/>
        <v>2.113</v>
      </c>
      <c r="S2115">
        <f t="shared" si="133"/>
        <v>2.738543801373901</v>
      </c>
    </row>
    <row r="2116" spans="1:19" x14ac:dyDescent="0.3">
      <c r="A2116">
        <v>2.1139999999999999</v>
      </c>
      <c r="B2116">
        <f>Uo*COS(2*PI()*Wn*Sheet2!A2116) + (Vo/Wn - (Po*(w/Wn))/(K*(1-(w/Wn)^2)))*SIN(2*PI()*Wn*Sheet2!A2116) +(Po*SIN(2*PI()*w*Sheet2!A2116))/(K*(1-(w/Wn)^2))</f>
        <v>17.449946162695124</v>
      </c>
      <c r="C2116">
        <f t="shared" si="134"/>
        <v>2.7150542695577289</v>
      </c>
      <c r="D2116">
        <f t="shared" si="135"/>
        <v>443.4901154336776</v>
      </c>
      <c r="R2116">
        <f t="shared" si="132"/>
        <v>2.1139999999999999</v>
      </c>
      <c r="S2116">
        <f t="shared" si="133"/>
        <v>2.7150542695577289</v>
      </c>
    </row>
    <row r="2117" spans="1:19" x14ac:dyDescent="0.3">
      <c r="A2117">
        <v>2.1150000000000002</v>
      </c>
      <c r="B2117">
        <f>Uo*COS(2*PI()*Wn*Sheet2!A2117) + (Vo/Wn - (Po*(w/Wn))/(K*(1-(w/Wn)^2)))*SIN(2*PI()*Wn*Sheet2!A2117) +(Po*SIN(2*PI()*w*Sheet2!A2117))/(K*(1-(w/Wn)^2))</f>
        <v>17.270474068141596</v>
      </c>
      <c r="C2117">
        <f t="shared" si="134"/>
        <v>2.6907210006893183</v>
      </c>
      <c r="D2117">
        <f t="shared" si="135"/>
        <v>439.51540143244034</v>
      </c>
      <c r="R2117">
        <f t="shared" si="132"/>
        <v>2.1150000000000002</v>
      </c>
      <c r="S2117">
        <f t="shared" si="133"/>
        <v>2.6907210006893183</v>
      </c>
    </row>
    <row r="2118" spans="1:19" x14ac:dyDescent="0.3">
      <c r="A2118">
        <v>2.1160000000000001</v>
      </c>
      <c r="B2118">
        <f>Uo*COS(2*PI()*Wn*Sheet2!A2118) + (Vo/Wn - (Po*(w/Wn))/(K*(1-(w/Wn)^2)))*SIN(2*PI()*Wn*Sheet2!A2118) +(Po*SIN(2*PI()*w*Sheet2!A2118))/(K*(1-(w/Wn)^2))</f>
        <v>17.085360041411107</v>
      </c>
      <c r="C2118">
        <f t="shared" si="134"/>
        <v>2.6655534604408162</v>
      </c>
      <c r="D2118">
        <f t="shared" si="135"/>
        <v>435.40441350297692</v>
      </c>
      <c r="R2118">
        <f t="shared" si="132"/>
        <v>2.1160000000000001</v>
      </c>
      <c r="S2118">
        <f t="shared" si="133"/>
        <v>2.6655534604408162</v>
      </c>
    </row>
    <row r="2119" spans="1:19" x14ac:dyDescent="0.3">
      <c r="A2119">
        <v>2.117</v>
      </c>
      <c r="B2119">
        <f>Uo*COS(2*PI()*Wn*Sheet2!A2119) + (Vo/Wn - (Po*(w/Wn))/(K*(1-(w/Wn)^2)))*SIN(2*PI()*Wn*Sheet2!A2119) +(Po*SIN(2*PI()*w*Sheet2!A2119))/(K*(1-(w/Wn)^2))</f>
        <v>16.894664555700704</v>
      </c>
      <c r="C2119">
        <f t="shared" si="134"/>
        <v>2.6395613696853126</v>
      </c>
      <c r="D2119">
        <f t="shared" si="135"/>
        <v>431.15873949978339</v>
      </c>
      <c r="R2119">
        <f t="shared" si="132"/>
        <v>2.117</v>
      </c>
      <c r="S2119">
        <f t="shared" si="133"/>
        <v>2.6395613696853126</v>
      </c>
    </row>
    <row r="2120" spans="1:19" x14ac:dyDescent="0.3">
      <c r="A2120">
        <v>2.1179999999999999</v>
      </c>
      <c r="B2120">
        <f>Uo*COS(2*PI()*Wn*Sheet2!A2120) + (Vo/Wn - (Po*(w/Wn))/(K*(1-(w/Wn)^2)))*SIN(2*PI()*Wn*Sheet2!A2120) +(Po*SIN(2*PI()*w*Sheet2!A2120))/(K*(1-(w/Wn)^2))</f>
        <v>16.698449907563159</v>
      </c>
      <c r="C2120">
        <f t="shared" si="134"/>
        <v>2.6127547008632472</v>
      </c>
      <c r="D2120">
        <f t="shared" si="135"/>
        <v>426.78000836958512</v>
      </c>
      <c r="R2120">
        <f t="shared" si="132"/>
        <v>2.1179999999999999</v>
      </c>
      <c r="S2120">
        <f t="shared" si="133"/>
        <v>2.6127547008632472</v>
      </c>
    </row>
    <row r="2121" spans="1:19" x14ac:dyDescent="0.3">
      <c r="A2121">
        <v>2.1190000000000002</v>
      </c>
      <c r="B2121">
        <f>Uo*COS(2*PI()*Wn*Sheet2!A2121) + (Vo/Wn - (Po*(w/Wn))/(K*(1-(w/Wn)^2)))*SIN(2*PI()*Wn*Sheet2!A2121) +(Po*SIN(2*PI()*w*Sheet2!A2121))/(K*(1-(w/Wn)^2))</f>
        <v>16.496780196555246</v>
      </c>
      <c r="C2121">
        <f t="shared" si="134"/>
        <v>2.5851436742732488</v>
      </c>
      <c r="D2121">
        <f t="shared" si="135"/>
        <v>422.26988954546471</v>
      </c>
      <c r="R2121">
        <f t="shared" si="132"/>
        <v>2.1190000000000002</v>
      </c>
      <c r="S2121">
        <f t="shared" si="133"/>
        <v>2.5851436742732488</v>
      </c>
    </row>
    <row r="2122" spans="1:19" x14ac:dyDescent="0.3">
      <c r="A2122">
        <v>2.12</v>
      </c>
      <c r="B2122">
        <f>Uo*COS(2*PI()*Wn*Sheet2!A2122) + (Vo/Wn - (Po*(w/Wn))/(K*(1-(w/Wn)^2)))*SIN(2*PI()*Wn*Sheet2!A2122) +(Po*SIN(2*PI()*w*Sheet2!A2122))/(K*(1-(w/Wn)^2))</f>
        <v>16.289721304298553</v>
      </c>
      <c r="C2122">
        <f t="shared" si="134"/>
        <v>2.5567387542888285</v>
      </c>
      <c r="D2122">
        <f t="shared" si="135"/>
        <v>417.63009232887833</v>
      </c>
      <c r="R2122">
        <f t="shared" si="132"/>
        <v>2.12</v>
      </c>
      <c r="S2122">
        <f t="shared" si="133"/>
        <v>2.5567387542888285</v>
      </c>
    </row>
    <row r="2123" spans="1:19" x14ac:dyDescent="0.3">
      <c r="A2123">
        <v>2.121</v>
      </c>
      <c r="B2123">
        <f>Uo*COS(2*PI()*Wn*Sheet2!A2123) + (Vo/Wn - (Po*(w/Wn))/(K*(1-(w/Wn)^2)))*SIN(2*PI()*Wn*Sheet2!A2123) +(Po*SIN(2*PI()*w*Sheet2!A2123))/(K*(1-(w/Wn)^2))</f>
        <v>16.077340872956189</v>
      </c>
      <c r="C2123">
        <f t="shared" si="134"/>
        <v>2.5275506455021408</v>
      </c>
      <c r="D2123">
        <f t="shared" si="135"/>
        <v>412.8623652597588</v>
      </c>
      <c r="R2123">
        <f t="shared" si="132"/>
        <v>2.121</v>
      </c>
      <c r="S2123">
        <f t="shared" si="133"/>
        <v>2.5275506455021408</v>
      </c>
    </row>
    <row r="2124" spans="1:19" x14ac:dyDescent="0.3">
      <c r="A2124">
        <v>2.1219999999999999</v>
      </c>
      <c r="B2124">
        <f>Uo*COS(2*PI()*Wn*Sheet2!A2124) + (Vo/Wn - (Po*(w/Wn))/(K*(1-(w/Wn)^2)))*SIN(2*PI()*Wn*Sheet2!A2124) +(Po*SIN(2*PI()*w*Sheet2!A2124))/(K*(1-(w/Wn)^2))</f>
        <v>15.859708283135962</v>
      </c>
      <c r="C2124">
        <f t="shared" si="134"/>
        <v>2.4975902887964012</v>
      </c>
      <c r="D2124">
        <f t="shared" si="135"/>
        <v>407.96849547496549</v>
      </c>
      <c r="R2124">
        <f t="shared" si="132"/>
        <v>2.1219999999999999</v>
      </c>
      <c r="S2124">
        <f t="shared" si="133"/>
        <v>2.4975902887964012</v>
      </c>
    </row>
    <row r="2125" spans="1:19" x14ac:dyDescent="0.3">
      <c r="A2125">
        <v>2.1230000000000002</v>
      </c>
      <c r="B2125">
        <f>Uo*COS(2*PI()*Wn*Sheet2!A2125) + (Vo/Wn - (Po*(w/Wn))/(K*(1-(w/Wn)^2)))*SIN(2*PI()*Wn*Sheet2!A2125) +(Po*SIN(2*PI()*w*Sheet2!A2125))/(K*(1-(w/Wn)^2))</f>
        <v>15.636894631225143</v>
      </c>
      <c r="C2125">
        <f t="shared" si="134"/>
        <v>2.4668688573482185</v>
      </c>
      <c r="D2125">
        <f t="shared" si="135"/>
        <v>402.9503080552858</v>
      </c>
      <c r="R2125">
        <f t="shared" si="132"/>
        <v>2.1230000000000002</v>
      </c>
      <c r="S2125">
        <f t="shared" si="133"/>
        <v>2.4668688573482185</v>
      </c>
    </row>
    <row r="2126" spans="1:19" x14ac:dyDescent="0.3">
      <c r="A2126">
        <v>2.1240000000000001</v>
      </c>
      <c r="B2126">
        <f>Uo*COS(2*PI()*Wn*Sheet2!A2126) + (Vo/Wn - (Po*(w/Wn))/(K*(1-(w/Wn)^2)))*SIN(2*PI()*Wn*Sheet2!A2126) +(Po*SIN(2*PI()*w*Sheet2!A2126))/(K*(1-(w/Wn)^2))</f>
        <v>15.408972706164485</v>
      </c>
      <c r="C2126">
        <f t="shared" si="134"/>
        <v>2.4353977525614154</v>
      </c>
      <c r="D2126">
        <f t="shared" si="135"/>
        <v>397.80966536124555</v>
      </c>
      <c r="R2126">
        <f t="shared" si="132"/>
        <v>2.1240000000000001</v>
      </c>
      <c r="S2126">
        <f t="shared" si="133"/>
        <v>2.4353977525614154</v>
      </c>
    </row>
    <row r="2127" spans="1:19" x14ac:dyDescent="0.3">
      <c r="A2127">
        <v>2.125</v>
      </c>
      <c r="B2127">
        <f>Uo*COS(2*PI()*Wn*Sheet2!A2127) + (Vo/Wn - (Po*(w/Wn))/(K*(1-(w/Wn)^2)))*SIN(2*PI()*Wn*Sheet2!A2127) +(Po*SIN(2*PI()*w*Sheet2!A2127))/(K*(1-(w/Wn)^2))</f>
        <v>15.176016965669202</v>
      </c>
      <c r="C2127">
        <f t="shared" si="134"/>
        <v>2.4031885999335012</v>
      </c>
      <c r="D2127">
        <f t="shared" si="135"/>
        <v>392.54846635791898</v>
      </c>
      <c r="R2127">
        <f t="shared" si="132"/>
        <v>2.125</v>
      </c>
      <c r="S2127">
        <f t="shared" si="133"/>
        <v>2.4031885999335012</v>
      </c>
    </row>
    <row r="2128" spans="1:19" x14ac:dyDescent="0.3">
      <c r="A2128">
        <v>2.1259999999999999</v>
      </c>
      <c r="B2128">
        <f>Uo*COS(2*PI()*Wn*Sheet2!A2128) + (Vo/Wn - (Po*(w/Wn))/(K*(1-(w/Wn)^2)))*SIN(2*PI()*Wn*Sheet2!A2128) +(Po*SIN(2*PI()*w*Sheet2!A2128))/(K*(1-(w/Wn)^2))</f>
        <v>14.938103511905689</v>
      </c>
      <c r="C2128">
        <f t="shared" si="134"/>
        <v>2.3702532448567326</v>
      </c>
      <c r="D2128">
        <f t="shared" si="135"/>
        <v>387.16864592905347</v>
      </c>
      <c r="R2128">
        <f t="shared" si="132"/>
        <v>2.1259999999999999</v>
      </c>
      <c r="S2128">
        <f t="shared" si="133"/>
        <v>2.3702532448567326</v>
      </c>
    </row>
    <row r="2129" spans="1:19" x14ac:dyDescent="0.3">
      <c r="A2129">
        <v>2.1269999999999998</v>
      </c>
      <c r="B2129">
        <f>Uo*COS(2*PI()*Wn*Sheet2!A2129) + (Vo/Wn - (Po*(w/Wn))/(K*(1-(w/Wn)^2)))*SIN(2*PI()*Wn*Sheet2!A2129) +(Po*SIN(2*PI()*w*Sheet2!A2129))/(K*(1-(w/Wn)^2))</f>
        <v>14.695310066629778</v>
      </c>
      <c r="C2129">
        <f t="shared" si="134"/>
        <v>2.3366037483547895</v>
      </c>
      <c r="D2129">
        <f t="shared" si="135"/>
        <v>381.67217418067742</v>
      </c>
      <c r="R2129">
        <f t="shared" si="132"/>
        <v>2.1269999999999998</v>
      </c>
      <c r="S2129">
        <f t="shared" si="133"/>
        <v>2.3366037483547895</v>
      </c>
    </row>
    <row r="2130" spans="1:19" x14ac:dyDescent="0.3">
      <c r="A2130">
        <v>2.1280000000000001</v>
      </c>
      <c r="B2130">
        <f>Uo*COS(2*PI()*Wn*Sheet2!A2130) + (Vo/Wn - (Po*(w/Wn))/(K*(1-(w/Wn)^2)))*SIN(2*PI()*Wn*Sheet2!A2130) +(Po*SIN(2*PI()*w*Sheet2!A2130))/(K*(1-(w/Wn)^2))</f>
        <v>14.447715945796691</v>
      </c>
      <c r="C2130">
        <f t="shared" si="134"/>
        <v>2.302252382756838</v>
      </c>
      <c r="D2130">
        <f t="shared" si="135"/>
        <v>376.06105573448087</v>
      </c>
      <c r="R2130">
        <f t="shared" si="132"/>
        <v>2.1280000000000001</v>
      </c>
      <c r="S2130">
        <f t="shared" si="133"/>
        <v>2.302252382756838</v>
      </c>
    </row>
    <row r="2131" spans="1:19" x14ac:dyDescent="0.3">
      <c r="A2131">
        <v>2.129</v>
      </c>
      <c r="B2131">
        <f>Uo*COS(2*PI()*Wn*Sheet2!A2131) + (Vo/Wn - (Po*(w/Wn))/(K*(1-(w/Wn)^2)))*SIN(2*PI()*Wn*Sheet2!A2131) +(Po*SIN(2*PI()*w*Sheet2!A2131))/(K*(1-(w/Wn)^2))</f>
        <v>14.19540203365074</v>
      </c>
      <c r="C2131">
        <f t="shared" si="134"/>
        <v>2.2672116273104921</v>
      </c>
      <c r="D2131">
        <f t="shared" si="135"/>
        <v>370.33732901121556</v>
      </c>
      <c r="R2131">
        <f t="shared" si="132"/>
        <v>2.129</v>
      </c>
      <c r="S2131">
        <f t="shared" si="133"/>
        <v>2.2672116273104921</v>
      </c>
    </row>
    <row r="2132" spans="1:19" x14ac:dyDescent="0.3">
      <c r="A2132">
        <v>2.13</v>
      </c>
      <c r="B2132">
        <f>Uo*COS(2*PI()*Wn*Sheet2!A2132) + (Vo/Wn - (Po*(w/Wn))/(K*(1-(w/Wn)^2)))*SIN(2*PI()*Wn*Sheet2!A2132) +(Po*SIN(2*PI()*w*Sheet2!A2132))/(K*(1-(w/Wn)^2))</f>
        <v>13.938450756300725</v>
      </c>
      <c r="C2132">
        <f t="shared" si="134"/>
        <v>2.2314941637350199</v>
      </c>
      <c r="D2132">
        <f t="shared" si="135"/>
        <v>364.50306550433373</v>
      </c>
      <c r="R2132">
        <f t="shared" si="132"/>
        <v>2.13</v>
      </c>
      <c r="S2132">
        <f t="shared" si="133"/>
        <v>2.2314941637350199</v>
      </c>
    </row>
    <row r="2133" spans="1:19" x14ac:dyDescent="0.3">
      <c r="A2133">
        <v>2.1309999999999998</v>
      </c>
      <c r="B2133">
        <f>Uo*COS(2*PI()*Wn*Sheet2!A2133) + (Vo/Wn - (Po*(w/Wn))/(K*(1-(w/Wn)^2)))*SIN(2*PI()*Wn*Sheet2!A2133) +(Po*SIN(2*PI()*w*Sheet2!A2133))/(K*(1-(w/Wn)^2))</f>
        <v>13.676946054794083</v>
      </c>
      <c r="C2133">
        <f t="shared" si="134"/>
        <v>2.195112871716657</v>
      </c>
      <c r="D2133">
        <f t="shared" si="135"/>
        <v>358.56036904417113</v>
      </c>
      <c r="R2133">
        <f t="shared" si="132"/>
        <v>2.1309999999999998</v>
      </c>
      <c r="S2133">
        <f t="shared" si="133"/>
        <v>2.195112871716657</v>
      </c>
    </row>
    <row r="2134" spans="1:19" x14ac:dyDescent="0.3">
      <c r="A2134">
        <v>2.1320000000000001</v>
      </c>
      <c r="B2134">
        <f>Uo*COS(2*PI()*Wn*Sheet2!A2134) + (Vo/Wn - (Po*(w/Wn))/(K*(1-(w/Wn)^2)))*SIN(2*PI()*Wn*Sheet2!A2134) +(Po*SIN(2*PI()*w*Sheet2!A2134))/(K*(1-(w/Wn)^2))</f>
        <v>13.410973357694074</v>
      </c>
      <c r="C2134">
        <f t="shared" si="134"/>
        <v>2.1580808243472829</v>
      </c>
      <c r="D2134">
        <f t="shared" si="135"/>
        <v>352.51137505287812</v>
      </c>
      <c r="R2134">
        <f t="shared" si="132"/>
        <v>2.1320000000000001</v>
      </c>
      <c r="S2134">
        <f t="shared" si="133"/>
        <v>2.1580808243472829</v>
      </c>
    </row>
    <row r="2135" spans="1:19" x14ac:dyDescent="0.3">
      <c r="A2135">
        <v>2.133</v>
      </c>
      <c r="B2135">
        <f>Uo*COS(2*PI()*Wn*Sheet2!A2135) + (Vo/Wn - (Po*(w/Wn))/(K*(1-(w/Wn)^2)))*SIN(2*PI()*Wn*Sheet2!A2135) +(Po*SIN(2*PI()*w*Sheet2!A2135))/(K*(1-(w/Wn)^2))</f>
        <v>13.140619553172598</v>
      </c>
      <c r="C2135">
        <f t="shared" si="134"/>
        <v>2.1204112835084312</v>
      </c>
      <c r="D2135">
        <f t="shared" si="135"/>
        <v>346.35824979042167</v>
      </c>
      <c r="R2135">
        <f t="shared" si="132"/>
        <v>2.133</v>
      </c>
      <c r="S2135">
        <f t="shared" si="133"/>
        <v>2.1204112835084312</v>
      </c>
    </row>
    <row r="2136" spans="1:19" x14ac:dyDescent="0.3">
      <c r="A2136">
        <v>2.1339999999999999</v>
      </c>
      <c r="B2136">
        <f>Uo*COS(2*PI()*Wn*Sheet2!A2136) + (Vo/Wn - (Po*(w/Wn))/(K*(1-(w/Wn)^2)))*SIN(2*PI()*Wn*Sheet2!A2136) +(Po*SIN(2*PI()*w*Sheet2!A2136))/(K*(1-(w/Wn)^2))</f>
        <v>12.865972960625223</v>
      </c>
      <c r="C2136">
        <f t="shared" si="134"/>
        <v>2.0821176952017417</v>
      </c>
      <c r="D2136">
        <f t="shared" si="135"/>
        <v>340.1031895918386</v>
      </c>
      <c r="R2136">
        <f t="shared" si="132"/>
        <v>2.1339999999999999</v>
      </c>
      <c r="S2136">
        <f t="shared" si="133"/>
        <v>2.0821176952017417</v>
      </c>
    </row>
    <row r="2137" spans="1:19" x14ac:dyDescent="0.3">
      <c r="A2137">
        <v>2.1349999999999998</v>
      </c>
      <c r="B2137">
        <f>Uo*COS(2*PI()*Wn*Sheet2!A2137) + (Vo/Wn - (Po*(w/Wn))/(K*(1-(w/Wn)^2)))*SIN(2*PI()*Wn*Sheet2!A2137) +(Po*SIN(2*PI()*w*Sheet2!A2137))/(K*(1-(w/Wn)^2))</f>
        <v>12.587123301818583</v>
      </c>
      <c r="C2137">
        <f t="shared" si="134"/>
        <v>2.043213684827959</v>
      </c>
      <c r="D2137">
        <f t="shared" si="135"/>
        <v>333.74842009608471</v>
      </c>
      <c r="R2137">
        <f t="shared" si="132"/>
        <v>2.1349999999999998</v>
      </c>
      <c r="S2137">
        <f t="shared" si="133"/>
        <v>2.043213684827959</v>
      </c>
    </row>
    <row r="2138" spans="1:19" x14ac:dyDescent="0.3">
      <c r="A2138">
        <v>2.1360000000000001</v>
      </c>
      <c r="B2138">
        <f>Uo*COS(2*PI()*Wn*Sheet2!A2138) + (Vo/Wn - (Po*(w/Wn))/(K*(1-(w/Wn)^2)))*SIN(2*PI()*Wn*Sheet2!A2138) +(Po*SIN(2*PI()*w*Sheet2!A2138))/(K*(1-(w/Wn)^2))</f>
        <v>12.304161671580667</v>
      </c>
      <c r="C2138">
        <f t="shared" si="134"/>
        <v>2.0037130524158004</v>
      </c>
      <c r="D2138">
        <f t="shared" si="135"/>
        <v>327.29619546669448</v>
      </c>
      <c r="R2138">
        <f t="shared" si="132"/>
        <v>2.1360000000000001</v>
      </c>
      <c r="S2138">
        <f t="shared" si="133"/>
        <v>2.0037130524158004</v>
      </c>
    </row>
    <row r="2139" spans="1:19" x14ac:dyDescent="0.3">
      <c r="A2139">
        <v>2.137</v>
      </c>
      <c r="B2139">
        <f>Uo*COS(2*PI()*Wn*Sheet2!A2139) + (Vo/Wn - (Po*(w/Wn))/(K*(1-(w/Wn)^2)))*SIN(2*PI()*Wn*Sheet2!A2139) +(Po*SIN(2*PI()*w*Sheet2!A2139))/(K*(1-(w/Wn)^2))</f>
        <v>12.01718050804155</v>
      </c>
      <c r="C2139">
        <f t="shared" si="134"/>
        <v>1.9636297678025432</v>
      </c>
      <c r="D2139">
        <f t="shared" si="135"/>
        <v>320.74879760455519</v>
      </c>
      <c r="R2139">
        <f t="shared" si="132"/>
        <v>2.137</v>
      </c>
      <c r="S2139">
        <f t="shared" si="133"/>
        <v>1.9636297678025432</v>
      </c>
    </row>
    <row r="2140" spans="1:19" x14ac:dyDescent="0.3">
      <c r="A2140">
        <v>2.1379999999999999</v>
      </c>
      <c r="B2140">
        <f>Uo*COS(2*PI()*Wn*Sheet2!A2140) + (Vo/Wn - (Po*(w/Wn))/(K*(1-(w/Wn)^2)))*SIN(2*PI()*Wn*Sheet2!A2140) +(Po*SIN(2*PI()*w*Sheet2!A2140))/(K*(1-(w/Wn)^2))</f>
        <v>11.726273562435306</v>
      </c>
      <c r="C2140">
        <f t="shared" si="134"/>
        <v>1.9229779657677279</v>
      </c>
      <c r="D2140">
        <f t="shared" si="135"/>
        <v>314.10853535302238</v>
      </c>
      <c r="R2140">
        <f t="shared" si="132"/>
        <v>2.1379999999999999</v>
      </c>
      <c r="S2140">
        <f t="shared" si="133"/>
        <v>1.9229779657677279</v>
      </c>
    </row>
    <row r="2141" spans="1:19" x14ac:dyDescent="0.3">
      <c r="A2141">
        <v>2.1389999999999998</v>
      </c>
      <c r="B2141">
        <f>Uo*COS(2*PI()*Wn*Sheet2!A2141) + (Vo/Wn - (Po*(w/Wn))/(K*(1-(w/Wn)^2)))*SIN(2*PI()*Wn*Sheet2!A2141) +(Po*SIN(2*PI()*w*Sheet2!A2141))/(K*(1-(w/Wn)^2))</f>
        <v>11.431535868474063</v>
      </c>
      <c r="C2141">
        <f t="shared" si="134"/>
        <v>1.881771941121974</v>
      </c>
      <c r="D2141">
        <f t="shared" si="135"/>
        <v>307.37774369570303</v>
      </c>
      <c r="R2141">
        <f t="shared" si="132"/>
        <v>2.1389999999999998</v>
      </c>
      <c r="S2141">
        <f t="shared" si="133"/>
        <v>1.881771941121974</v>
      </c>
    </row>
    <row r="2142" spans="1:19" x14ac:dyDescent="0.3">
      <c r="A2142">
        <v>2.14</v>
      </c>
      <c r="B2142">
        <f>Uo*COS(2*PI()*Wn*Sheet2!A2142) + (Vo/Wn - (Po*(w/Wn))/(K*(1-(w/Wn)^2)))*SIN(2*PI()*Wn*Sheet2!A2142) +(Po*SIN(2*PI()*w*Sheet2!A2142))/(K*(1-(w/Wn)^2))</f>
        <v>11.133063711301279</v>
      </c>
      <c r="C2142">
        <f t="shared" si="134"/>
        <v>1.8400261437523364</v>
      </c>
      <c r="D2142">
        <f t="shared" si="135"/>
        <v>300.5587829471404</v>
      </c>
      <c r="R2142">
        <f t="shared" si="132"/>
        <v>2.14</v>
      </c>
      <c r="S2142">
        <f t="shared" si="133"/>
        <v>1.8400261437523364</v>
      </c>
    </row>
    <row r="2143" spans="1:19" x14ac:dyDescent="0.3">
      <c r="A2143">
        <v>2.141</v>
      </c>
      <c r="B2143">
        <f>Uo*COS(2*PI()*Wn*Sheet2!A2143) + (Vo/Wn - (Po*(w/Wn))/(K*(1-(w/Wn)^2)))*SIN(2*PI()*Wn*Sheet2!A2143) +(Po*SIN(2*PI()*w*Sheet2!A2143))/(K*(1-(w/Wn)^2))</f>
        <v>10.830954596038644</v>
      </c>
      <c r="C2143">
        <f t="shared" si="134"/>
        <v>1.7977551736261137</v>
      </c>
      <c r="D2143">
        <f t="shared" si="135"/>
        <v>293.65403793671163</v>
      </c>
      <c r="R2143">
        <f t="shared" si="132"/>
        <v>2.141</v>
      </c>
      <c r="S2143">
        <f t="shared" si="133"/>
        <v>1.7977551736261137</v>
      </c>
    </row>
    <row r="2144" spans="1:19" x14ac:dyDescent="0.3">
      <c r="A2144">
        <v>2.1419999999999999</v>
      </c>
      <c r="B2144">
        <f>Uo*COS(2*PI()*Wn*Sheet2!A2144) + (Vo/Wn - (Po*(w/Wn))/(K*(1-(w/Wn)^2)))*SIN(2*PI()*Wn*Sheet2!A2144) +(Po*SIN(2*PI()*w*Sheet2!A2144))/(K*(1-(w/Wn)^2))</f>
        <v>10.525307215931498</v>
      </c>
      <c r="C2144">
        <f t="shared" si="134"/>
        <v>1.7549737757544412</v>
      </c>
      <c r="D2144">
        <f t="shared" si="135"/>
        <v>286.66591718595674</v>
      </c>
      <c r="R2144">
        <f t="shared" si="132"/>
        <v>2.1419999999999999</v>
      </c>
      <c r="S2144">
        <f t="shared" si="133"/>
        <v>1.7549737757544412</v>
      </c>
    </row>
    <row r="2145" spans="1:19" x14ac:dyDescent="0.3">
      <c r="A2145">
        <v>2.1429999999999998</v>
      </c>
      <c r="B2145">
        <f>Uo*COS(2*PI()*Wn*Sheet2!A2145) + (Vo/Wn - (Po*(w/Wn))/(K*(1-(w/Wn)^2)))*SIN(2*PI()*Wn*Sheet2!A2145) +(Po*SIN(2*PI()*w*Sheet2!A2145))/(K*(1-(w/Wn)^2))</f>
        <v>10.216221420108461</v>
      </c>
      <c r="C2145">
        <f t="shared" si="134"/>
        <v>1.7116968351179709</v>
      </c>
      <c r="D2145">
        <f t="shared" si="135"/>
        <v>279.59685207971444</v>
      </c>
      <c r="R2145">
        <f t="shared" si="132"/>
        <v>2.1429999999999998</v>
      </c>
      <c r="S2145">
        <f t="shared" si="133"/>
        <v>1.7116968351179709</v>
      </c>
    </row>
    <row r="2146" spans="1:19" x14ac:dyDescent="0.3">
      <c r="A2146">
        <v>2.1440000000000001</v>
      </c>
      <c r="B2146">
        <f>Uo*COS(2*PI()*Wn*Sheet2!A2146) + (Vo/Wn - (Po*(w/Wn))/(K*(1-(w/Wn)^2)))*SIN(2*PI()*Wn*Sheet2!A2146) +(Po*SIN(2*PI()*w*Sheet2!A2146))/(K*(1-(w/Wn)^2))</f>
        <v>9.9037981809627631</v>
      </c>
      <c r="C2146">
        <f t="shared" si="134"/>
        <v>1.6679393715557658</v>
      </c>
      <c r="D2146">
        <f t="shared" si="135"/>
        <v>272.44929603124973</v>
      </c>
      <c r="R2146">
        <f t="shared" si="132"/>
        <v>2.1440000000000001</v>
      </c>
      <c r="S2146">
        <f t="shared" si="133"/>
        <v>1.6679393715557658</v>
      </c>
    </row>
    <row r="2147" spans="1:19" x14ac:dyDescent="0.3">
      <c r="A2147">
        <v>2.145</v>
      </c>
      <c r="B2147">
        <f>Uo*COS(2*PI()*Wn*Sheet2!A2147) + (Vo/Wn - (Po*(w/Wn))/(K*(1-(w/Wn)^2)))*SIN(2*PI()*Wn*Sheet2!A2147) +(Po*SIN(2*PI()*w*Sheet2!A2147))/(K*(1-(w/Wn)^2))</f>
        <v>9.5881395611662867</v>
      </c>
      <c r="C2147">
        <f t="shared" si="134"/>
        <v>1.6237165346195943</v>
      </c>
      <c r="D2147">
        <f t="shared" si="135"/>
        <v>265.22572364172908</v>
      </c>
      <c r="R2147">
        <f t="shared" si="132"/>
        <v>2.145</v>
      </c>
      <c r="S2147">
        <f t="shared" si="133"/>
        <v>1.6237165346195943</v>
      </c>
    </row>
    <row r="2148" spans="1:19" x14ac:dyDescent="0.3">
      <c r="A2148">
        <v>2.1459999999999999</v>
      </c>
      <c r="B2148">
        <f>Uo*COS(2*PI()*Wn*Sheet2!A2148) + (Vo/Wn - (Po*(w/Wn))/(K*(1-(w/Wn)^2)))*SIN(2*PI()*Wn*Sheet2!A2148) +(Po*SIN(2*PI()*w*Sheet2!A2148))/(K*(1-(w/Wn)^2))</f>
        <v>9.2693486803272496</v>
      </c>
      <c r="C2148">
        <f t="shared" si="134"/>
        <v>1.5790435983949924</v>
      </c>
      <c r="D2148">
        <f t="shared" si="135"/>
        <v>257.9286298542678</v>
      </c>
      <c r="R2148">
        <f t="shared" si="132"/>
        <v>2.1459999999999999</v>
      </c>
      <c r="S2148">
        <f t="shared" si="133"/>
        <v>1.5790435983949924</v>
      </c>
    </row>
    <row r="2149" spans="1:19" x14ac:dyDescent="0.3">
      <c r="A2149">
        <v>2.1469999999999998</v>
      </c>
      <c r="B2149">
        <f>Uo*COS(2*PI()*Wn*Sheet2!A2149) + (Vo/Wn - (Po*(w/Wn))/(K*(1-(w/Wn)^2)))*SIN(2*PI()*Wn*Sheet2!A2149) +(Po*SIN(2*PI()*w*Sheet2!A2149))/(K*(1-(w/Wn)^2))</f>
        <v>8.9475296813038963</v>
      </c>
      <c r="C2149">
        <f t="shared" si="134"/>
        <v>1.5339359562911994</v>
      </c>
      <c r="D2149">
        <f t="shared" si="135"/>
        <v>250.56052910289279</v>
      </c>
      <c r="R2149">
        <f t="shared" si="132"/>
        <v>2.1469999999999998</v>
      </c>
      <c r="S2149">
        <f t="shared" si="133"/>
        <v>1.5339359562911994</v>
      </c>
    </row>
    <row r="2150" spans="1:19" x14ac:dyDescent="0.3">
      <c r="A2150">
        <v>2.1480000000000001</v>
      </c>
      <c r="B2150">
        <f>Uo*COS(2*PI()*Wn*Sheet2!A2150) + (Vo/Wn - (Po*(w/Wn))/(K*(1-(w/Wn)^2)))*SIN(2*PI()*Wn*Sheet2!A2150) +(Po*SIN(2*PI()*w*Sheet2!A2150))/(K*(1-(w/Wn)^2))</f>
        <v>8.6227876961818914</v>
      </c>
      <c r="C2150">
        <f t="shared" si="134"/>
        <v>1.4884091158014592</v>
      </c>
      <c r="D2150">
        <f t="shared" si="135"/>
        <v>243.12395445666499</v>
      </c>
      <c r="R2150">
        <f t="shared" si="132"/>
        <v>2.1480000000000001</v>
      </c>
      <c r="S2150">
        <f t="shared" si="133"/>
        <v>1.4884091158014592</v>
      </c>
    </row>
    <row r="2151" spans="1:19" x14ac:dyDescent="0.3">
      <c r="A2151">
        <v>2.149</v>
      </c>
      <c r="B2151">
        <f>Uo*COS(2*PI()*Wn*Sheet2!A2151) + (Vo/Wn - (Po*(w/Wn))/(K*(1-(w/Wn)^2)))*SIN(2*PI()*Wn*Sheet2!A2151) +(Po*SIN(2*PI()*w*Sheet2!A2151))/(K*(1-(w/Wn)^2))</f>
        <v>8.2952288119312065</v>
      </c>
      <c r="C2151">
        <f t="shared" si="134"/>
        <v>1.4424786932356664</v>
      </c>
      <c r="D2151">
        <f t="shared" si="135"/>
        <v>235.62145675928409</v>
      </c>
      <c r="R2151">
        <f t="shared" si="132"/>
        <v>2.149</v>
      </c>
      <c r="S2151">
        <f t="shared" si="133"/>
        <v>1.4424786932356664</v>
      </c>
    </row>
    <row r="2152" spans="1:19" x14ac:dyDescent="0.3">
      <c r="A2152">
        <v>2.15</v>
      </c>
      <c r="B2152">
        <f>Uo*COS(2*PI()*Wn*Sheet2!A2152) + (Vo/Wn - (Po*(w/Wn))/(K*(1-(w/Wn)^2)))*SIN(2*PI()*Wn*Sheet2!A2152) +(Po*SIN(2*PI()*w*Sheet2!A2152))/(K*(1-(w/Wn)^2))</f>
        <v>7.9649600357478958</v>
      </c>
      <c r="C2152">
        <f t="shared" si="134"/>
        <v>1.3961604084267472</v>
      </c>
      <c r="D2152">
        <f t="shared" si="135"/>
        <v>228.0556037644032</v>
      </c>
      <c r="R2152">
        <f t="shared" si="132"/>
        <v>2.15</v>
      </c>
      <c r="S2152">
        <f t="shared" si="133"/>
        <v>1.3961604084267472</v>
      </c>
    </row>
    <row r="2153" spans="1:19" x14ac:dyDescent="0.3">
      <c r="A2153">
        <v>2.1509999999999998</v>
      </c>
      <c r="B2153">
        <f>Uo*COS(2*PI()*Wn*Sheet2!A2153) + (Vo/Wn - (Po*(w/Wn))/(K*(1-(w/Wn)^2)))*SIN(2*PI()*Wn*Sheet2!A2153) +(Po*SIN(2*PI()*w*Sheet2!A2153))/(K*(1-(w/Wn)^2))</f>
        <v>7.6320892600977839</v>
      </c>
      <c r="C2153">
        <f t="shared" si="134"/>
        <v>1.3494700794131602</v>
      </c>
      <c r="D2153">
        <f t="shared" si="135"/>
        <v>220.42897926704273</v>
      </c>
      <c r="R2153">
        <f t="shared" si="132"/>
        <v>2.1509999999999998</v>
      </c>
      <c r="S2153">
        <f t="shared" si="133"/>
        <v>1.3494700794131602</v>
      </c>
    </row>
    <row r="2154" spans="1:19" x14ac:dyDescent="0.3">
      <c r="A2154">
        <v>2.1520000000000001</v>
      </c>
      <c r="B2154">
        <f>Uo*COS(2*PI()*Wn*Sheet2!A2154) + (Vo/Wn - (Po*(w/Wn))/(K*(1-(w/Wn)^2)))*SIN(2*PI()*Wn*Sheet2!A2154) +(Po*SIN(2*PI()*w*Sheet2!A2154))/(K*(1-(w/Wn)^2))</f>
        <v>7.2967252274702057</v>
      </c>
      <c r="C2154">
        <f t="shared" si="134"/>
        <v>1.3024236170986669</v>
      </c>
      <c r="D2154">
        <f t="shared" si="135"/>
        <v>212.74418223129157</v>
      </c>
      <c r="R2154">
        <f t="shared" si="132"/>
        <v>2.1520000000000001</v>
      </c>
      <c r="S2154">
        <f t="shared" si="133"/>
        <v>1.3024236170986669</v>
      </c>
    </row>
    <row r="2155" spans="1:19" x14ac:dyDescent="0.3">
      <c r="A2155">
        <v>2.153</v>
      </c>
      <c r="B2155">
        <f>Uo*COS(2*PI()*Wn*Sheet2!A2155) + (Vo/Wn - (Po*(w/Wn))/(K*(1-(w/Wn)^2)))*SIN(2*PI()*Wn*Sheet2!A2155) +(Po*SIN(2*PI()*w*Sheet2!A2155))/(K*(1-(w/Wn)^2))</f>
        <v>6.9589774948536673</v>
      </c>
      <c r="C2155">
        <f t="shared" si="134"/>
        <v>1.2550370198916316</v>
      </c>
      <c r="D2155">
        <f t="shared" si="135"/>
        <v>205.00382591466422</v>
      </c>
      <c r="R2155">
        <f t="shared" si="132"/>
        <v>2.153</v>
      </c>
      <c r="S2155">
        <f t="shared" si="133"/>
        <v>1.2550370198916316</v>
      </c>
    </row>
    <row r="2156" spans="1:19" x14ac:dyDescent="0.3">
      <c r="A2156">
        <v>2.1539999999999999</v>
      </c>
      <c r="B2156">
        <f>Uo*COS(2*PI()*Wn*Sheet2!A2156) + (Vo/Wn - (Po*(w/Wn))/(K*(1-(w/Wn)^2)))*SIN(2*PI()*Wn*Sheet2!A2156) +(Po*SIN(2*PI()*w*Sheet2!A2156))/(K*(1-(w/Wn)^2))</f>
        <v>6.6189563979452828</v>
      </c>
      <c r="C2156">
        <f t="shared" si="134"/>
        <v>1.2073263683252433</v>
      </c>
      <c r="D2156">
        <f t="shared" si="135"/>
        <v>197.21053698934182</v>
      </c>
      <c r="R2156">
        <f t="shared" si="132"/>
        <v>2.1539999999999999</v>
      </c>
      <c r="S2156">
        <f t="shared" si="133"/>
        <v>1.2073263683252433</v>
      </c>
    </row>
    <row r="2157" spans="1:19" x14ac:dyDescent="0.3">
      <c r="A2157">
        <v>2.1549999999999998</v>
      </c>
      <c r="B2157">
        <f>Uo*COS(2*PI()*Wn*Sheet2!A2157) + (Vo/Wn - (Po*(w/Wn))/(K*(1-(w/Wn)^2)))*SIN(2*PI()*Wn*Sheet2!A2157) +(Po*SIN(2*PI()*w*Sheet2!A2157))/(K*(1-(w/Wn)^2))</f>
        <v>6.2767730151071497</v>
      </c>
      <c r="C2157">
        <f t="shared" si="134"/>
        <v>1.1593078196608255</v>
      </c>
      <c r="D2157">
        <f t="shared" si="135"/>
        <v>189.36695466065072</v>
      </c>
      <c r="R2157">
        <f t="shared" si="132"/>
        <v>2.1549999999999998</v>
      </c>
      <c r="S2157">
        <f t="shared" si="133"/>
        <v>1.1593078196608255</v>
      </c>
    </row>
    <row r="2158" spans="1:19" x14ac:dyDescent="0.3">
      <c r="A2158">
        <v>2.1560000000000001</v>
      </c>
      <c r="B2158">
        <f>Uo*COS(2*PI()*Wn*Sheet2!A2158) + (Vo/Wn - (Po*(w/Wn))/(K*(1-(w/Wn)^2)))*SIN(2*PI()*Wn*Sheet2!A2158) +(Po*SIN(2*PI()*w*Sheet2!A2158))/(K*(1-(w/Wn)^2))</f>
        <v>5.9325391310779771</v>
      </c>
      <c r="C2158">
        <f t="shared" si="134"/>
        <v>1.1109976024757444</v>
      </c>
      <c r="D2158">
        <f t="shared" si="135"/>
        <v>181.47572978302509</v>
      </c>
      <c r="R2158">
        <f t="shared" si="132"/>
        <v>2.1560000000000001</v>
      </c>
      <c r="S2158">
        <f t="shared" si="133"/>
        <v>1.1109976024757444</v>
      </c>
    </row>
    <row r="2159" spans="1:19" x14ac:dyDescent="0.3">
      <c r="A2159">
        <v>2.157</v>
      </c>
      <c r="B2159">
        <f>Uo*COS(2*PI()*Wn*Sheet2!A2159) + (Vo/Wn - (Po*(w/Wn))/(K*(1-(w/Wn)^2)))*SIN(2*PI()*Wn*Sheet2!A2159) +(Po*SIN(2*PI()*w*Sheet2!A2159))/(K*(1-(w/Wn)^2))</f>
        <v>5.5863672004567766</v>
      </c>
      <c r="C2159">
        <f t="shared" si="134"/>
        <v>1.0624120112379434</v>
      </c>
      <c r="D2159">
        <f t="shared" si="135"/>
        <v>173.53952397378509</v>
      </c>
      <c r="R2159">
        <f t="shared" si="132"/>
        <v>2.157</v>
      </c>
      <c r="S2159">
        <f t="shared" si="133"/>
        <v>1.0624120112379434</v>
      </c>
    </row>
    <row r="2160" spans="1:19" x14ac:dyDescent="0.3">
      <c r="A2160">
        <v>2.1579999999999999</v>
      </c>
      <c r="B2160">
        <f>Uo*COS(2*PI()*Wn*Sheet2!A2160) + (Vo/Wn - (Po*(w/Wn))/(K*(1-(w/Wn)^2)))*SIN(2*PI()*Wn*Sheet2!A2160) +(Po*SIN(2*PI()*w*Sheet2!A2160))/(K*(1-(w/Wn)^2))</f>
        <v>5.2383703109643491</v>
      </c>
      <c r="C2160">
        <f t="shared" si="134"/>
        <v>1.0135674008684845</v>
      </c>
      <c r="D2160">
        <f t="shared" si="135"/>
        <v>165.56100872495622</v>
      </c>
      <c r="R2160">
        <f t="shared" si="132"/>
        <v>2.1579999999999999</v>
      </c>
      <c r="S2160">
        <f t="shared" si="133"/>
        <v>1.0135674008684845</v>
      </c>
    </row>
    <row r="2161" spans="1:19" x14ac:dyDescent="0.3">
      <c r="A2161">
        <v>2.1589999999999998</v>
      </c>
      <c r="B2161">
        <f>Uo*COS(2*PI()*Wn*Sheet2!A2161) + (Vo/Wn - (Po*(w/Wn))/(K*(1-(w/Wn)^2)))*SIN(2*PI()*Wn*Sheet2!A2161) +(Po*SIN(2*PI()*w*Sheet2!A2161))/(K*(1-(w/Wn)^2))</f>
        <v>4.8886621465006366</v>
      </c>
      <c r="C2161">
        <f t="shared" si="134"/>
        <v>0.96448018129455604</v>
      </c>
      <c r="D2161">
        <f t="shared" si="135"/>
        <v>157.54286451353093</v>
      </c>
      <c r="R2161">
        <f t="shared" si="132"/>
        <v>2.1589999999999998</v>
      </c>
      <c r="S2161">
        <f t="shared" si="133"/>
        <v>0.96448018129455604</v>
      </c>
    </row>
    <row r="2162" spans="1:19" x14ac:dyDescent="0.3">
      <c r="A2162">
        <v>2.16</v>
      </c>
      <c r="B2162">
        <f>Uo*COS(2*PI()*Wn*Sheet2!A2162) + (Vo/Wn - (Po*(w/Wn))/(K*(1-(w/Wn)^2)))*SIN(2*PI()*Wn*Sheet2!A2162) +(Po*SIN(2*PI()*w*Sheet2!A2162))/(K*(1-(w/Wn)^2))</f>
        <v>4.5373569500065249</v>
      </c>
      <c r="C2162">
        <f t="shared" si="134"/>
        <v>0.91516681199406125</v>
      </c>
      <c r="D2162">
        <f t="shared" si="135"/>
        <v>149.48777991035556</v>
      </c>
      <c r="R2162">
        <f t="shared" si="132"/>
        <v>2.16</v>
      </c>
      <c r="S2162">
        <f t="shared" si="133"/>
        <v>0.91516681199406125</v>
      </c>
    </row>
    <row r="2163" spans="1:19" x14ac:dyDescent="0.3">
      <c r="A2163">
        <v>2.161</v>
      </c>
      <c r="B2163">
        <f>Uo*COS(2*PI()*Wn*Sheet2!A2163) + (Vo/Wn - (Po*(w/Wn))/(K*(1-(w/Wn)^2)))*SIN(2*PI()*Wn*Sheet2!A2163) +(Po*SIN(2*PI()*w*Sheet2!A2163))/(K*(1-(w/Wn)^2))</f>
        <v>4.1845694861424541</v>
      </c>
      <c r="C2163">
        <f t="shared" si="134"/>
        <v>0.86564379653409673</v>
      </c>
      <c r="D2163">
        <f t="shared" si="135"/>
        <v>141.39845068801881</v>
      </c>
      <c r="R2163">
        <f t="shared" si="132"/>
        <v>2.161</v>
      </c>
      <c r="S2163">
        <f t="shared" si="133"/>
        <v>0.86564379653409673</v>
      </c>
    </row>
    <row r="2164" spans="1:19" x14ac:dyDescent="0.3">
      <c r="A2164">
        <v>2.1619999999999999</v>
      </c>
      <c r="B2164">
        <f>Uo*COS(2*PI()*Wn*Sheet2!A2164) + (Vo/Wn - (Po*(w/Wn))/(K*(1-(w/Wn)^2)))*SIN(2*PI()*Wn*Sheet2!A2164) +(Po*SIN(2*PI()*w*Sheet2!A2164))/(K*(1-(w/Wn)^2))</f>
        <v>3.8304150037972846</v>
      </c>
      <c r="C2164">
        <f t="shared" si="134"/>
        <v>0.81592767710469072</v>
      </c>
      <c r="D2164">
        <f t="shared" si="135"/>
        <v>133.27757892796615</v>
      </c>
      <c r="R2164">
        <f t="shared" si="132"/>
        <v>2.1619999999999999</v>
      </c>
      <c r="S2164">
        <f t="shared" si="133"/>
        <v>0.81592767710469072</v>
      </c>
    </row>
    <row r="2165" spans="1:19" x14ac:dyDescent="0.3">
      <c r="A2165">
        <v>2.1629999999999998</v>
      </c>
      <c r="B2165">
        <f>Uo*COS(2*PI()*Wn*Sheet2!A2165) + (Vo/Wn - (Po*(w/Wn))/(K*(1-(w/Wn)^2)))*SIN(2*PI()*Wn*Sheet2!A2165) +(Po*SIN(2*PI()*w*Sheet2!A2165))/(K*(1-(w/Wn)^2))</f>
        <v>3.4750091984382792</v>
      </c>
      <c r="C2165">
        <f t="shared" si="134"/>
        <v>0.76603502904999732</v>
      </c>
      <c r="D2165">
        <f t="shared" si="135"/>
        <v>125.12787212719851</v>
      </c>
      <c r="R2165">
        <f t="shared" si="132"/>
        <v>2.1629999999999998</v>
      </c>
      <c r="S2165">
        <f t="shared" si="133"/>
        <v>0.76603502904999732</v>
      </c>
    </row>
    <row r="2166" spans="1:19" x14ac:dyDescent="0.3">
      <c r="A2166">
        <v>2.1640000000000001</v>
      </c>
      <c r="B2166">
        <f>Uo*COS(2*PI()*Wn*Sheet2!A2166) + (Vo/Wn - (Po*(w/Wn))/(K*(1-(w/Wn)^2)))*SIN(2*PI()*Wn*Sheet2!A2166) +(Po*SIN(2*PI()*w*Sheet2!A2166))/(K*(1-(w/Wn)^2))</f>
        <v>3.1184681743157561</v>
      </c>
      <c r="C2166">
        <f t="shared" si="134"/>
        <v>0.71598245539843153</v>
      </c>
      <c r="D2166">
        <f t="shared" si="135"/>
        <v>116.95204230479814</v>
      </c>
      <c r="R2166">
        <f t="shared" si="132"/>
        <v>2.1640000000000001</v>
      </c>
      <c r="S2166">
        <f t="shared" si="133"/>
        <v>0.71598245539843153</v>
      </c>
    </row>
    <row r="2167" spans="1:19" x14ac:dyDescent="0.3">
      <c r="A2167">
        <v>2.165</v>
      </c>
      <c r="B2167">
        <f>Uo*COS(2*PI()*Wn*Sheet2!A2167) + (Vo/Wn - (Po*(w/Wn))/(K*(1-(w/Wn)^2)))*SIN(2*PI()*Wn*Sheet2!A2167) +(Po*SIN(2*PI()*w*Sheet2!A2167))/(K*(1-(w/Wn)^2))</f>
        <v>2.7609084065350413</v>
      </c>
      <c r="C2167">
        <f t="shared" si="134"/>
        <v>0.66578658139376523</v>
      </c>
      <c r="D2167">
        <f t="shared" si="135"/>
        <v>108.75280510861124</v>
      </c>
      <c r="R2167">
        <f t="shared" si="132"/>
        <v>2.165</v>
      </c>
      <c r="S2167">
        <f t="shared" si="133"/>
        <v>0.66578658139376523</v>
      </c>
    </row>
    <row r="2168" spans="1:19" x14ac:dyDescent="0.3">
      <c r="A2168">
        <v>2.1659999999999999</v>
      </c>
      <c r="B2168">
        <f>Uo*COS(2*PI()*Wn*Sheet2!A2168) + (Vo/Wn - (Po*(w/Wn))/(K*(1-(w/Wn)^2)))*SIN(2*PI()*Wn*Sheet2!A2168) +(Po*SIN(2*PI()*w*Sheet2!A2168))/(K*(1-(w/Wn)^2))</f>
        <v>2.4024467030046068</v>
      </c>
      <c r="C2168">
        <f t="shared" si="134"/>
        <v>0.6154640490286668</v>
      </c>
      <c r="D2168">
        <f t="shared" si="135"/>
        <v>100.53287892232991</v>
      </c>
      <c r="R2168">
        <f t="shared" si="132"/>
        <v>2.1659999999999999</v>
      </c>
      <c r="S2168">
        <f t="shared" si="133"/>
        <v>0.6154640490286668</v>
      </c>
    </row>
    <row r="2169" spans="1:19" x14ac:dyDescent="0.3">
      <c r="A2169">
        <v>2.1669999999999998</v>
      </c>
      <c r="B2169">
        <f>Uo*COS(2*PI()*Wn*Sheet2!A2169) + (Vo/Wn - (Po*(w/Wn))/(K*(1-(w/Wn)^2)))*SIN(2*PI()*Wn*Sheet2!A2169) +(Po*SIN(2*PI()*w*Sheet2!A2169))/(K*(1-(w/Wn)^2))</f>
        <v>2.0432001662781496</v>
      </c>
      <c r="C2169">
        <f t="shared" si="134"/>
        <v>0.56503151158274811</v>
      </c>
      <c r="D2169">
        <f t="shared" si="135"/>
        <v>92.294983973310309</v>
      </c>
      <c r="R2169">
        <f t="shared" si="132"/>
        <v>2.1669999999999998</v>
      </c>
      <c r="S2169">
        <f t="shared" si="133"/>
        <v>0.56503151158274811</v>
      </c>
    </row>
    <row r="2170" spans="1:19" x14ac:dyDescent="0.3">
      <c r="A2170">
        <v>2.1680000000000001</v>
      </c>
      <c r="B2170">
        <f>Uo*COS(2*PI()*Wn*Sheet2!A2170) + (Vo/Wn - (Po*(w/Wn))/(K*(1-(w/Wn)^2)))*SIN(2*PI()*Wn*Sheet2!A2170) +(Po*SIN(2*PI()*w*Sheet2!A2170))/(K*(1-(w/Wn)^2))</f>
        <v>1.6832861552995806</v>
      </c>
      <c r="C2170">
        <f t="shared" si="134"/>
        <v>0.51450562816686651</v>
      </c>
      <c r="D2170">
        <f t="shared" si="135"/>
        <v>84.041841441412402</v>
      </c>
      <c r="R2170">
        <f t="shared" si="132"/>
        <v>2.1680000000000001</v>
      </c>
      <c r="S2170">
        <f t="shared" si="133"/>
        <v>0.51450562816686651</v>
      </c>
    </row>
    <row r="2171" spans="1:19" x14ac:dyDescent="0.3">
      <c r="A2171">
        <v>2.169</v>
      </c>
      <c r="B2171">
        <f>Uo*COS(2*PI()*Wn*Sheet2!A2171) + (Vo/Wn - (Po*(w/Wn))/(K*(1-(w/Wn)^2)))*SIN(2*PI()*Wn*Sheet2!A2171) +(Po*SIN(2*PI()*w*Sheet2!A2171))/(K*(1-(w/Wn)^2))</f>
        <v>1.3228222470636883</v>
      </c>
      <c r="C2171">
        <f t="shared" si="134"/>
        <v>0.46390305827530015</v>
      </c>
      <c r="D2171">
        <f t="shared" si="135"/>
        <v>75.776172569126047</v>
      </c>
      <c r="R2171">
        <f t="shared" si="132"/>
        <v>2.169</v>
      </c>
      <c r="S2171">
        <f t="shared" si="133"/>
        <v>0.46390305827530015</v>
      </c>
    </row>
    <row r="2172" spans="1:19" x14ac:dyDescent="0.3">
      <c r="A2172">
        <v>2.17</v>
      </c>
      <c r="B2172">
        <f>Uo*COS(2*PI()*Wn*Sheet2!A2172) + (Vo/Wn - (Po*(w/Wn))/(K*(1-(w/Wn)^2)))*SIN(2*PI()*Wn*Sheet2!A2172) +(Po*SIN(2*PI()*w*Sheet2!A2172))/(K*(1-(w/Wn)^2))</f>
        <v>0.9619261982062759</v>
      </c>
      <c r="C2172">
        <f t="shared" si="134"/>
        <v>0.41324045634753509</v>
      </c>
      <c r="D2172">
        <f t="shared" si="135"/>
        <v>67.500697773266808</v>
      </c>
      <c r="R2172">
        <f t="shared" si="132"/>
        <v>2.17</v>
      </c>
      <c r="S2172">
        <f t="shared" si="133"/>
        <v>0.41324045634753509</v>
      </c>
    </row>
    <row r="2173" spans="1:19" x14ac:dyDescent="0.3">
      <c r="A2173">
        <v>2.1709999999999998</v>
      </c>
      <c r="B2173">
        <f>Uo*COS(2*PI()*Wn*Sheet2!A2173) + (Vo/Wn - (Po*(w/Wn))/(K*(1-(w/Wn)^2)))*SIN(2*PI()*Wn*Sheet2!A2173) +(Po*SIN(2*PI()*w*Sheet2!A2173))/(K*(1-(w/Wn)^2))</f>
        <v>0.6007159065349037</v>
      </c>
      <c r="C2173">
        <f t="shared" si="134"/>
        <v>0.36253446634169934</v>
      </c>
      <c r="D2173">
        <f t="shared" si="135"/>
        <v>59.218135758574512</v>
      </c>
      <c r="R2173">
        <f t="shared" si="132"/>
        <v>2.1709999999999998</v>
      </c>
      <c r="S2173">
        <f t="shared" si="133"/>
        <v>0.36253446634169934</v>
      </c>
    </row>
    <row r="2174" spans="1:19" x14ac:dyDescent="0.3">
      <c r="A2174">
        <v>2.1720000000000002</v>
      </c>
      <c r="B2174">
        <f>Uo*COS(2*PI()*Wn*Sheet2!A2174) + (Vo/Wn - (Po*(w/Wn))/(K*(1-(w/Wn)^2)))*SIN(2*PI()*Wn*Sheet2!A2174) +(Po*SIN(2*PI()*w*Sheet2!A2174))/(K*(1-(w/Wn)^2))</f>
        <v>0.23930937251408191</v>
      </c>
      <c r="C2174">
        <f t="shared" si="134"/>
        <v>0.31180171632110182</v>
      </c>
      <c r="D2174">
        <f t="shared" si="135"/>
        <v>50.931202633452202</v>
      </c>
      <c r="R2174">
        <f t="shared" si="132"/>
        <v>2.1720000000000002</v>
      </c>
      <c r="S2174">
        <f t="shared" si="133"/>
        <v>0.31180171632110182</v>
      </c>
    </row>
    <row r="2175" spans="1:19" x14ac:dyDescent="0.3">
      <c r="A2175">
        <v>2.173</v>
      </c>
      <c r="B2175">
        <f>Uo*COS(2*PI()*Wn*Sheet2!A2175) + (Vo/Wn - (Po*(w/Wn))/(K*(1-(w/Wn)^2)))*SIN(2*PI()*Wn*Sheet2!A2175) +(Po*SIN(2*PI()*w*Sheet2!A2175))/(K*(1-(w/Wn)^2))</f>
        <v>-0.12217533928222069</v>
      </c>
      <c r="C2175">
        <f t="shared" si="134"/>
        <v>0.26105881305585193</v>
      </c>
      <c r="D2175">
        <f t="shared" si="135"/>
        <v>42.642611028168595</v>
      </c>
      <c r="R2175">
        <f t="shared" si="132"/>
        <v>2.173</v>
      </c>
      <c r="S2175">
        <f t="shared" si="133"/>
        <v>0.26105881305585193</v>
      </c>
    </row>
    <row r="2176" spans="1:19" x14ac:dyDescent="0.3">
      <c r="A2176">
        <v>2.1739999999999999</v>
      </c>
      <c r="B2176">
        <f>Uo*COS(2*PI()*Wn*Sheet2!A2176) + (Vo/Wn - (Po*(w/Wn))/(K*(1-(w/Wn)^2)))*SIN(2*PI()*Wn*Sheet2!A2176) +(Po*SIN(2*PI()*w*Sheet2!A2176))/(K*(1-(w/Wn)^2))</f>
        <v>-0.48362013874170984</v>
      </c>
      <c r="C2176">
        <f t="shared" si="134"/>
        <v>0.21032233664099831</v>
      </c>
      <c r="D2176">
        <f t="shared" si="135"/>
        <v>34.355069215758768</v>
      </c>
      <c r="R2176">
        <f t="shared" si="132"/>
        <v>2.1739999999999999</v>
      </c>
      <c r="S2176">
        <f t="shared" si="133"/>
        <v>0.21032233664099831</v>
      </c>
    </row>
    <row r="2177" spans="1:19" x14ac:dyDescent="0.3">
      <c r="A2177">
        <v>2.1749999999999998</v>
      </c>
      <c r="B2177">
        <f>Uo*COS(2*PI()*Wn*Sheet2!A2177) + (Vo/Wn - (Po*(w/Wn))/(K*(1-(w/Wn)^2)))*SIN(2*PI()*Wn*Sheet2!A2177) +(Po*SIN(2*PI()*w*Sheet2!A2177))/(K*(1-(w/Wn)^2))</f>
        <v>-0.84490694879054296</v>
      </c>
      <c r="C2177">
        <f t="shared" si="134"/>
        <v>0.15960883513319352</v>
      </c>
      <c r="D2177">
        <f t="shared" si="135"/>
        <v>26.071280235951004</v>
      </c>
      <c r="R2177">
        <f t="shared" ref="R2177:R2240" si="136">A2177</f>
        <v>2.1749999999999998</v>
      </c>
      <c r="S2177">
        <f t="shared" ref="S2177:S2240" si="137">C2177</f>
        <v>0.15960883513319352</v>
      </c>
    </row>
    <row r="2178" spans="1:19" x14ac:dyDescent="0.3">
      <c r="A2178">
        <v>2.1760000000000002</v>
      </c>
      <c r="B2178">
        <f>Uo*COS(2*PI()*Wn*Sheet2!A2178) + (Vo/Wn - (Po*(w/Wn))/(K*(1-(w/Wn)^2)))*SIN(2*PI()*Wn*Sheet2!A2178) +(Po*SIN(2*PI()*w*Sheet2!A2178))/(K*(1-(w/Wn)^2))</f>
        <v>-1.2059177439666995</v>
      </c>
      <c r="C2178">
        <f t="shared" ref="C2178:C2241" si="138">EXP(-zeta*Wn*A2178*2*PI())*($H$1*COS(wnD*2*PI()*A2178) + $H$2*SIN(wnD*2*PI()*A2178)) + $H$3*SIN(w*2*PI()*A2178) + $H$4*COS(w*2*PI()*A2178)</f>
        <v>0.10893481920757857</v>
      </c>
      <c r="D2178">
        <f t="shared" ref="D2178:D2241" si="139">K*C2178</f>
        <v>17.793941022396421</v>
      </c>
      <c r="R2178">
        <f t="shared" si="136"/>
        <v>2.1760000000000002</v>
      </c>
      <c r="S2178">
        <f t="shared" si="137"/>
        <v>0.10893481920757857</v>
      </c>
    </row>
    <row r="2179" spans="1:19" x14ac:dyDescent="0.3">
      <c r="A2179">
        <v>2.177</v>
      </c>
      <c r="B2179">
        <f>Uo*COS(2*PI()*Wn*Sheet2!A2179) + (Vo/Wn - (Po*(w/Wn))/(K*(1-(w/Wn)^2)))*SIN(2*PI()*Wn*Sheet2!A2179) +(Po*SIN(2*PI()*w*Sheet2!A2179))/(K*(1-(w/Wn)^2))</f>
        <v>-1.5665345889770588</v>
      </c>
      <c r="C2179">
        <f t="shared" si="138"/>
        <v>5.8316756836439346E-2</v>
      </c>
      <c r="D2179">
        <f t="shared" si="139"/>
        <v>9.5257415334549282</v>
      </c>
      <c r="R2179">
        <f t="shared" si="136"/>
        <v>2.177</v>
      </c>
      <c r="S2179">
        <f t="shared" si="137"/>
        <v>5.8316756836439346E-2</v>
      </c>
    </row>
    <row r="2180" spans="1:19" x14ac:dyDescent="0.3">
      <c r="A2180">
        <v>2.1779999999999999</v>
      </c>
      <c r="B2180">
        <f>Uo*COS(2*PI()*Wn*Sheet2!A2180) + (Vo/Wn - (Po*(w/Wn))/(K*(1-(w/Wn)^2)))*SIN(2*PI()*Wn*Sheet2!A2180) +(Po*SIN(2*PI()*w*Sheet2!A2180))/(K*(1-(w/Wn)^2))</f>
        <v>-1.9266396772243111</v>
      </c>
      <c r="C2180">
        <f t="shared" si="138"/>
        <v>7.7710679913091862E-3</v>
      </c>
      <c r="D2180">
        <f t="shared" si="139"/>
        <v>1.2693638868110253</v>
      </c>
      <c r="R2180">
        <f t="shared" si="136"/>
        <v>2.1779999999999999</v>
      </c>
      <c r="S2180">
        <f t="shared" si="137"/>
        <v>7.7710679913091862E-3</v>
      </c>
    </row>
    <row r="2181" spans="1:19" x14ac:dyDescent="0.3">
      <c r="A2181">
        <v>2.1789999999999998</v>
      </c>
      <c r="B2181">
        <f>Uo*COS(2*PI()*Wn*Sheet2!A2181) + (Vo/Wn - (Po*(w/Wn))/(K*(1-(w/Wn)^2)))*SIN(2*PI()*Wn*Sheet2!A2181) +(Po*SIN(2*PI()*w*Sheet2!A2181))/(K*(1-(w/Wn)^2))</f>
        <v>-2.2861153692925362</v>
      </c>
      <c r="C2181">
        <f t="shared" si="138"/>
        <v>-4.2685880629515331E-2</v>
      </c>
      <c r="D2181">
        <f t="shared" si="139"/>
        <v>-6.9725185017593336</v>
      </c>
      <c r="R2181">
        <f t="shared" si="136"/>
        <v>2.1789999999999998</v>
      </c>
      <c r="S2181">
        <f t="shared" si="137"/>
        <v>-4.2685880629515331E-2</v>
      </c>
    </row>
    <row r="2182" spans="1:19" x14ac:dyDescent="0.3">
      <c r="A2182">
        <v>2.1800000000000002</v>
      </c>
      <c r="B2182">
        <f>Uo*COS(2*PI()*Wn*Sheet2!A2182) + (Vo/Wn - (Po*(w/Wn))/(K*(1-(w/Wn)^2)))*SIN(2*PI()*Wn*Sheet2!A2182) +(Po*SIN(2*PI()*w*Sheet2!A2182))/(K*(1-(w/Wn)^2))</f>
        <v>-2.6448442313775971</v>
      </c>
      <c r="C2182">
        <f t="shared" si="138"/>
        <v>-9.3037780846668597E-2</v>
      </c>
      <c r="D2182">
        <f t="shared" si="139"/>
        <v>-15.197241775245825</v>
      </c>
      <c r="R2182">
        <f t="shared" si="136"/>
        <v>2.1800000000000002</v>
      </c>
      <c r="S2182">
        <f t="shared" si="137"/>
        <v>-9.3037780846668597E-2</v>
      </c>
    </row>
    <row r="2183" spans="1:19" x14ac:dyDescent="0.3">
      <c r="A2183">
        <v>2.181</v>
      </c>
      <c r="B2183">
        <f>Uo*COS(2*PI()*Wn*Sheet2!A2183) + (Vo/Wn - (Po*(w/Wn))/(K*(1-(w/Wn)^2)))*SIN(2*PI()*Wn*Sheet2!A2183) +(Po*SIN(2*PI()*w*Sheet2!A2183))/(K*(1-(w/Wn)^2))</f>
        <v>-3.0027090736495223</v>
      </c>
      <c r="C2183">
        <f t="shared" si="138"/>
        <v>-0.14326838821671981</v>
      </c>
      <c r="D2183">
        <f t="shared" si="139"/>
        <v>-23.402152487574437</v>
      </c>
      <c r="R2183">
        <f t="shared" si="136"/>
        <v>2.181</v>
      </c>
      <c r="S2183">
        <f t="shared" si="137"/>
        <v>-0.14326838821671981</v>
      </c>
    </row>
    <row r="2184" spans="1:19" x14ac:dyDescent="0.3">
      <c r="A2184">
        <v>2.1819999999999999</v>
      </c>
      <c r="B2184">
        <f>Uo*COS(2*PI()*Wn*Sheet2!A2184) + (Vo/Wn - (Po*(w/Wn))/(K*(1-(w/Wn)^2)))*SIN(2*PI()*Wn*Sheet2!A2184) +(Po*SIN(2*PI()*w*Sheet2!A2184))/(K*(1-(w/Wn)^2))</f>
        <v>-3.3595929885380049</v>
      </c>
      <c r="C2184">
        <f t="shared" si="138"/>
        <v>-0.19336152721914956</v>
      </c>
      <c r="D2184">
        <f t="shared" si="139"/>
        <v>-31.584608450873358</v>
      </c>
      <c r="R2184">
        <f t="shared" si="136"/>
        <v>2.1819999999999999</v>
      </c>
      <c r="S2184">
        <f t="shared" si="137"/>
        <v>-0.19336152721914956</v>
      </c>
    </row>
    <row r="2185" spans="1:19" x14ac:dyDescent="0.3">
      <c r="A2185">
        <v>2.1829999999999998</v>
      </c>
      <c r="B2185">
        <f>Uo*COS(2*PI()*Wn*Sheet2!A2185) + (Vo/Wn - (Po*(w/Wn))/(K*(1-(w/Wn)^2)))*SIN(2*PI()*Wn*Sheet2!A2185) +(Po*SIN(2*PI()*w*Sheet2!A2185))/(K*(1-(w/Wn)^2))</f>
        <v>-3.7153793889221722</v>
      </c>
      <c r="C2185">
        <f t="shared" si="138"/>
        <v>-0.24330109641124875</v>
      </c>
      <c r="D2185">
        <f t="shared" si="139"/>
        <v>-39.741979577499109</v>
      </c>
      <c r="R2185">
        <f t="shared" si="136"/>
        <v>2.1829999999999998</v>
      </c>
      <c r="S2185">
        <f t="shared" si="137"/>
        <v>-0.24330109641124875</v>
      </c>
    </row>
    <row r="2186" spans="1:19" x14ac:dyDescent="0.3">
      <c r="A2186">
        <v>2.1840000000000002</v>
      </c>
      <c r="B2186">
        <f>Uo*COS(2*PI()*Wn*Sheet2!A2186) + (Vo/Wn - (Po*(w/Wn))/(K*(1-(w/Wn)^2)))*SIN(2*PI()*Wn*Sheet2!A2186) +(Po*SIN(2*PI()*w*Sheet2!A2186))/(K*(1-(w/Wn)^2))</f>
        <v>-4.0699520462186207</v>
      </c>
      <c r="C2186">
        <f t="shared" si="138"/>
        <v>-0.29307107354974576</v>
      </c>
      <c r="D2186">
        <f t="shared" si="139"/>
        <v>-47.87164871662798</v>
      </c>
      <c r="R2186">
        <f t="shared" si="136"/>
        <v>2.1840000000000002</v>
      </c>
      <c r="S2186">
        <f t="shared" si="137"/>
        <v>-0.29307107354974576</v>
      </c>
    </row>
    <row r="2187" spans="1:19" x14ac:dyDescent="0.3">
      <c r="A2187">
        <v>2.1850000000000001</v>
      </c>
      <c r="B2187">
        <f>Uo*COS(2*PI()*Wn*Sheet2!A2187) + (Vo/Wn - (Po*(w/Wn))/(K*(1-(w/Wn)^2)))*SIN(2*PI()*Wn*Sheet2!A2187) +(Po*SIN(2*PI()*w*Sheet2!A2187))/(K*(1-(w/Wn)^2))</f>
        <v>-4.4231951283500823</v>
      </c>
      <c r="C2187">
        <f t="shared" si="138"/>
        <v>-0.34265552067702187</v>
      </c>
      <c r="D2187">
        <f t="shared" si="139"/>
        <v>-55.971012485063028</v>
      </c>
      <c r="R2187">
        <f t="shared" si="136"/>
        <v>2.1850000000000001</v>
      </c>
      <c r="S2187">
        <f t="shared" si="137"/>
        <v>-0.34265552067702187</v>
      </c>
    </row>
    <row r="2188" spans="1:19" x14ac:dyDescent="0.3">
      <c r="A2188">
        <v>2.1859999999999999</v>
      </c>
      <c r="B2188">
        <f>Uo*COS(2*PI()*Wn*Sheet2!A2188) + (Vo/Wn - (Po*(w/Wn))/(K*(1-(w/Wn)^2)))*SIN(2*PI()*Wn*Sheet2!A2188) +(Po*SIN(2*PI()*w*Sheet2!A2188))/(K*(1-(w/Wn)^2))</f>
        <v>-4.7749932375859609</v>
      </c>
      <c r="C2188">
        <f t="shared" si="138"/>
        <v>-0.39203858917102469</v>
      </c>
      <c r="D2188">
        <f t="shared" si="139"/>
        <v>-64.037482092111475</v>
      </c>
      <c r="R2188">
        <f t="shared" si="136"/>
        <v>2.1859999999999999</v>
      </c>
      <c r="S2188">
        <f t="shared" si="137"/>
        <v>-0.39203858917102469</v>
      </c>
    </row>
    <row r="2189" spans="1:19" x14ac:dyDescent="0.3">
      <c r="A2189">
        <v>2.1869999999999998</v>
      </c>
      <c r="B2189">
        <f>Uo*COS(2*PI()*Wn*Sheet2!A2189) + (Vo/Wn - (Po*(w/Wn))/(K*(1-(w/Wn)^2)))*SIN(2*PI()*Wn*Sheet2!A2189) +(Po*SIN(2*PI()*w*Sheet2!A2189))/(K*(1-(w/Wn)^2))</f>
        <v>-5.1252314482408314</v>
      </c>
      <c r="C2189">
        <f t="shared" si="138"/>
        <v>-0.44120452475660998</v>
      </c>
      <c r="D2189">
        <f t="shared" si="139"/>
        <v>-72.068484158161468</v>
      </c>
      <c r="R2189">
        <f t="shared" si="136"/>
        <v>2.1869999999999998</v>
      </c>
      <c r="S2189">
        <f t="shared" si="137"/>
        <v>-0.44120452475660998</v>
      </c>
    </row>
    <row r="2190" spans="1:19" x14ac:dyDescent="0.3">
      <c r="A2190">
        <v>2.1880000000000002</v>
      </c>
      <c r="B2190">
        <f>Uo*COS(2*PI()*Wn*Sheet2!A2190) + (Vo/Wn - (Po*(w/Wn))/(K*(1-(w/Wn)^2)))*SIN(2*PI()*Wn*Sheet2!A2190) +(Po*SIN(2*PI()*w*Sheet2!A2190))/(K*(1-(w/Wn)^2))</f>
        <v>-5.4737953442183072</v>
      </c>
      <c r="C2190">
        <f t="shared" si="138"/>
        <v>-0.49013767247717682</v>
      </c>
      <c r="D2190">
        <f t="shared" si="139"/>
        <v>-80.061461526773115</v>
      </c>
      <c r="R2190">
        <f t="shared" si="136"/>
        <v>2.1880000000000002</v>
      </c>
      <c r="S2190">
        <f t="shared" si="137"/>
        <v>-0.49013767247717682</v>
      </c>
    </row>
    <row r="2191" spans="1:19" x14ac:dyDescent="0.3">
      <c r="A2191">
        <v>2.1890000000000001</v>
      </c>
      <c r="B2191">
        <f>Uo*COS(2*PI()*Wn*Sheet2!A2191) + (Vo/Wn - (Po*(w/Wn))/(K*(1-(w/Wn)^2)))*SIN(2*PI()*Wn*Sheet2!A2191) +(Po*SIN(2*PI()*w*Sheet2!A2191))/(K*(1-(w/Wn)^2))</f>
        <v>-5.8205710563876298</v>
      </c>
      <c r="C2191">
        <f t="shared" si="138"/>
        <v>-0.53882248162479518</v>
      </c>
      <c r="D2191">
        <f t="shared" si="139"/>
        <v>-88.013874069989413</v>
      </c>
      <c r="R2191">
        <f t="shared" si="136"/>
        <v>2.1890000000000001</v>
      </c>
      <c r="S2191">
        <f t="shared" si="137"/>
        <v>-0.53882248162479518</v>
      </c>
    </row>
    <row r="2192" spans="1:19" x14ac:dyDescent="0.3">
      <c r="A2192">
        <v>2.19</v>
      </c>
      <c r="B2192">
        <f>Uo*COS(2*PI()*Wn*Sheet2!A2192) + (Vo/Wn - (Po*(w/Wn))/(K*(1-(w/Wn)^2)))*SIN(2*PI()*Wn*Sheet2!A2192) +(Po*SIN(2*PI()*w*Sheet2!A2192))/(K*(1-(w/Wn)^2))</f>
        <v>-6.1654452997843059</v>
      </c>
      <c r="C2192">
        <f t="shared" si="138"/>
        <v>-0.58724351062759395</v>
      </c>
      <c r="D2192">
        <f t="shared" si="139"/>
        <v>-95.923199486665794</v>
      </c>
      <c r="R2192">
        <f t="shared" si="136"/>
        <v>2.19</v>
      </c>
      <c r="S2192">
        <f t="shared" si="137"/>
        <v>-0.58724351062759395</v>
      </c>
    </row>
    <row r="2193" spans="1:19" x14ac:dyDescent="0.3">
      <c r="A2193">
        <v>2.1909999999999998</v>
      </c>
      <c r="B2193">
        <f>Uo*COS(2*PI()*Wn*Sheet2!A2193) + (Vo/Wn - (Po*(w/Wn))/(K*(1-(w/Wn)^2)))*SIN(2*PI()*Wn*Sheet2!A2193) +(Po*SIN(2*PI()*w*Sheet2!A2193))/(K*(1-(w/Wn)^2))</f>
        <v>-6.5083054106164848</v>
      </c>
      <c r="C2193">
        <f t="shared" si="138"/>
        <v>-0.63538543189249452</v>
      </c>
      <c r="D2193">
        <f t="shared" si="139"/>
        <v>-103.78693409350578</v>
      </c>
      <c r="R2193">
        <f t="shared" si="136"/>
        <v>2.1909999999999998</v>
      </c>
      <c r="S2193">
        <f t="shared" si="137"/>
        <v>-0.63538543189249452</v>
      </c>
    </row>
    <row r="2194" spans="1:19" x14ac:dyDescent="0.3">
      <c r="A2194">
        <v>2.1920000000000002</v>
      </c>
      <c r="B2194">
        <f>Uo*COS(2*PI()*Wn*Sheet2!A2194) + (Vo/Wn - (Po*(w/Wn))/(K*(1-(w/Wn)^2)))*SIN(2*PI()*Wn*Sheet2!A2194) +(Po*SIN(2*PI()*w*Sheet2!A2194))/(K*(1-(w/Wn)^2))</f>
        <v>-6.8490393830712861</v>
      </c>
      <c r="C2194">
        <f t="shared" si="138"/>
        <v>-0.68323303660220802</v>
      </c>
      <c r="D2194">
        <f t="shared" si="139"/>
        <v>-111.6025936086257</v>
      </c>
      <c r="R2194">
        <f t="shared" si="136"/>
        <v>2.1920000000000002</v>
      </c>
      <c r="S2194">
        <f t="shared" si="137"/>
        <v>-0.68323303660220802</v>
      </c>
    </row>
    <row r="2195" spans="1:19" x14ac:dyDescent="0.3">
      <c r="A2195">
        <v>2.1930000000000001</v>
      </c>
      <c r="B2195">
        <f>Uo*COS(2*PI()*Wn*Sheet2!A2195) + (Vo/Wn - (Po*(w/Wn))/(K*(1-(w/Wn)^2)))*SIN(2*PI()*Wn*Sheet2!A2195) +(Po*SIN(2*PI()*w*Sheet2!A2195))/(K*(1-(w/Wn)^2))</f>
        <v>-7.1875359059039932</v>
      </c>
      <c r="C2195">
        <f t="shared" si="138"/>
        <v>-0.73077123946449551</v>
      </c>
      <c r="D2195">
        <f t="shared" si="139"/>
        <v>-119.36771392732184</v>
      </c>
      <c r="R2195">
        <f t="shared" si="136"/>
        <v>2.1930000000000001</v>
      </c>
      <c r="S2195">
        <f t="shared" si="137"/>
        <v>-0.73077123946449551</v>
      </c>
    </row>
    <row r="2196" spans="1:19" x14ac:dyDescent="0.3">
      <c r="A2196">
        <v>2.194</v>
      </c>
      <c r="B2196">
        <f>Uo*COS(2*PI()*Wn*Sheet2!A2196) + (Vo/Wn - (Po*(w/Wn))/(K*(1-(w/Wn)^2)))*SIN(2*PI()*Wn*Sheet2!A2196) +(Po*SIN(2*PI()*w*Sheet2!A2196))/(K*(1-(w/Wn)^2))</f>
        <v>-7.5236843988017146</v>
      </c>
      <c r="C2196">
        <f t="shared" si="138"/>
        <v>-0.77798508341292238</v>
      </c>
      <c r="D2196">
        <f t="shared" si="139"/>
        <v>-127.07985188991452</v>
      </c>
      <c r="R2196">
        <f t="shared" si="136"/>
        <v>2.194</v>
      </c>
      <c r="S2196">
        <f t="shared" si="137"/>
        <v>-0.77798508341292238</v>
      </c>
    </row>
    <row r="2197" spans="1:19" x14ac:dyDescent="0.3">
      <c r="A2197">
        <v>2.1949999999999998</v>
      </c>
      <c r="B2197">
        <f>Uo*COS(2*PI()*Wn*Sheet2!A2197) + (Vo/Wn - (Po*(w/Wn))/(K*(1-(w/Wn)^2)))*SIN(2*PI()*Wn*Sheet2!A2197) +(Po*SIN(2*PI()*w*Sheet2!A2197))/(K*(1-(w/Wn)^2))</f>
        <v>-7.8573750485081062</v>
      </c>
      <c r="C2197">
        <f t="shared" si="138"/>
        <v>-0.82485974425697794</v>
      </c>
      <c r="D2197">
        <f t="shared" si="139"/>
        <v>-134.736586041321</v>
      </c>
      <c r="R2197">
        <f t="shared" si="136"/>
        <v>2.1949999999999998</v>
      </c>
      <c r="S2197">
        <f t="shared" si="137"/>
        <v>-0.82485974425697794</v>
      </c>
    </row>
    <row r="2198" spans="1:19" x14ac:dyDescent="0.3">
      <c r="A2198">
        <v>2.1960000000000002</v>
      </c>
      <c r="B2198">
        <f>Uo*COS(2*PI()*Wn*Sheet2!A2198) + (Vo/Wn - (Po*(w/Wn))/(K*(1-(w/Wn)^2)))*SIN(2*PI()*Wn*Sheet2!A2198) +(Po*SIN(2*PI()*w*Sheet2!A2198))/(K*(1-(w/Wn)^2))</f>
        <v>-8.1884988446971132</v>
      </c>
      <c r="C2198">
        <f t="shared" si="138"/>
        <v>-0.87138053528057113</v>
      </c>
      <c r="D2198">
        <f t="shared" si="139"/>
        <v>-142.33551738219626</v>
      </c>
      <c r="R2198">
        <f t="shared" si="136"/>
        <v>2.1960000000000002</v>
      </c>
      <c r="S2198">
        <f t="shared" si="137"/>
        <v>-0.87138053528057113</v>
      </c>
    </row>
    <row r="2199" spans="1:19" x14ac:dyDescent="0.3">
      <c r="A2199">
        <v>2.1970000000000001</v>
      </c>
      <c r="B2199">
        <f>Uo*COS(2*PI()*Wn*Sheet2!A2199) + (Vo/Wn - (Po*(w/Wn))/(K*(1-(w/Wn)^2)))*SIN(2*PI()*Wn*Sheet2!A2199) +(Po*SIN(2*PI()*w*Sheet2!A2199))/(K*(1-(w/Wn)^2))</f>
        <v>-8.5169476155836463</v>
      </c>
      <c r="C2199">
        <f t="shared" si="138"/>
        <v>-0.91753291178723573</v>
      </c>
      <c r="D2199">
        <f t="shared" si="139"/>
        <v>-149.87427011136856</v>
      </c>
      <c r="R2199">
        <f t="shared" si="136"/>
        <v>2.1970000000000001</v>
      </c>
      <c r="S2199">
        <f t="shared" si="137"/>
        <v>-0.91753291178723573</v>
      </c>
    </row>
    <row r="2200" spans="1:19" x14ac:dyDescent="0.3">
      <c r="A2200">
        <v>2.198</v>
      </c>
      <c r="B2200">
        <f>Uo*COS(2*PI()*Wn*Sheet2!A2200) + (Vo/Wn - (Po*(w/Wn))/(K*(1-(w/Wn)^2)))*SIN(2*PI()*Wn*Sheet2!A2200) +(Po*SIN(2*PI()*w*Sheet2!A2200))/(K*(1-(w/Wn)^2))</f>
        <v>-8.842614063262916</v>
      </c>
      <c r="C2200">
        <f t="shared" si="138"/>
        <v>-0.96330247559095883</v>
      </c>
      <c r="D2200">
        <f t="shared" si="139"/>
        <v>-157.35049235939334</v>
      </c>
      <c r="R2200">
        <f t="shared" si="136"/>
        <v>2.198</v>
      </c>
      <c r="S2200">
        <f t="shared" si="137"/>
        <v>-0.96330247559095883</v>
      </c>
    </row>
    <row r="2201" spans="1:19" x14ac:dyDescent="0.3">
      <c r="A2201">
        <v>2.1989999999999998</v>
      </c>
      <c r="B2201">
        <f>Uo*COS(2*PI()*Wn*Sheet2!A2201) + (Vo/Wn - (Po*(w/Wn))/(K*(1-(w/Wn)^2)))*SIN(2*PI()*Wn*Sheet2!A2201) +(Po*SIN(2*PI()*w*Sheet2!A2201))/(K*(1-(w/Wn)^2))</f>
        <v>-9.1653917987610374</v>
      </c>
      <c r="C2201">
        <f t="shared" si="138"/>
        <v>-1.0086749794508811</v>
      </c>
      <c r="D2201">
        <f t="shared" si="139"/>
        <v>-164.76185691293864</v>
      </c>
      <c r="R2201">
        <f t="shared" si="136"/>
        <v>2.1989999999999998</v>
      </c>
      <c r="S2201">
        <f t="shared" si="137"/>
        <v>-1.0086749794508811</v>
      </c>
    </row>
    <row r="2202" spans="1:19" x14ac:dyDescent="0.3">
      <c r="A2202">
        <v>2.2000000000000002</v>
      </c>
      <c r="B2202">
        <f>Uo*COS(2*PI()*Wn*Sheet2!A2202) + (Vo/Wn - (Po*(w/Wn))/(K*(1-(w/Wn)^2)))*SIN(2*PI()*Wn*Sheet2!A2202) +(Po*SIN(2*PI()*w*Sheet2!A2202))/(K*(1-(w/Wn)^2))</f>
        <v>-9.48517537679143</v>
      </c>
      <c r="C2202">
        <f t="shared" si="138"/>
        <v>-1.0536363314489214</v>
      </c>
      <c r="D2202">
        <f t="shared" si="139"/>
        <v>-172.10606192984727</v>
      </c>
      <c r="R2202">
        <f t="shared" si="136"/>
        <v>2.2000000000000002</v>
      </c>
      <c r="S2202">
        <f t="shared" si="137"/>
        <v>-1.0536363314489214</v>
      </c>
    </row>
    <row r="2203" spans="1:19" x14ac:dyDescent="0.3">
      <c r="A2203">
        <v>2.2010000000000001</v>
      </c>
      <c r="B2203">
        <f>Uo*COS(2*PI()*Wn*Sheet2!A2203) + (Vo/Wn - (Po*(w/Wn))/(K*(1-(w/Wn)^2)))*SIN(2*PI()*Wn*Sheet2!A2203) +(Po*SIN(2*PI()*w*Sheet2!A2203))/(K*(1-(w/Wn)^2))</f>
        <v>-9.8018603302008653</v>
      </c>
      <c r="C2203">
        <f t="shared" si="138"/>
        <v>-1.0981725993085105</v>
      </c>
      <c r="D2203">
        <f t="shared" si="139"/>
        <v>-179.38083164458001</v>
      </c>
      <c r="R2203">
        <f t="shared" si="136"/>
        <v>2.2010000000000001</v>
      </c>
      <c r="S2203">
        <f t="shared" si="137"/>
        <v>-1.0981725993085105</v>
      </c>
    </row>
    <row r="2204" spans="1:19" x14ac:dyDescent="0.3">
      <c r="A2204">
        <v>2.202</v>
      </c>
      <c r="B2204">
        <f>Uo*COS(2*PI()*Wn*Sheet2!A2204) + (Vo/Wn - (Po*(w/Wn))/(K*(1-(w/Wn)^2)))*SIN(2*PI()*Wn*Sheet2!A2204) +(Po*SIN(2*PI()*w*Sheet2!A2204))/(K*(1-(w/Wn)^2))</f>
        <v>-10.115343204097272</v>
      </c>
      <c r="C2204">
        <f t="shared" si="138"/>
        <v>-1.1422700146537859</v>
      </c>
      <c r="D2204">
        <f t="shared" si="139"/>
        <v>-186.58391706393286</v>
      </c>
      <c r="R2204">
        <f t="shared" si="136"/>
        <v>2.202</v>
      </c>
      <c r="S2204">
        <f t="shared" si="137"/>
        <v>-1.1422700146537859</v>
      </c>
    </row>
    <row r="2205" spans="1:19" x14ac:dyDescent="0.3">
      <c r="A2205">
        <v>2.2029999999999998</v>
      </c>
      <c r="B2205">
        <f>Uo*COS(2*PI()*Wn*Sheet2!A2205) + (Vo/Wn - (Po*(w/Wn))/(K*(1-(w/Wn)^2)))*SIN(2*PI()*Wn*Sheet2!A2205) +(Po*SIN(2*PI()*w*Sheet2!A2205))/(K*(1-(w/Wn)^2))</f>
        <v>-10.425521589646824</v>
      </c>
      <c r="C2205">
        <f t="shared" si="138"/>
        <v>-1.185914977207325</v>
      </c>
      <c r="D2205">
        <f t="shared" si="139"/>
        <v>-193.71309665271531</v>
      </c>
      <c r="R2205">
        <f t="shared" si="136"/>
        <v>2.2029999999999998</v>
      </c>
      <c r="S2205">
        <f t="shared" si="137"/>
        <v>-1.185914977207325</v>
      </c>
    </row>
    <row r="2206" spans="1:19" x14ac:dyDescent="0.3">
      <c r="A2206">
        <v>2.2040000000000002</v>
      </c>
      <c r="B2206">
        <f>Uo*COS(2*PI()*Wn*Sheet2!A2206) + (Vo/Wn - (Po*(w/Wn))/(K*(1-(w/Wn)^2)))*SIN(2*PI()*Wn*Sheet2!A2206) +(Po*SIN(2*PI()*w*Sheet2!A2206))/(K*(1-(w/Wn)^2))</f>
        <v>-10.732294157528203</v>
      </c>
      <c r="C2206">
        <f t="shared" si="138"/>
        <v>-1.2290940589255615</v>
      </c>
      <c r="D2206">
        <f t="shared" si="139"/>
        <v>-200.76617700924913</v>
      </c>
      <c r="R2206">
        <f t="shared" si="136"/>
        <v>2.2040000000000002</v>
      </c>
      <c r="S2206">
        <f t="shared" si="137"/>
        <v>-1.2290940589255615</v>
      </c>
    </row>
    <row r="2207" spans="1:19" x14ac:dyDescent="0.3">
      <c r="A2207">
        <v>2.2050000000000001</v>
      </c>
      <c r="B2207">
        <f>Uo*COS(2*PI()*Wn*Sheet2!A2207) + (Vo/Wn - (Po*(w/Wn))/(K*(1-(w/Wn)^2)))*SIN(2*PI()*Wn*Sheet2!A2207) +(Po*SIN(2*PI()*w*Sheet2!A2207))/(K*(1-(w/Wn)^2))</f>
        <v>-11.035560691035315</v>
      </c>
      <c r="C2207">
        <f t="shared" si="138"/>
        <v>-1.2717940080704171</v>
      </c>
      <c r="D2207">
        <f t="shared" si="139"/>
        <v>-207.74099353044852</v>
      </c>
      <c r="R2207">
        <f t="shared" si="136"/>
        <v>2.2050000000000001</v>
      </c>
      <c r="S2207">
        <f t="shared" si="137"/>
        <v>-1.2717940080704171</v>
      </c>
    </row>
    <row r="2208" spans="1:19" x14ac:dyDescent="0.3">
      <c r="A2208">
        <v>2.206</v>
      </c>
      <c r="B2208">
        <f>Uo*COS(2*PI()*Wn*Sheet2!A2208) + (Vo/Wn - (Po*(w/Wn))/(K*(1-(w/Wn)^2)))*SIN(2*PI()*Wn*Sheet2!A2208) +(Po*SIN(2*PI()*w*Sheet2!A2208))/(K*(1-(w/Wn)^2))</f>
        <v>-11.33522211881651</v>
      </c>
      <c r="C2208">
        <f t="shared" si="138"/>
        <v>-1.3140017532162025</v>
      </c>
      <c r="D2208">
        <f t="shared" si="139"/>
        <v>-214.63541106632664</v>
      </c>
      <c r="R2208">
        <f t="shared" si="136"/>
        <v>2.206</v>
      </c>
      <c r="S2208">
        <f t="shared" si="137"/>
        <v>-1.3140017532162025</v>
      </c>
    </row>
    <row r="2209" spans="1:19" x14ac:dyDescent="0.3">
      <c r="A2209">
        <v>2.2069999999999999</v>
      </c>
      <c r="B2209">
        <f>Uo*COS(2*PI()*Wn*Sheet2!A2209) + (Vo/Wn - (Po*(w/Wn))/(K*(1-(w/Wn)^2)))*SIN(2*PI()*Wn*Sheet2!A2209) +(Po*SIN(2*PI()*w*Sheet2!A2209))/(K*(1-(w/Wn)^2))</f>
        <v>-11.631180547238474</v>
      </c>
      <c r="C2209">
        <f t="shared" si="138"/>
        <v>-1.3557044071902655</v>
      </c>
      <c r="D2209">
        <f t="shared" si="139"/>
        <v>-221.4473245636803</v>
      </c>
      <c r="R2209">
        <f t="shared" si="136"/>
        <v>2.2069999999999999</v>
      </c>
      <c r="S2209">
        <f t="shared" si="137"/>
        <v>-1.3557044071902655</v>
      </c>
    </row>
    <row r="2210" spans="1:19" x14ac:dyDescent="0.3">
      <c r="A2210">
        <v>2.2080000000000002</v>
      </c>
      <c r="B2210">
        <f>Uo*COS(2*PI()*Wn*Sheet2!A2210) + (Vo/Wn - (Po*(w/Wn))/(K*(1-(w/Wn)^2)))*SIN(2*PI()*Wn*Sheet2!A2210) +(Po*SIN(2*PI()*w*Sheet2!A2210))/(K*(1-(w/Wn)^2))</f>
        <v>-11.923339292367235</v>
      </c>
      <c r="C2210">
        <f t="shared" si="138"/>
        <v>-1.3968892709464866</v>
      </c>
      <c r="D2210">
        <f t="shared" si="139"/>
        <v>-228.17465969880527</v>
      </c>
      <c r="R2210">
        <f t="shared" si="136"/>
        <v>2.2080000000000002</v>
      </c>
      <c r="S2210">
        <f t="shared" si="137"/>
        <v>-1.3968892709464866</v>
      </c>
    </row>
    <row r="2211" spans="1:19" x14ac:dyDescent="0.3">
      <c r="A2211">
        <v>2.2090000000000001</v>
      </c>
      <c r="B2211">
        <f>Uo*COS(2*PI()*Wn*Sheet2!A2211) + (Vo/Wn - (Po*(w/Wn))/(K*(1-(w/Wn)^2)))*SIN(2*PI()*Wn*Sheet2!A2211) +(Po*SIN(2*PI()*w*Sheet2!A2211))/(K*(1-(w/Wn)^2))</f>
        <v>-12.211602911551573</v>
      </c>
      <c r="C2211">
        <f t="shared" si="138"/>
        <v>-1.4375438373702574</v>
      </c>
      <c r="D2211">
        <f t="shared" si="139"/>
        <v>-234.8153734990201</v>
      </c>
      <c r="R2211">
        <f t="shared" si="136"/>
        <v>2.2090000000000001</v>
      </c>
      <c r="S2211">
        <f t="shared" si="137"/>
        <v>-1.4375438373702574</v>
      </c>
    </row>
    <row r="2212" spans="1:19" x14ac:dyDescent="0.3">
      <c r="A2212">
        <v>2.21</v>
      </c>
      <c r="B2212">
        <f>Uo*COS(2*PI()*Wn*Sheet2!A2212) + (Vo/Wn - (Po*(w/Wn))/(K*(1-(w/Wn)^2)))*SIN(2*PI()*Wn*Sheet2!A2212) +(Po*SIN(2*PI()*w*Sheet2!A2212))/(K*(1-(w/Wn)^2))</f>
        <v>-12.4958772346038</v>
      </c>
      <c r="C2212">
        <f t="shared" si="138"/>
        <v>-1.4776557950141995</v>
      </c>
      <c r="D2212">
        <f t="shared" si="139"/>
        <v>-241.36745495287644</v>
      </c>
      <c r="R2212">
        <f t="shared" si="136"/>
        <v>2.21</v>
      </c>
      <c r="S2212">
        <f t="shared" si="137"/>
        <v>-1.4776557950141995</v>
      </c>
    </row>
    <row r="2213" spans="1:19" x14ac:dyDescent="0.3">
      <c r="A2213">
        <v>2.2109999999999999</v>
      </c>
      <c r="B2213">
        <f>Uo*COS(2*PI()*Wn*Sheet2!A2213) + (Vo/Wn - (Po*(w/Wn))/(K*(1-(w/Wn)^2)))*SIN(2*PI()*Wn*Sheet2!A2213) +(Po*SIN(2*PI()*w*Sheet2!A2213))/(K*(1-(w/Wn)^2))</f>
        <v>-12.776069394562526</v>
      </c>
      <c r="C2213">
        <f t="shared" si="138"/>
        <v>-1.5172130317629355</v>
      </c>
      <c r="D2213">
        <f t="shared" si="139"/>
        <v>-247.82892560878048</v>
      </c>
      <c r="R2213">
        <f t="shared" si="136"/>
        <v>2.2109999999999999</v>
      </c>
      <c r="S2213">
        <f t="shared" si="137"/>
        <v>-1.5172130317629355</v>
      </c>
    </row>
    <row r="2214" spans="1:19" x14ac:dyDescent="0.3">
      <c r="A2214">
        <v>2.2120000000000002</v>
      </c>
      <c r="B2214">
        <f>Uo*COS(2*PI()*Wn*Sheet2!A2214) + (Vo/Wn - (Po*(w/Wn))/(K*(1-(w/Wn)^2)))*SIN(2*PI()*Wn*Sheet2!A2214) +(Po*SIN(2*PI()*w*Sheet2!A2214))/(K*(1-(w/Wn)^2))</f>
        <v>-13.052087858030417</v>
      </c>
      <c r="C2214">
        <f t="shared" si="138"/>
        <v>-1.5562036384264522</v>
      </c>
      <c r="D2214">
        <f t="shared" si="139"/>
        <v>-254.19784016195032</v>
      </c>
      <c r="R2214">
        <f t="shared" si="136"/>
        <v>2.2120000000000002</v>
      </c>
      <c r="S2214">
        <f t="shared" si="137"/>
        <v>-1.5562036384264522</v>
      </c>
    </row>
    <row r="2215" spans="1:19" x14ac:dyDescent="0.3">
      <c r="A2215">
        <v>2.2130000000000001</v>
      </c>
      <c r="B2215">
        <f>Uo*COS(2*PI()*Wn*Sheet2!A2215) + (Vo/Wn - (Po*(w/Wn))/(K*(1-(w/Wn)^2)))*SIN(2*PI()*Wn*Sheet2!A2215) +(Po*SIN(2*PI()*w*Sheet2!A2215))/(K*(1-(w/Wn)^2))</f>
        <v>-13.323842455076633</v>
      </c>
      <c r="C2215">
        <f t="shared" si="138"/>
        <v>-1.5946159122605674</v>
      </c>
      <c r="D2215">
        <f t="shared" si="139"/>
        <v>-260.47228702946609</v>
      </c>
      <c r="R2215">
        <f t="shared" si="136"/>
        <v>2.2130000000000001</v>
      </c>
      <c r="S2215">
        <f t="shared" si="137"/>
        <v>-1.5946159122605674</v>
      </c>
    </row>
    <row r="2216" spans="1:19" x14ac:dyDescent="0.3">
      <c r="A2216">
        <v>2.214</v>
      </c>
      <c r="B2216">
        <f>Uo*COS(2*PI()*Wn*Sheet2!A2216) + (Vo/Wn - (Po*(w/Wn))/(K*(1-(w/Wn)^2)))*SIN(2*PI()*Wn*Sheet2!A2216) +(Po*SIN(2*PI()*w*Sheet2!A2216))/(K*(1-(w/Wn)^2))</f>
        <v>-13.591244408693921</v>
      </c>
      <c r="C2216">
        <f t="shared" si="138"/>
        <v>-1.6324383604138213</v>
      </c>
      <c r="D2216">
        <f t="shared" si="139"/>
        <v>-266.65038891330181</v>
      </c>
      <c r="R2216">
        <f t="shared" si="136"/>
        <v>2.214</v>
      </c>
      <c r="S2216">
        <f t="shared" si="137"/>
        <v>-1.6324383604138213</v>
      </c>
    </row>
    <row r="2217" spans="1:19" x14ac:dyDescent="0.3">
      <c r="A2217">
        <v>2.2149999999999999</v>
      </c>
      <c r="B2217">
        <f>Uo*COS(2*PI()*Wn*Sheet2!A2217) + (Vo/Wn - (Po*(w/Wn))/(K*(1-(w/Wn)^2)))*SIN(2*PI()*Wn*Sheet2!A2217) +(Po*SIN(2*PI()*w*Sheet2!A2217))/(K*(1-(w/Wn)^2))</f>
        <v>-13.85420636379961</v>
      </c>
      <c r="C2217">
        <f t="shared" si="138"/>
        <v>-1.6696597032994913</v>
      </c>
      <c r="D2217">
        <f t="shared" si="139"/>
        <v>-272.73030335112674</v>
      </c>
      <c r="R2217">
        <f t="shared" si="136"/>
        <v>2.2149999999999999</v>
      </c>
      <c r="S2217">
        <f t="shared" si="137"/>
        <v>-1.6696597032994913</v>
      </c>
    </row>
    <row r="2218" spans="1:19" x14ac:dyDescent="0.3">
      <c r="A2218">
        <v>2.2160000000000002</v>
      </c>
      <c r="B2218">
        <f>Uo*COS(2*PI()*Wn*Sheet2!A2218) + (Vo/Wn - (Po*(w/Wn))/(K*(1-(w/Wn)^2)))*SIN(2*PI()*Wn*Sheet2!A2218) +(Po*SIN(2*PI()*w*Sheet2!A2218))/(K*(1-(w/Wn)^2))</f>
        <v>-14.112642415773788</v>
      </c>
      <c r="C2218">
        <f t="shared" si="138"/>
        <v>-1.7062688778920034</v>
      </c>
      <c r="D2218">
        <f t="shared" si="139"/>
        <v>-278.71022325475712</v>
      </c>
      <c r="R2218">
        <f t="shared" si="136"/>
        <v>2.2160000000000002</v>
      </c>
      <c r="S2218">
        <f t="shared" si="137"/>
        <v>-1.7062688778920034</v>
      </c>
    </row>
    <row r="2219" spans="1:19" x14ac:dyDescent="0.3">
      <c r="A2219">
        <v>2.2170000000000001</v>
      </c>
      <c r="B2219">
        <f>Uo*COS(2*PI()*Wn*Sheet2!A2219) + (Vo/Wn - (Po*(w/Wn))/(K*(1-(w/Wn)^2)))*SIN(2*PI()*Wn*Sheet2!A2219) +(Po*SIN(2*PI()*w*Sheet2!A2219))/(K*(1-(w/Wn)^2))</f>
        <v>-14.366468138521459</v>
      </c>
      <c r="C2219">
        <f t="shared" si="138"/>
        <v>-1.7422550409465933</v>
      </c>
      <c r="D2219">
        <f t="shared" si="139"/>
        <v>-284.58837743607114</v>
      </c>
      <c r="R2219">
        <f t="shared" si="136"/>
        <v>2.2170000000000001</v>
      </c>
      <c r="S2219">
        <f t="shared" si="137"/>
        <v>-1.7422550409465933</v>
      </c>
    </row>
    <row r="2220" spans="1:19" x14ac:dyDescent="0.3">
      <c r="A2220">
        <v>2.218</v>
      </c>
      <c r="B2220">
        <f>Uo*COS(2*PI()*Wn*Sheet2!A2220) + (Vo/Wn - (Po*(w/Wn))/(K*(1-(w/Wn)^2)))*SIN(2*PI()*Wn*Sheet2!A2220) +(Po*SIN(2*PI()*w*Sheet2!A2220))/(K*(1-(w/Wn)^2))</f>
        <v>-14.615600612054241</v>
      </c>
      <c r="C2220">
        <f t="shared" si="138"/>
        <v>-1.777607572141656</v>
      </c>
      <c r="D2220">
        <f t="shared" si="139"/>
        <v>-290.36303112029566</v>
      </c>
      <c r="R2220">
        <f t="shared" si="136"/>
        <v>2.218</v>
      </c>
      <c r="S2220">
        <f t="shared" si="137"/>
        <v>-1.777607572141656</v>
      </c>
    </row>
    <row r="2221" spans="1:19" x14ac:dyDescent="0.3">
      <c r="A2221">
        <v>2.2189999999999999</v>
      </c>
      <c r="B2221">
        <f>Uo*COS(2*PI()*Wn*Sheet2!A2221) + (Vo/Wn - (Po*(w/Wn))/(K*(1-(w/Wn)^2)))*SIN(2*PI()*Wn*Sheet2!A2221) +(Po*SIN(2*PI()*w*Sheet2!A2221))/(K*(1-(w/Wn)^2))</f>
        <v>-14.859958449578031</v>
      </c>
      <c r="C2221">
        <f t="shared" si="138"/>
        <v>-1.812316077142357</v>
      </c>
      <c r="D2221">
        <f t="shared" si="139"/>
        <v>-296.03248644643122</v>
      </c>
      <c r="R2221">
        <f t="shared" si="136"/>
        <v>2.2189999999999999</v>
      </c>
      <c r="S2221">
        <f t="shared" si="137"/>
        <v>-1.812316077142357</v>
      </c>
    </row>
    <row r="2222" spans="1:19" x14ac:dyDescent="0.3">
      <c r="A2222">
        <v>2.2200000000000002</v>
      </c>
      <c r="B2222">
        <f>Uo*COS(2*PI()*Wn*Sheet2!A2222) + (Vo/Wn - (Po*(w/Wn))/(K*(1-(w/Wn)^2)))*SIN(2*PI()*Wn*Sheet2!A2222) +(Po*SIN(2*PI()*w*Sheet2!A2222))/(K*(1-(w/Wn)^2))</f>
        <v>-15.099461824080404</v>
      </c>
      <c r="C2222">
        <f t="shared" si="138"/>
        <v>-1.846370390585186</v>
      </c>
      <c r="D2222">
        <f t="shared" si="139"/>
        <v>-301.59508295476365</v>
      </c>
      <c r="R2222">
        <f t="shared" si="136"/>
        <v>2.2200000000000002</v>
      </c>
      <c r="S2222">
        <f t="shared" si="137"/>
        <v>-1.846370390585186</v>
      </c>
    </row>
    <row r="2223" spans="1:19" x14ac:dyDescent="0.3">
      <c r="A2223">
        <v>2.2210000000000001</v>
      </c>
      <c r="B2223">
        <f>Uo*COS(2*PI()*Wn*Sheet2!A2223) + (Vo/Wn - (Po*(w/Wn))/(K*(1-(w/Wn)^2)))*SIN(2*PI()*Wn*Sheet2!A2223) +(Po*SIN(2*PI()*w*Sheet2!A2223))/(K*(1-(w/Wn)^2))</f>
        <v>-15.334032494408785</v>
      </c>
      <c r="C2223">
        <f t="shared" si="138"/>
        <v>-1.8797605789822476</v>
      </c>
      <c r="D2223">
        <f t="shared" si="139"/>
        <v>-307.04919806126475</v>
      </c>
      <c r="R2223">
        <f t="shared" si="136"/>
        <v>2.2210000000000001</v>
      </c>
      <c r="S2223">
        <f t="shared" si="137"/>
        <v>-1.8797605789822476</v>
      </c>
    </row>
    <row r="2224" spans="1:19" x14ac:dyDescent="0.3">
      <c r="A2224">
        <v>2.222</v>
      </c>
      <c r="B2224">
        <f>Uo*COS(2*PI()*Wn*Sheet2!A2224) + (Vo/Wn - (Po*(w/Wn))/(K*(1-(w/Wn)^2)))*SIN(2*PI()*Wn*Sheet2!A2224) +(Po*SIN(2*PI()*w*Sheet2!A2224))/(K*(1-(w/Wn)^2))</f>
        <v>-15.563593830830582</v>
      </c>
      <c r="C2224">
        <f t="shared" si="138"/>
        <v>-1.9124769435447533</v>
      </c>
      <c r="D2224">
        <f t="shared" si="139"/>
        <v>-312.39324751879531</v>
      </c>
      <c r="R2224">
        <f t="shared" si="136"/>
        <v>2.222</v>
      </c>
      <c r="S2224">
        <f t="shared" si="137"/>
        <v>-1.9124769435447533</v>
      </c>
    </row>
    <row r="2225" spans="1:19" x14ac:dyDescent="0.3">
      <c r="A2225">
        <v>2.2229999999999999</v>
      </c>
      <c r="B2225">
        <f>Uo*COS(2*PI()*Wn*Sheet2!A2225) + (Vo/Wn - (Po*(w/Wn))/(K*(1-(w/Wn)^2)))*SIN(2*PI()*Wn*Sheet2!A2225) +(Po*SIN(2*PI()*w*Sheet2!A2225))/(K*(1-(w/Wn)^2))</f>
        <v>-15.78807084006602</v>
      </c>
      <c r="C2225">
        <f t="shared" si="138"/>
        <v>-1.944510022924691</v>
      </c>
      <c r="D2225">
        <f t="shared" si="139"/>
        <v>-317.62568586494257</v>
      </c>
      <c r="R2225">
        <f t="shared" si="136"/>
        <v>2.2229999999999999</v>
      </c>
      <c r="S2225">
        <f t="shared" si="137"/>
        <v>-1.944510022924691</v>
      </c>
    </row>
    <row r="2226" spans="1:19" x14ac:dyDescent="0.3">
      <c r="A2226">
        <v>2.2240000000000002</v>
      </c>
      <c r="B2226">
        <f>Uo*COS(2*PI()*Wn*Sheet2!A2226) + (Vo/Wn - (Po*(w/Wn))/(K*(1-(w/Wn)^2)))*SIN(2*PI()*Wn*Sheet2!A2226) +(Po*SIN(2*PI()*w*Sheet2!A2226))/(K*(1-(w/Wn)^2))</f>
        <v>-16.007390189787802</v>
      </c>
      <c r="C2226">
        <f t="shared" si="138"/>
        <v>-1.9758505958741293</v>
      </c>
      <c r="D2226">
        <f t="shared" si="139"/>
        <v>-322.74500685640402</v>
      </c>
      <c r="R2226">
        <f t="shared" si="136"/>
        <v>2.2240000000000002</v>
      </c>
      <c r="S2226">
        <f t="shared" si="137"/>
        <v>-1.9758505958741293</v>
      </c>
    </row>
    <row r="2227" spans="1:19" x14ac:dyDescent="0.3">
      <c r="A2227">
        <v>2.2250000000000001</v>
      </c>
      <c r="B2227">
        <f>Uo*COS(2*PI()*Wn*Sheet2!A2227) + (Vo/Wn - (Po*(w/Wn))/(K*(1-(w/Wn)^2)))*SIN(2*PI()*Wn*Sheet2!A2227) +(Po*SIN(2*PI()*w*Sheet2!A2227))/(K*(1-(w/Wn)^2))</f>
        <v>-16.221480232576333</v>
      </c>
      <c r="C2227">
        <f t="shared" si="138"/>
        <v>-2.0064896838212563</v>
      </c>
      <c r="D2227">
        <f t="shared" si="139"/>
        <v>-327.74974388977</v>
      </c>
      <c r="R2227">
        <f t="shared" si="136"/>
        <v>2.2250000000000001</v>
      </c>
      <c r="S2227">
        <f t="shared" si="137"/>
        <v>-2.0064896838212563</v>
      </c>
    </row>
    <row r="2228" spans="1:19" x14ac:dyDescent="0.3">
      <c r="A2228">
        <v>2.226</v>
      </c>
      <c r="B2228">
        <f>Uo*COS(2*PI()*Wn*Sheet2!A2228) + (Vo/Wn - (Po*(w/Wn))/(K*(1-(w/Wn)^2)))*SIN(2*PI()*Wn*Sheet2!A2228) +(Po*SIN(2*PI()*w*Sheet2!A2228))/(K*(1-(w/Wn)^2))</f>
        <v>-16.430271029326676</v>
      </c>
      <c r="C2228">
        <f t="shared" si="138"/>
        <v>-2.0364185533627528</v>
      </c>
      <c r="D2228">
        <f t="shared" si="139"/>
        <v>-332.63847040863988</v>
      </c>
      <c r="R2228">
        <f t="shared" si="136"/>
        <v>2.226</v>
      </c>
      <c r="S2228">
        <f t="shared" si="137"/>
        <v>-2.0364185533627528</v>
      </c>
    </row>
    <row r="2229" spans="1:19" x14ac:dyDescent="0.3">
      <c r="A2229">
        <v>2.2269999999999999</v>
      </c>
      <c r="B2229">
        <f>Uo*COS(2*PI()*Wn*Sheet2!A2229) + (Vo/Wn - (Po*(w/Wn))/(K*(1-(w/Wn)^2)))*SIN(2*PI()*Wn*Sheet2!A2229) +(Po*SIN(2*PI()*w*Sheet2!A2229))/(K*(1-(w/Wn)^2))</f>
        <v>-16.633694372095697</v>
      </c>
      <c r="C2229">
        <f t="shared" si="138"/>
        <v>-2.0656287186713933</v>
      </c>
      <c r="D2229">
        <f t="shared" si="139"/>
        <v>-337.40980029689143</v>
      </c>
      <c r="R2229">
        <f t="shared" si="136"/>
        <v>2.2269999999999999</v>
      </c>
      <c r="S2229">
        <f t="shared" si="137"/>
        <v>-2.0656287186713933</v>
      </c>
    </row>
    <row r="2230" spans="1:19" x14ac:dyDescent="0.3">
      <c r="A2230">
        <v>2.2280000000000002</v>
      </c>
      <c r="B2230">
        <f>Uo*COS(2*PI()*Wn*Sheet2!A2230) + (Vo/Wn - (Po*(w/Wn))/(K*(1-(w/Wn)^2)))*SIN(2*PI()*Wn*Sheet2!A2230) +(Po*SIN(2*PI()*w*Sheet2!A2230))/(K*(1-(w/Wn)^2))</f>
        <v>-16.83168380638423</v>
      </c>
      <c r="C2230">
        <f t="shared" si="138"/>
        <v>-2.0941119438186955</v>
      </c>
      <c r="D2230">
        <f t="shared" si="139"/>
        <v>-342.06238825807355</v>
      </c>
      <c r="R2230">
        <f t="shared" si="136"/>
        <v>2.2280000000000002</v>
      </c>
      <c r="S2230">
        <f t="shared" si="137"/>
        <v>-2.0941119438186955</v>
      </c>
    </row>
    <row r="2231" spans="1:19" x14ac:dyDescent="0.3">
      <c r="A2231">
        <v>2.2290000000000001</v>
      </c>
      <c r="B2231">
        <f>Uo*COS(2*PI()*Wn*Sheet2!A2231) + (Vo/Wn - (Po*(w/Wn))/(K*(1-(w/Wn)^2)))*SIN(2*PI()*Wn*Sheet2!A2231) +(Po*SIN(2*PI()*w*Sheet2!A2231))/(K*(1-(w/Wn)^2))</f>
        <v>-17.024174652846732</v>
      </c>
      <c r="C2231">
        <f t="shared" si="138"/>
        <v>-2.1218602450116815</v>
      </c>
      <c r="D2231">
        <f t="shared" si="139"/>
        <v>-346.59493018076984</v>
      </c>
      <c r="R2231">
        <f t="shared" si="136"/>
        <v>2.2290000000000001</v>
      </c>
      <c r="S2231">
        <f t="shared" si="137"/>
        <v>-2.1218602450116815</v>
      </c>
    </row>
    <row r="2232" spans="1:19" x14ac:dyDescent="0.3">
      <c r="A2232">
        <v>2.23</v>
      </c>
      <c r="B2232">
        <f>Uo*COS(2*PI()*Wn*Sheet2!A2232) + (Vo/Wn - (Po*(w/Wn))/(K*(1-(w/Wn)^2)))*SIN(2*PI()*Wn*Sheet2!A2232) +(Po*SIN(2*PI()*w*Sheet2!A2232))/(K*(1-(w/Wn)^2))</f>
        <v>-17.21110402842061</v>
      </c>
      <c r="C2232">
        <f t="shared" si="138"/>
        <v>-2.1488658927434248</v>
      </c>
      <c r="D2232">
        <f t="shared" si="139"/>
        <v>-351.00616348987899</v>
      </c>
      <c r="R2232">
        <f t="shared" si="136"/>
        <v>2.23</v>
      </c>
      <c r="S2232">
        <f t="shared" si="137"/>
        <v>-2.1488658927434248</v>
      </c>
    </row>
    <row r="2233" spans="1:19" x14ac:dyDescent="0.3">
      <c r="A2233">
        <v>2.2309999999999999</v>
      </c>
      <c r="B2233">
        <f>Uo*COS(2*PI()*Wn*Sheet2!A2233) + (Vo/Wn - (Po*(w/Wn))/(K*(1-(w/Wn)^2)))*SIN(2*PI()*Wn*Sheet2!A2233) +(Po*SIN(2*PI()*w*Sheet2!A2233))/(K*(1-(w/Wn)^2))</f>
        <v>-17.392410866869163</v>
      </c>
      <c r="C2233">
        <f t="shared" si="138"/>
        <v>-2.1751214138566137</v>
      </c>
      <c r="D2233">
        <f t="shared" si="139"/>
        <v>-355.29486748368765</v>
      </c>
      <c r="R2233">
        <f t="shared" si="136"/>
        <v>2.2309999999999999</v>
      </c>
      <c r="S2233">
        <f t="shared" si="137"/>
        <v>-2.1751214138566137</v>
      </c>
    </row>
    <row r="2234" spans="1:19" x14ac:dyDescent="0.3">
      <c r="A2234">
        <v>2.2320000000000002</v>
      </c>
      <c r="B2234">
        <f>Uo*COS(2*PI()*Wn*Sheet2!A2234) + (Vo/Wn - (Po*(w/Wn))/(K*(1-(w/Wn)^2)))*SIN(2*PI()*Wn*Sheet2!A2234) +(Po*SIN(2*PI()*w*Sheet2!A2234))/(K*(1-(w/Wn)^2))</f>
        <v>-17.56803593873062</v>
      </c>
      <c r="C2234">
        <f t="shared" si="138"/>
        <v>-2.2006195935197819</v>
      </c>
      <c r="D2234">
        <f t="shared" si="139"/>
        <v>-359.45986365667727</v>
      </c>
      <c r="R2234">
        <f t="shared" si="136"/>
        <v>2.2320000000000002</v>
      </c>
      <c r="S2234">
        <f t="shared" si="137"/>
        <v>-2.2006195935197819</v>
      </c>
    </row>
    <row r="2235" spans="1:19" x14ac:dyDescent="0.3">
      <c r="A2235">
        <v>2.2330000000000001</v>
      </c>
      <c r="B2235">
        <f>Uo*COS(2*PI()*Wn*Sheet2!A2235) + (Vo/Wn - (Po*(w/Wn))/(K*(1-(w/Wn)^2)))*SIN(2*PI()*Wn*Sheet2!A2235) +(Po*SIN(2*PI()*w*Sheet2!A2235))/(K*(1-(w/Wn)^2))</f>
        <v>-17.737921870666831</v>
      </c>
      <c r="C2235">
        <f t="shared" si="138"/>
        <v>-2.2253534771155947</v>
      </c>
      <c r="D2235">
        <f t="shared" si="139"/>
        <v>-363.500016007966</v>
      </c>
      <c r="R2235">
        <f t="shared" si="136"/>
        <v>2.2330000000000001</v>
      </c>
      <c r="S2235">
        <f t="shared" si="137"/>
        <v>-2.2253534771155947</v>
      </c>
    </row>
    <row r="2236" spans="1:19" x14ac:dyDescent="0.3">
      <c r="A2236">
        <v>2.234</v>
      </c>
      <c r="B2236">
        <f>Uo*COS(2*PI()*Wn*Sheet2!A2236) + (Vo/Wn - (Po*(w/Wn))/(K*(1-(w/Wn)^2)))*SIN(2*PI()*Wn*Sheet2!A2236) +(Po*SIN(2*PI()*w*Sheet2!A2236))/(K*(1-(w/Wn)^2))</f>
        <v>-17.902013164206849</v>
      </c>
      <c r="C2236">
        <f t="shared" si="138"/>
        <v>-2.2493163720408851</v>
      </c>
      <c r="D2236">
        <f t="shared" si="139"/>
        <v>-367.41423133533522</v>
      </c>
      <c r="R2236">
        <f t="shared" si="136"/>
        <v>2.234</v>
      </c>
      <c r="S2236">
        <f t="shared" si="137"/>
        <v>-2.2493163720408851</v>
      </c>
    </row>
    <row r="2237" spans="1:19" x14ac:dyDescent="0.3">
      <c r="A2237">
        <v>2.2349999999999999</v>
      </c>
      <c r="B2237">
        <f>Uo*COS(2*PI()*Wn*Sheet2!A2237) + (Vo/Wn - (Po*(w/Wn))/(K*(1-(w/Wn)^2)))*SIN(2*PI()*Wn*Sheet2!A2237) +(Po*SIN(2*PI()*w*Sheet2!A2237))/(K*(1-(w/Wn)^2))</f>
        <v>-18.060256213876709</v>
      </c>
      <c r="C2237">
        <f t="shared" si="138"/>
        <v>-2.2725018494178801</v>
      </c>
      <c r="D2237">
        <f t="shared" si="139"/>
        <v>-371.20145951474967</v>
      </c>
      <c r="R2237">
        <f t="shared" si="136"/>
        <v>2.2349999999999999</v>
      </c>
      <c r="S2237">
        <f t="shared" si="137"/>
        <v>-2.2725018494178801</v>
      </c>
    </row>
    <row r="2238" spans="1:19" x14ac:dyDescent="0.3">
      <c r="A2238">
        <v>2.2360000000000002</v>
      </c>
      <c r="B2238">
        <f>Uo*COS(2*PI()*Wn*Sheet2!A2238) + (Vo/Wn - (Po*(w/Wn))/(K*(1-(w/Wn)^2)))*SIN(2*PI()*Wn*Sheet2!A2238) +(Po*SIN(2*PI()*w*Sheet2!A2238))/(K*(1-(w/Wn)^2))</f>
        <v>-18.21259932471127</v>
      </c>
      <c r="C2238">
        <f t="shared" si="138"/>
        <v>-2.2949037457161974</v>
      </c>
      <c r="D2238">
        <f t="shared" si="139"/>
        <v>-374.86069376530196</v>
      </c>
      <c r="R2238">
        <f t="shared" si="136"/>
        <v>2.2360000000000002</v>
      </c>
      <c r="S2238">
        <f t="shared" si="137"/>
        <v>-2.2949037457161974</v>
      </c>
    </row>
    <row r="2239" spans="1:19" x14ac:dyDescent="0.3">
      <c r="A2239">
        <v>2.2370000000000001</v>
      </c>
      <c r="B2239">
        <f>Uo*COS(2*PI()*Wn*Sheet2!A2239) + (Vo/Wn - (Po*(w/Wn))/(K*(1-(w/Wn)^2)))*SIN(2*PI()*Wn*Sheet2!A2239) +(Po*SIN(2*PI()*w*Sheet2!A2239))/(K*(1-(w/Wn)^2))</f>
        <v>-18.358992729142173</v>
      </c>
      <c r="C2239">
        <f t="shared" si="138"/>
        <v>-2.3165161642853844</v>
      </c>
      <c r="D2239">
        <f t="shared" si="139"/>
        <v>-378.39097089954544</v>
      </c>
      <c r="R2239">
        <f t="shared" si="136"/>
        <v>2.2370000000000001</v>
      </c>
      <c r="S2239">
        <f t="shared" si="137"/>
        <v>-2.3165161642853844</v>
      </c>
    </row>
    <row r="2240" spans="1:19" x14ac:dyDescent="0.3">
      <c r="A2240">
        <v>2.238</v>
      </c>
      <c r="B2240">
        <f>Uo*COS(2*PI()*Wn*Sheet2!A2240) + (Vo/Wn - (Po*(w/Wn))/(K*(1-(w/Wn)^2)))*SIN(2*PI()*Wn*Sheet2!A2240) +(Po*SIN(2*PI()*w*Sheet2!A2240))/(K*(1-(w/Wn)^2))</f>
        <v>-18.499388603255792</v>
      </c>
      <c r="C2240">
        <f t="shared" si="138"/>
        <v>-2.3373334767975971</v>
      </c>
      <c r="D2240">
        <f t="shared" si="139"/>
        <v>-381.79137155914771</v>
      </c>
      <c r="R2240">
        <f t="shared" si="136"/>
        <v>2.238</v>
      </c>
      <c r="S2240">
        <f t="shared" si="137"/>
        <v>-2.3373334767975971</v>
      </c>
    </row>
    <row r="2241" spans="1:19" x14ac:dyDescent="0.3">
      <c r="A2241">
        <v>2.2389999999999999</v>
      </c>
      <c r="B2241">
        <f>Uo*COS(2*PI()*Wn*Sheet2!A2241) + (Vo/Wn - (Po*(w/Wn))/(K*(1-(w/Wn)^2)))*SIN(2*PI()*Wn*Sheet2!A2241) +(Po*SIN(2*PI()*w*Sheet2!A2241))/(K*(1-(w/Wn)^2))</f>
        <v>-18.633741082416599</v>
      </c>
      <c r="C2241">
        <f t="shared" si="138"/>
        <v>-2.3573503246000218</v>
      </c>
      <c r="D2241">
        <f t="shared" si="139"/>
        <v>-385.06102043580233</v>
      </c>
      <c r="R2241">
        <f t="shared" ref="R2241:R2304" si="140">A2241</f>
        <v>2.2389999999999999</v>
      </c>
      <c r="S2241">
        <f t="shared" ref="S2241:S2304" si="141">C2241</f>
        <v>-2.3573503246000218</v>
      </c>
    </row>
    <row r="2242" spans="1:19" x14ac:dyDescent="0.3">
      <c r="A2242">
        <v>2.2400000000000002</v>
      </c>
      <c r="B2242">
        <f>Uo*COS(2*PI()*Wn*Sheet2!A2242) + (Vo/Wn - (Po*(w/Wn))/(K*(1-(w/Wn)^2)))*SIN(2*PI()*Wn*Sheet2!A2242) +(Po*SIN(2*PI()*w*Sheet2!A2242))/(K*(1-(w/Wn)^2))</f>
        <v>-18.762006276250155</v>
      </c>
      <c r="C2242">
        <f t="shared" ref="C2242:C2305" si="142">EXP(-zeta*Wn*A2242*2*PI())*($H$1*COS(wnD*2*PI()*A2242) + $H$2*SIN(wnD*2*PI()*A2242)) + $H$3*SIN(w*2*PI()*A2242) + $H$4*COS(w*2*PI()*A2242)</f>
        <v>-2.37656161997691</v>
      </c>
      <c r="D2242">
        <f t="shared" ref="D2242:D2305" si="143">K*C2242</f>
        <v>-388.1990864773752</v>
      </c>
      <c r="R2242">
        <f t="shared" si="140"/>
        <v>2.2400000000000002</v>
      </c>
      <c r="S2242">
        <f t="shared" si="141"/>
        <v>-2.37656161997691</v>
      </c>
    </row>
    <row r="2243" spans="1:19" x14ac:dyDescent="0.3">
      <c r="A2243">
        <v>2.2410000000000001</v>
      </c>
      <c r="B2243">
        <f>Uo*COS(2*PI()*Wn*Sheet2!A2243) + (Vo/Wn - (Po*(w/Wn))/(K*(1-(w/Wn)^2)))*SIN(2*PI()*Wn*Sheet2!A2243) +(Po*SIN(2*PI()*w*Sheet2!A2243))/(K*(1-(w/Wn)^2))</f>
        <v>-18.884142282980928</v>
      </c>
      <c r="C2243">
        <f t="shared" si="142"/>
        <v>-2.3949625473208287</v>
      </c>
      <c r="D2243">
        <f t="shared" si="143"/>
        <v>-391.20478307922275</v>
      </c>
      <c r="R2243">
        <f t="shared" si="140"/>
        <v>2.2410000000000001</v>
      </c>
      <c r="S2243">
        <f t="shared" si="141"/>
        <v>-2.3949625473208287</v>
      </c>
    </row>
    <row r="2244" spans="1:19" x14ac:dyDescent="0.3">
      <c r="A2244">
        <v>2.242</v>
      </c>
      <c r="B2244">
        <f>Uo*COS(2*PI()*Wn*Sheet2!A2244) + (Vo/Wn - (Po*(w/Wn))/(K*(1-(w/Wn)^2)))*SIN(2*PI()*Wn*Sheet2!A2244) +(Po*SIN(2*PI()*w*Sheet2!A2244))/(K*(1-(w/Wn)^2))</f>
        <v>-19.000109203121397</v>
      </c>
      <c r="C2244">
        <f t="shared" si="142"/>
        <v>-2.4125485642130626</v>
      </c>
      <c r="D2244">
        <f t="shared" si="143"/>
        <v>-394.07736826066957</v>
      </c>
      <c r="R2244">
        <f t="shared" si="140"/>
        <v>2.242</v>
      </c>
      <c r="S2244">
        <f t="shared" si="141"/>
        <v>-2.4125485642130626</v>
      </c>
    </row>
    <row r="2245" spans="1:19" x14ac:dyDescent="0.3">
      <c r="A2245">
        <v>2.2429999999999999</v>
      </c>
      <c r="B2245">
        <f>Uo*COS(2*PI()*Wn*Sheet2!A2245) + (Vo/Wn - (Po*(w/Wn))/(K*(1-(w/Wn)^2)))*SIN(2*PI()*Wn*Sheet2!A2245) +(Po*SIN(2*PI()*w*Sheet2!A2245))/(K*(1-(w/Wn)^2))</f>
        <v>-19.109869152506079</v>
      </c>
      <c r="C2245">
        <f t="shared" si="142"/>
        <v>-2.4293154024128789</v>
      </c>
      <c r="D2245">
        <f t="shared" si="143"/>
        <v>-396.81614482660007</v>
      </c>
      <c r="R2245">
        <f t="shared" si="140"/>
        <v>2.2429999999999999</v>
      </c>
      <c r="S2245">
        <f t="shared" si="141"/>
        <v>-2.4293154024128789</v>
      </c>
    </row>
    <row r="2246" spans="1:19" x14ac:dyDescent="0.3">
      <c r="A2246">
        <v>2.2440000000000002</v>
      </c>
      <c r="B2246">
        <f>Uo*COS(2*PI()*Wn*Sheet2!A2246) + (Vo/Wn - (Po*(w/Wn))/(K*(1-(w/Wn)^2)))*SIN(2*PI()*Wn*Sheet2!A2246) +(Po*SIN(2*PI()*w*Sheet2!A2246))/(K*(1-(w/Wn)^2))</f>
        <v>-19.213386274667545</v>
      </c>
      <c r="C2246">
        <f t="shared" si="142"/>
        <v>-2.4452590687554547</v>
      </c>
      <c r="D2246">
        <f t="shared" si="143"/>
        <v>-399.42046051413024</v>
      </c>
      <c r="R2246">
        <f t="shared" si="140"/>
        <v>2.2440000000000002</v>
      </c>
      <c r="S2246">
        <f t="shared" si="141"/>
        <v>-2.4452590687554547</v>
      </c>
    </row>
    <row r="2247" spans="1:19" x14ac:dyDescent="0.3">
      <c r="A2247">
        <v>2.2450000000000001</v>
      </c>
      <c r="B2247">
        <f>Uo*COS(2*PI()*Wn*Sheet2!A2247) + (Vo/Wn - (Po*(w/Wn))/(K*(1-(w/Wn)^2)))*SIN(2*PI()*Wn*Sheet2!A2247) +(Po*SIN(2*PI()*w*Sheet2!A2247))/(K*(1-(w/Wn)^2))</f>
        <v>-19.31062675255016</v>
      </c>
      <c r="C2247">
        <f t="shared" si="142"/>
        <v>-2.4603758459584668</v>
      </c>
      <c r="D2247">
        <f t="shared" si="143"/>
        <v>-401.8897081243598</v>
      </c>
      <c r="R2247">
        <f t="shared" si="140"/>
        <v>2.2450000000000001</v>
      </c>
      <c r="S2247">
        <f t="shared" si="141"/>
        <v>-2.4603758459584668</v>
      </c>
    </row>
    <row r="2248" spans="1:19" x14ac:dyDescent="0.3">
      <c r="A2248">
        <v>2.246</v>
      </c>
      <c r="B2248">
        <f>Uo*COS(2*PI()*Wn*Sheet2!A2248) + (Vo/Wn - (Po*(w/Wn))/(K*(1-(w/Wn)^2)))*SIN(2*PI()*Wn*Sheet2!A2248) +(Po*SIN(2*PI()*w*Sheet2!A2248))/(K*(1-(w/Wn)^2))</f>
        <v>-19.401558819557387</v>
      </c>
      <c r="C2248">
        <f t="shared" si="142"/>
        <v>-2.4746622933371882</v>
      </c>
      <c r="D2248">
        <f t="shared" si="143"/>
        <v>-404.22332563917968</v>
      </c>
      <c r="R2248">
        <f t="shared" si="140"/>
        <v>2.246</v>
      </c>
      <c r="S2248">
        <f t="shared" si="141"/>
        <v>-2.4746622933371882</v>
      </c>
    </row>
    <row r="2249" spans="1:19" x14ac:dyDescent="0.3">
      <c r="A2249">
        <v>2.2469999999999999</v>
      </c>
      <c r="B2249">
        <f>Uo*COS(2*PI()*Wn*Sheet2!A2249) + (Vo/Wn - (Po*(w/Wn))/(K*(1-(w/Wn)^2)))*SIN(2*PI()*Wn*Sheet2!A2249) +(Po*SIN(2*PI()*w*Sheet2!A2249))/(K*(1-(w/Wn)^2))</f>
        <v>-19.48615276992944</v>
      </c>
      <c r="C2249">
        <f t="shared" si="142"/>
        <v>-2.4881152474279724</v>
      </c>
      <c r="D2249">
        <f t="shared" si="143"/>
        <v>-406.42079632311476</v>
      </c>
      <c r="R2249">
        <f t="shared" si="140"/>
        <v>2.2469999999999999</v>
      </c>
      <c r="S2249">
        <f t="shared" si="141"/>
        <v>-2.4881152474279724</v>
      </c>
    </row>
    <row r="2250" spans="1:19" x14ac:dyDescent="0.3">
      <c r="A2250">
        <v>2.2480000000000002</v>
      </c>
      <c r="B2250">
        <f>Uo*COS(2*PI()*Wn*Sheet2!A2250) + (Vo/Wn - (Po*(w/Wn))/(K*(1-(w/Wn)^2)))*SIN(2*PI()*Wn*Sheet2!A2250) +(Po*SIN(2*PI()*w*Sheet2!A2250))/(K*(1-(w/Wn)^2))</f>
        <v>-19.564380968447526</v>
      </c>
      <c r="C2250">
        <f t="shared" si="142"/>
        <v>-2.5007318225201569</v>
      </c>
      <c r="D2250">
        <f t="shared" si="143"/>
        <v>-408.48164881020773</v>
      </c>
      <c r="R2250">
        <f t="shared" si="140"/>
        <v>2.2480000000000002</v>
      </c>
      <c r="S2250">
        <f t="shared" si="141"/>
        <v>-2.5007318225201569</v>
      </c>
    </row>
    <row r="2251" spans="1:19" x14ac:dyDescent="0.3">
      <c r="A2251">
        <v>2.2490000000000001</v>
      </c>
      <c r="B2251">
        <f>Uo*COS(2*PI()*Wn*Sheet2!A2251) + (Vo/Wn - (Po*(w/Wn))/(K*(1-(w/Wn)^2)))*SIN(2*PI()*Wn*Sheet2!A2251) +(Po*SIN(2*PI()*w*Sheet2!A2251))/(K*(1-(w/Wn)^2))</f>
        <v>-19.636217859461532</v>
      </c>
      <c r="C2251">
        <f t="shared" si="142"/>
        <v>-2.5125094110963295</v>
      </c>
      <c r="D2251">
        <f t="shared" si="143"/>
        <v>-410.40545717593443</v>
      </c>
      <c r="R2251">
        <f t="shared" si="140"/>
        <v>2.2490000000000001</v>
      </c>
      <c r="S2251">
        <f t="shared" si="141"/>
        <v>-2.5125094110963295</v>
      </c>
    </row>
    <row r="2252" spans="1:19" x14ac:dyDescent="0.3">
      <c r="A2252">
        <v>2.25</v>
      </c>
      <c r="B2252">
        <f>Uo*COS(2*PI()*Wn*Sheet2!A2252) + (Vo/Wn - (Po*(w/Wn))/(K*(1-(w/Wn)^2)))*SIN(2*PI()*Wn*Sheet2!A2252) +(Po*SIN(2*PI()*w*Sheet2!A2252))/(K*(1-(w/Wn)^2))</f>
        <v>-19.701639975238976</v>
      </c>
      <c r="C2252">
        <f t="shared" si="142"/>
        <v>-2.5234456841810373</v>
      </c>
      <c r="D2252">
        <f t="shared" si="143"/>
        <v>-412.19184099416339</v>
      </c>
      <c r="R2252">
        <f t="shared" si="140"/>
        <v>2.25</v>
      </c>
      <c r="S2252">
        <f t="shared" si="141"/>
        <v>-2.5234456841810373</v>
      </c>
    </row>
    <row r="2253" spans="1:19" x14ac:dyDescent="0.3">
      <c r="A2253">
        <v>2.2509999999999999</v>
      </c>
      <c r="B2253">
        <f>Uo*COS(2*PI()*Wn*Sheet2!A2253) + (Vo/Wn - (Po*(w/Wn))/(K*(1-(w/Wn)^2)))*SIN(2*PI()*Wn*Sheet2!A2253) +(Po*SIN(2*PI()*w*Sheet2!A2253))/(K*(1-(w/Wn)^2))</f>
        <v>-19.760625943631091</v>
      </c>
      <c r="C2253">
        <f t="shared" si="142"/>
        <v>-2.5335385915979387</v>
      </c>
      <c r="D2253">
        <f t="shared" si="143"/>
        <v>-413.84046537916032</v>
      </c>
      <c r="R2253">
        <f t="shared" si="140"/>
        <v>2.2509999999999999</v>
      </c>
      <c r="S2253">
        <f t="shared" si="141"/>
        <v>-2.5335385915979387</v>
      </c>
    </row>
    <row r="2254" spans="1:19" x14ac:dyDescent="0.3">
      <c r="A2254">
        <v>2.2519999999999998</v>
      </c>
      <c r="B2254">
        <f>Uo*COS(2*PI()*Wn*Sheet2!A2254) + (Vo/Wn - (Po*(w/Wn))/(K*(1-(w/Wn)^2)))*SIN(2*PI()*Wn*Sheet2!A2254) +(Po*SIN(2*PI()*w*Sheet2!A2254))/(K*(1-(w/Wn)^2))</f>
        <v>-19.813156495054926</v>
      </c>
      <c r="C2254">
        <f t="shared" si="142"/>
        <v>-2.5427863621354607</v>
      </c>
      <c r="D2254">
        <f t="shared" si="143"/>
        <v>-415.35104101264773</v>
      </c>
      <c r="R2254">
        <f t="shared" si="140"/>
        <v>2.2519999999999998</v>
      </c>
      <c r="S2254">
        <f t="shared" si="141"/>
        <v>-2.5427863621354607</v>
      </c>
    </row>
    <row r="2255" spans="1:19" x14ac:dyDescent="0.3">
      <c r="A2255">
        <v>2.2530000000000001</v>
      </c>
      <c r="B2255">
        <f>Uo*COS(2*PI()*Wn*Sheet2!A2255) + (Vo/Wn - (Po*(w/Wn))/(K*(1-(w/Wn)^2)))*SIN(2*PI()*Wn*Sheet2!A2255) +(Po*SIN(2*PI()*w*Sheet2!A2255))/(K*(1-(w/Wn)^2))</f>
        <v>-19.859214468788288</v>
      </c>
      <c r="C2255">
        <f t="shared" si="142"/>
        <v>-2.5511875036211573</v>
      </c>
      <c r="D2255">
        <f t="shared" si="143"/>
        <v>-416.72332415595048</v>
      </c>
      <c r="R2255">
        <f t="shared" si="140"/>
        <v>2.2530000000000001</v>
      </c>
      <c r="S2255">
        <f t="shared" si="141"/>
        <v>-2.5511875036211573</v>
      </c>
    </row>
    <row r="2256" spans="1:19" x14ac:dyDescent="0.3">
      <c r="A2256">
        <v>2.254</v>
      </c>
      <c r="B2256">
        <f>Uo*COS(2*PI()*Wn*Sheet2!A2256) + (Vo/Wn - (Po*(w/Wn))/(K*(1-(w/Wn)^2)))*SIN(2*PI()*Wn*Sheet2!A2256) +(Po*SIN(2*PI()*w*Sheet2!A2256))/(K*(1-(w/Wn)^2))</f>
        <v>-19.898784818575677</v>
      </c>
      <c r="C2256">
        <f t="shared" si="142"/>
        <v>-2.5587408029048313</v>
      </c>
      <c r="D2256">
        <f t="shared" si="143"/>
        <v>-417.95711664723922</v>
      </c>
      <c r="R2256">
        <f t="shared" si="140"/>
        <v>2.254</v>
      </c>
      <c r="S2256">
        <f t="shared" si="141"/>
        <v>-2.5587408029048313</v>
      </c>
    </row>
    <row r="2257" spans="1:19" x14ac:dyDescent="0.3">
      <c r="A2257">
        <v>2.2549999999999999</v>
      </c>
      <c r="B2257">
        <f>Uo*COS(2*PI()*Wn*Sheet2!A2257) + (Vo/Wn - (Po*(w/Wn))/(K*(1-(w/Wn)^2)))*SIN(2*PI()*Wn*Sheet2!A2257) +(Po*SIN(2*PI()*w*Sheet2!A2257))/(K*(1-(w/Wn)^2))</f>
        <v>-19.931854617543863</v>
      </c>
      <c r="C2257">
        <f t="shared" si="142"/>
        <v>-2.5654453257506256</v>
      </c>
      <c r="D2257">
        <f t="shared" si="143"/>
        <v>-419.05226588390377</v>
      </c>
      <c r="R2257">
        <f t="shared" si="140"/>
        <v>2.2549999999999999</v>
      </c>
      <c r="S2257">
        <f t="shared" si="141"/>
        <v>-2.5654453257506256</v>
      </c>
    </row>
    <row r="2258" spans="1:19" x14ac:dyDescent="0.3">
      <c r="A2258">
        <v>2.2559999999999998</v>
      </c>
      <c r="B2258">
        <f>Uo*COS(2*PI()*Wn*Sheet2!A2258) + (Vo/Wn - (Po*(w/Wn))/(K*(1-(w/Wn)^2)))*SIN(2*PI()*Wn*Sheet2!A2258) +(Po*SIN(2*PI()*w*Sheet2!A2258))/(K*(1-(w/Wn)^2))</f>
        <v>-19.958413062424675</v>
      </c>
      <c r="C2258">
        <f t="shared" si="142"/>
        <v>-2.5713004166382811</v>
      </c>
      <c r="D2258">
        <f t="shared" si="143"/>
        <v>-420.00866479008994</v>
      </c>
      <c r="R2258">
        <f t="shared" si="140"/>
        <v>2.2559999999999998</v>
      </c>
      <c r="S2258">
        <f t="shared" si="141"/>
        <v>-2.5713004166382811</v>
      </c>
    </row>
    <row r="2259" spans="1:19" x14ac:dyDescent="0.3">
      <c r="A2259">
        <v>2.2570000000000001</v>
      </c>
      <c r="B2259">
        <f>Uo*COS(2*PI()*Wn*Sheet2!A2259) + (Vo/Wn - (Po*(w/Wn))/(K*(1-(w/Wn)^2)))*SIN(2*PI()*Wn*Sheet2!A2259) +(Po*SIN(2*PI()*w*Sheet2!A2259))/(K*(1-(w/Wn)^2))</f>
        <v>-19.978451477084246</v>
      </c>
      <c r="C2259">
        <f t="shared" si="142"/>
        <v>-2.5763056984737673</v>
      </c>
      <c r="D2259">
        <f t="shared" si="143"/>
        <v>-420.82625176943213</v>
      </c>
      <c r="R2259">
        <f t="shared" si="140"/>
        <v>2.2570000000000001</v>
      </c>
      <c r="S2259">
        <f t="shared" si="141"/>
        <v>-2.5763056984737673</v>
      </c>
    </row>
    <row r="2260" spans="1:19" x14ac:dyDescent="0.3">
      <c r="A2260">
        <v>2.258</v>
      </c>
      <c r="B2260">
        <f>Uo*COS(2*PI()*Wn*Sheet2!A2260) + (Vo/Wn - (Po*(w/Wn))/(K*(1-(w/Wn)^2)))*SIN(2*PI()*Wn*Sheet2!A2260) +(Po*SIN(2*PI()*w*Sheet2!A2260))/(K*(1-(w/Wn)^2))</f>
        <v>-19.991963315357367</v>
      </c>
      <c r="C2260">
        <f t="shared" si="142"/>
        <v>-2.5804610722095696</v>
      </c>
      <c r="D2260">
        <f t="shared" si="143"/>
        <v>-421.50501064302961</v>
      </c>
      <c r="R2260">
        <f t="shared" si="140"/>
        <v>2.258</v>
      </c>
      <c r="S2260">
        <f t="shared" si="141"/>
        <v>-2.5804610722095696</v>
      </c>
    </row>
    <row r="2261" spans="1:19" x14ac:dyDescent="0.3">
      <c r="A2261">
        <v>2.2589999999999999</v>
      </c>
      <c r="B2261">
        <f>Uo*COS(2*PI()*Wn*Sheet2!A2261) + (Vo/Wn - (Po*(w/Wn))/(K*(1-(w/Wn)^2)))*SIN(2*PI()*Wn*Sheet2!A2261) +(Po*SIN(2*PI()*w*Sheet2!A2261))/(K*(1-(w/Wn)^2))</f>
        <v>-19.998944163185982</v>
      </c>
      <c r="C2261">
        <f t="shared" si="142"/>
        <v>-2.5837667163749298</v>
      </c>
      <c r="D2261">
        <f t="shared" si="143"/>
        <v>-422.04497057271345</v>
      </c>
      <c r="R2261">
        <f t="shared" si="140"/>
        <v>2.2589999999999999</v>
      </c>
      <c r="S2261">
        <f t="shared" si="141"/>
        <v>-2.5837667163749298</v>
      </c>
    </row>
    <row r="2262" spans="1:19" x14ac:dyDescent="0.3">
      <c r="A2262">
        <v>2.2599999999999998</v>
      </c>
      <c r="B2262">
        <f>Uo*COS(2*PI()*Wn*Sheet2!A2262) + (Vo/Wn - (Po*(w/Wn))/(K*(1-(w/Wn)^2)))*SIN(2*PI()*Wn*Sheet2!A2262) +(Po*SIN(2*PI()*w*Sheet2!A2262))/(K*(1-(w/Wn)^2))</f>
        <v>-19.999391740061196</v>
      </c>
      <c r="C2262">
        <f t="shared" si="142"/>
        <v>-2.5862230865163132</v>
      </c>
      <c r="D2262">
        <f t="shared" si="143"/>
        <v>-422.4462059696499</v>
      </c>
      <c r="R2262">
        <f t="shared" si="140"/>
        <v>2.2599999999999998</v>
      </c>
      <c r="S2262">
        <f t="shared" si="141"/>
        <v>-2.5862230865163132</v>
      </c>
    </row>
    <row r="2263" spans="1:19" x14ac:dyDescent="0.3">
      <c r="A2263">
        <v>2.2610000000000001</v>
      </c>
      <c r="B2263">
        <f>Uo*COS(2*PI()*Wn*Sheet2!A2263) + (Vo/Wn - (Po*(w/Wn))/(K*(1-(w/Wn)^2)))*SIN(2*PI()*Wn*Sheet2!A2263) +(Po*SIN(2*PI()*w*Sheet2!A2263))/(K*(1-(w/Wn)^2))</f>
        <v>-19.993305899768227</v>
      </c>
      <c r="C2263">
        <f t="shared" si="142"/>
        <v>-2.5878309145484759</v>
      </c>
      <c r="D2263">
        <f t="shared" si="143"/>
        <v>-422.70883638834039</v>
      </c>
      <c r="R2263">
        <f t="shared" si="140"/>
        <v>2.2610000000000001</v>
      </c>
      <c r="S2263">
        <f t="shared" si="141"/>
        <v>-2.5878309145484759</v>
      </c>
    </row>
    <row r="2264" spans="1:19" x14ac:dyDescent="0.3">
      <c r="A2264">
        <v>2.262</v>
      </c>
      <c r="B2264">
        <f>Uo*COS(2*PI()*Wn*Sheet2!A2264) + (Vo/Wn - (Po*(w/Wn))/(K*(1-(w/Wn)^2)))*SIN(2*PI()*Wn*Sheet2!A2264) +(Po*SIN(2*PI()*w*Sheet2!A2264))/(K*(1-(w/Wn)^2))</f>
        <v>-19.980688630434223</v>
      </c>
      <c r="C2264">
        <f t="shared" si="142"/>
        <v>-2.5885912080165094</v>
      </c>
      <c r="D2264">
        <f t="shared" si="143"/>
        <v>-422.83302640608048</v>
      </c>
      <c r="R2264">
        <f t="shared" si="140"/>
        <v>2.262</v>
      </c>
      <c r="S2264">
        <f t="shared" si="141"/>
        <v>-2.5885912080165094</v>
      </c>
    </row>
    <row r="2265" spans="1:19" x14ac:dyDescent="0.3">
      <c r="A2265">
        <v>2.2629999999999999</v>
      </c>
      <c r="B2265">
        <f>Uo*COS(2*PI()*Wn*Sheet2!A2265) + (Vo/Wn - (Po*(w/Wn))/(K*(1-(w/Wn)^2)))*SIN(2*PI()*Wn*Sheet2!A2265) +(Po*SIN(2*PI()*w*Sheet2!A2265))/(K*(1-(w/Wn)^2))</f>
        <v>-19.961544053878747</v>
      </c>
      <c r="C2265">
        <f t="shared" si="142"/>
        <v>-2.5885052492692573</v>
      </c>
      <c r="D2265">
        <f t="shared" si="143"/>
        <v>-422.81898548794163</v>
      </c>
      <c r="R2265">
        <f t="shared" si="140"/>
        <v>2.2629999999999999</v>
      </c>
      <c r="S2265">
        <f t="shared" si="141"/>
        <v>-2.5885052492692573</v>
      </c>
    </row>
    <row r="2266" spans="1:19" x14ac:dyDescent="0.3">
      <c r="A2266">
        <v>2.2639999999999998</v>
      </c>
      <c r="B2266">
        <f>Uo*COS(2*PI()*Wn*Sheet2!A2266) + (Vo/Wn - (Po*(w/Wn))/(K*(1-(w/Wn)^2)))*SIN(2*PI()*Wn*Sheet2!A2266) +(Po*SIN(2*PI()*w*Sheet2!A2266))/(K*(1-(w/Wn)^2))</f>
        <v>-19.935878424267244</v>
      </c>
      <c r="C2266">
        <f t="shared" si="142"/>
        <v>-2.5875745945445199</v>
      </c>
      <c r="D2266">
        <f t="shared" si="143"/>
        <v>-422.6669678373442</v>
      </c>
      <c r="R2266">
        <f t="shared" si="140"/>
        <v>2.2639999999999998</v>
      </c>
      <c r="S2266">
        <f t="shared" si="141"/>
        <v>-2.5875745945445199</v>
      </c>
    </row>
    <row r="2267" spans="1:19" x14ac:dyDescent="0.3">
      <c r="A2267">
        <v>2.2650000000000001</v>
      </c>
      <c r="B2267">
        <f>Uo*COS(2*PI()*Wn*Sheet2!A2267) + (Vo/Wn - (Po*(w/Wn))/(K*(1-(w/Wn)^2)))*SIN(2*PI()*Wn*Sheet2!A2267) +(Po*SIN(2*PI()*w*Sheet2!A2267))/(K*(1-(w/Wn)^2))</f>
        <v>-19.903700126067982</v>
      </c>
      <c r="C2267">
        <f t="shared" si="142"/>
        <v>-2.5858010729665319</v>
      </c>
      <c r="D2267">
        <f t="shared" si="143"/>
        <v>-422.37727223230047</v>
      </c>
      <c r="R2267">
        <f t="shared" si="140"/>
        <v>2.2650000000000001</v>
      </c>
      <c r="S2267">
        <f t="shared" si="141"/>
        <v>-2.5858010729665319</v>
      </c>
    </row>
    <row r="2268" spans="1:19" x14ac:dyDescent="0.3">
      <c r="A2268">
        <v>2.266</v>
      </c>
      <c r="B2268">
        <f>Uo*COS(2*PI()*Wn*Sheet2!A2268) + (Vo/Wn - (Po*(w/Wn))/(K*(1-(w/Wn)^2)))*SIN(2*PI()*Wn*Sheet2!A2268) +(Po*SIN(2*PI()*w*Sheet2!A2268))/(K*(1-(w/Wn)^2))</f>
        <v>-19.865019671312954</v>
      </c>
      <c r="C2268">
        <f t="shared" si="142"/>
        <v>-2.5831867854561752</v>
      </c>
      <c r="D2268">
        <f t="shared" si="143"/>
        <v>-421.95024184740367</v>
      </c>
      <c r="R2268">
        <f t="shared" si="140"/>
        <v>2.266</v>
      </c>
      <c r="S2268">
        <f t="shared" si="141"/>
        <v>-2.5831867854561752</v>
      </c>
    </row>
    <row r="2269" spans="1:19" x14ac:dyDescent="0.3">
      <c r="A2269">
        <v>2.2669999999999999</v>
      </c>
      <c r="B2269">
        <f>Uo*COS(2*PI()*Wn*Sheet2!A2269) + (Vo/Wn - (Po*(w/Wn))/(K*(1-(w/Wn)^2)))*SIN(2*PI()*Wn*Sheet2!A2269) +(Po*SIN(2*PI()*w*Sheet2!A2269))/(K*(1-(w/Wn)^2))</f>
        <v>-19.819849696163843</v>
      </c>
      <c r="C2269">
        <f t="shared" si="142"/>
        <v>-2.5797341035544514</v>
      </c>
      <c r="D2269">
        <f t="shared" si="143"/>
        <v>-421.38626406164815</v>
      </c>
      <c r="R2269">
        <f t="shared" si="140"/>
        <v>2.2669999999999999</v>
      </c>
      <c r="S2269">
        <f t="shared" si="141"/>
        <v>-2.5797341035544514</v>
      </c>
    </row>
    <row r="2270" spans="1:19" x14ac:dyDescent="0.3">
      <c r="A2270">
        <v>2.2679999999999998</v>
      </c>
      <c r="B2270">
        <f>Uo*COS(2*PI()*Wn*Sheet2!A2270) + (Vo/Wn - (Po*(w/Wn))/(K*(1-(w/Wn)^2)))*SIN(2*PI()*Wn*Sheet2!A2270) +(Po*SIN(2*PI()*w*Sheet2!A2270))/(K*(1-(w/Wn)^2))</f>
        <v>-19.768204956783968</v>
      </c>
      <c r="C2270">
        <f t="shared" si="142"/>
        <v>-2.5754456681597495</v>
      </c>
      <c r="D2270">
        <f t="shared" si="143"/>
        <v>-420.6857702521686</v>
      </c>
      <c r="R2270">
        <f t="shared" si="140"/>
        <v>2.2679999999999998</v>
      </c>
      <c r="S2270">
        <f t="shared" si="141"/>
        <v>-2.5754456681597495</v>
      </c>
    </row>
    <row r="2271" spans="1:19" x14ac:dyDescent="0.3">
      <c r="A2271">
        <v>2.2690000000000001</v>
      </c>
      <c r="B2271">
        <f>Uo*COS(2*PI()*Wn*Sheet2!A2271) + (Vo/Wn - (Po*(w/Wn))/(K*(1-(w/Wn)^2)))*SIN(2*PI()*Wn*Sheet2!A2271) +(Po*SIN(2*PI()*w*Sheet2!A2271))/(K*(1-(w/Wn)^2))</f>
        <v>-19.710102324517738</v>
      </c>
      <c r="C2271">
        <f t="shared" si="142"/>
        <v>-2.5703243881794871</v>
      </c>
      <c r="D2271">
        <f t="shared" si="143"/>
        <v>-419.84923557399264</v>
      </c>
      <c r="R2271">
        <f t="shared" si="140"/>
        <v>2.2690000000000001</v>
      </c>
      <c r="S2271">
        <f t="shared" si="141"/>
        <v>-2.5703243881794871</v>
      </c>
    </row>
    <row r="2272" spans="1:19" x14ac:dyDescent="0.3">
      <c r="A2272">
        <v>2.27</v>
      </c>
      <c r="B2272">
        <f>Uo*COS(2*PI()*Wn*Sheet2!A2272) + (Vo/Wn - (Po*(w/Wn))/(K*(1-(w/Wn)^2)))*SIN(2*PI()*Wn*Sheet2!A2272) +(Po*SIN(2*PI()*w*Sheet2!A2272))/(K*(1-(w/Wn)^2))</f>
        <v>-19.64556078037927</v>
      </c>
      <c r="C2272">
        <f t="shared" si="142"/>
        <v>-2.5643734390967095</v>
      </c>
      <c r="D2272">
        <f t="shared" si="143"/>
        <v>-418.87717872590213</v>
      </c>
      <c r="R2272">
        <f t="shared" si="140"/>
        <v>2.27</v>
      </c>
      <c r="S2272">
        <f t="shared" si="141"/>
        <v>-2.5643734390967095</v>
      </c>
    </row>
    <row r="2273" spans="1:19" x14ac:dyDescent="0.3">
      <c r="A2273">
        <v>2.2709999999999999</v>
      </c>
      <c r="B2273">
        <f>Uo*COS(2*PI()*Wn*Sheet2!A2273) + (Vo/Wn - (Po*(w/Wn))/(K*(1-(w/Wn)^2)))*SIN(2*PI()*Wn*Sheet2!A2273) +(Po*SIN(2*PI()*w*Sheet2!A2273))/(K*(1-(w/Wn)^2))</f>
        <v>-19.57460140885139</v>
      </c>
      <c r="C2273">
        <f t="shared" si="142"/>
        <v>-2.5575962614522574</v>
      </c>
      <c r="D2273">
        <f t="shared" si="143"/>
        <v>-417.77016170250312</v>
      </c>
      <c r="R2273">
        <f t="shared" si="140"/>
        <v>2.2709999999999999</v>
      </c>
      <c r="S2273">
        <f t="shared" si="141"/>
        <v>-2.5575962614522574</v>
      </c>
    </row>
    <row r="2274" spans="1:19" x14ac:dyDescent="0.3">
      <c r="A2274">
        <v>2.2719999999999998</v>
      </c>
      <c r="B2274">
        <f>Uo*COS(2*PI()*Wn*Sheet2!A2274) + (Vo/Wn - (Po*(w/Wn))/(K*(1-(w/Wn)^2)))*SIN(2*PI()*Wn*Sheet2!A2274) +(Po*SIN(2*PI()*w*Sheet2!A2274))/(K*(1-(w/Wn)^2))</f>
        <v>-19.497247390997881</v>
      </c>
      <c r="C2274">
        <f t="shared" si="142"/>
        <v>-2.5499965592431915</v>
      </c>
      <c r="D2274">
        <f t="shared" si="143"/>
        <v>-416.52878953261671</v>
      </c>
      <c r="R2274">
        <f t="shared" si="140"/>
        <v>2.2719999999999998</v>
      </c>
      <c r="S2274">
        <f t="shared" si="141"/>
        <v>-2.5499965592431915</v>
      </c>
    </row>
    <row r="2275" spans="1:19" x14ac:dyDescent="0.3">
      <c r="A2275">
        <v>2.2730000000000001</v>
      </c>
      <c r="B2275">
        <f>Uo*COS(2*PI()*Wn*Sheet2!A2275) + (Vo/Wn - (Po*(w/Wn))/(K*(1-(w/Wn)^2)))*SIN(2*PI()*Wn*Sheet2!A2275) +(Po*SIN(2*PI()*w*Sheet2!A2275))/(K*(1-(w/Wn)^2))</f>
        <v>-19.413523996890724</v>
      </c>
      <c r="C2275">
        <f t="shared" si="142"/>
        <v>-2.5415782982380897</v>
      </c>
      <c r="D2275">
        <f t="shared" si="143"/>
        <v>-415.15371000409164</v>
      </c>
      <c r="R2275">
        <f t="shared" si="140"/>
        <v>2.2730000000000001</v>
      </c>
      <c r="S2275">
        <f t="shared" si="141"/>
        <v>-2.5415782982380897</v>
      </c>
    </row>
    <row r="2276" spans="1:19" x14ac:dyDescent="0.3">
      <c r="A2276">
        <v>2.274</v>
      </c>
      <c r="B2276">
        <f>Uo*COS(2*PI()*Wn*Sheet2!A2276) + (Vo/Wn - (Po*(w/Wn))/(K*(1-(w/Wn)^2)))*SIN(2*PI()*Wn*Sheet2!A2276) +(Po*SIN(2*PI()*w*Sheet2!A2276))/(K*(1-(w/Wn)^2))</f>
        <v>-19.323458577354756</v>
      </c>
      <c r="C2276">
        <f t="shared" si="142"/>
        <v>-2.5323457042099782</v>
      </c>
      <c r="D2276">
        <f t="shared" si="143"/>
        <v>-413.64561337516261</v>
      </c>
      <c r="R2276">
        <f t="shared" si="140"/>
        <v>2.274</v>
      </c>
      <c r="S2276">
        <f t="shared" si="141"/>
        <v>-2.5323457042099782</v>
      </c>
    </row>
    <row r="2277" spans="1:19" x14ac:dyDescent="0.3">
      <c r="A2277">
        <v>2.2749999999999999</v>
      </c>
      <c r="B2277">
        <f>Uo*COS(2*PI()*Wn*Sheet2!A2277) + (Vo/Wn - (Po*(w/Wn))/(K*(1-(w/Wn)^2)))*SIN(2*PI()*Wn*Sheet2!A2277) +(Po*SIN(2*PI()*w*Sheet2!A2277))/(K*(1-(w/Wn)^2))</f>
        <v>-19.227080555032764</v>
      </c>
      <c r="C2277">
        <f t="shared" si="142"/>
        <v>-2.5223032610875675</v>
      </c>
      <c r="D2277">
        <f t="shared" si="143"/>
        <v>-412.00523207246414</v>
      </c>
      <c r="R2277">
        <f t="shared" si="140"/>
        <v>2.2749999999999999</v>
      </c>
      <c r="S2277">
        <f t="shared" si="141"/>
        <v>-2.5223032610875675</v>
      </c>
    </row>
    <row r="2278" spans="1:19" x14ac:dyDescent="0.3">
      <c r="A2278">
        <v>2.2759999999999998</v>
      </c>
      <c r="B2278">
        <f>Uo*COS(2*PI()*Wn*Sheet2!A2278) + (Vo/Wn - (Po*(w/Wn))/(K*(1-(w/Wn)^2)))*SIN(2*PI()*Wn*Sheet2!A2278) +(Po*SIN(2*PI()*w*Sheet2!A2278))/(K*(1-(w/Wn)^2))</f>
        <v>-19.124421414773547</v>
      </c>
      <c r="C2278">
        <f t="shared" si="142"/>
        <v>-2.5114557090255838</v>
      </c>
      <c r="D2278">
        <f t="shared" si="143"/>
        <v>-410.23334037582941</v>
      </c>
      <c r="R2278">
        <f t="shared" si="140"/>
        <v>2.2759999999999998</v>
      </c>
      <c r="S2278">
        <f t="shared" si="141"/>
        <v>-2.5114557090255838</v>
      </c>
    </row>
    <row r="2279" spans="1:19" x14ac:dyDescent="0.3">
      <c r="A2279">
        <v>2.2770000000000001</v>
      </c>
      <c r="B2279">
        <f>Uo*COS(2*PI()*Wn*Sheet2!A2279) + (Vo/Wn - (Po*(w/Wn))/(K*(1-(w/Wn)^2)))*SIN(2*PI()*Wn*Sheet2!A2279) +(Po*SIN(2*PI()*w*Sheet2!A2279))/(K*(1-(w/Wn)^2))</f>
        <v>-19.015514693346439</v>
      </c>
      <c r="C2279">
        <f t="shared" si="142"/>
        <v>-2.49980804239493</v>
      </c>
      <c r="D2279">
        <f t="shared" si="143"/>
        <v>-408.33075408999321</v>
      </c>
      <c r="R2279">
        <f t="shared" si="140"/>
        <v>2.2770000000000001</v>
      </c>
      <c r="S2279">
        <f t="shared" si="141"/>
        <v>-2.49980804239493</v>
      </c>
    </row>
    <row r="2280" spans="1:19" x14ac:dyDescent="0.3">
      <c r="A2280">
        <v>2.278</v>
      </c>
      <c r="B2280">
        <f>Uo*COS(2*PI()*Wn*Sheet2!A2280) + (Vo/Wn - (Po*(w/Wn))/(K*(1-(w/Wn)^2)))*SIN(2*PI()*Wn*Sheet2!A2280) +(Po*SIN(2*PI()*w*Sheet2!A2280))/(K*(1-(w/Wn)^2))</f>
        <v>-18.900395968485817</v>
      </c>
      <c r="C2280">
        <f t="shared" si="142"/>
        <v>-2.4873655076935766</v>
      </c>
      <c r="D2280">
        <f t="shared" si="143"/>
        <v>-406.29833020334667</v>
      </c>
      <c r="R2280">
        <f t="shared" si="140"/>
        <v>2.278</v>
      </c>
      <c r="S2280">
        <f t="shared" si="141"/>
        <v>-2.4873655076935766</v>
      </c>
    </row>
    <row r="2281" spans="1:19" x14ac:dyDescent="0.3">
      <c r="A2281">
        <v>2.2789999999999999</v>
      </c>
      <c r="B2281">
        <f>Uo*COS(2*PI()*Wn*Sheet2!A2281) + (Vo/Wn - (Po*(w/Wn))/(K*(1-(w/Wn)^2)))*SIN(2*PI()*Wn*Sheet2!A2281) +(Po*SIN(2*PI()*w*Sheet2!A2281))/(K*(1-(w/Wn)^2))</f>
        <v>-18.779102847267957</v>
      </c>
      <c r="C2281">
        <f t="shared" si="142"/>
        <v>-2.4741336013788251</v>
      </c>
      <c r="D2281">
        <f t="shared" si="143"/>
        <v>-404.13696653384898</v>
      </c>
      <c r="R2281">
        <f t="shared" si="140"/>
        <v>2.2789999999999999</v>
      </c>
      <c r="S2281">
        <f t="shared" si="141"/>
        <v>-2.4741336013788251</v>
      </c>
    </row>
    <row r="2282" spans="1:19" x14ac:dyDescent="0.3">
      <c r="A2282">
        <v>2.2799999999999998</v>
      </c>
      <c r="B2282">
        <f>Uo*COS(2*PI()*Wn*Sheet2!A2282) + (Vo/Wn - (Po*(w/Wn))/(K*(1-(w/Wn)^2)))*SIN(2*PI()*Wn*Sheet2!A2282) +(Po*SIN(2*PI()*w*Sheet2!A2282))/(K*(1-(w/Wn)^2))</f>
        <v>-18.65167495382607</v>
      </c>
      <c r="C2282">
        <f t="shared" si="142"/>
        <v>-2.4601180676219907</v>
      </c>
      <c r="D2282">
        <f t="shared" si="143"/>
        <v>-401.847601362266</v>
      </c>
      <c r="R2282">
        <f t="shared" si="140"/>
        <v>2.2799999999999998</v>
      </c>
      <c r="S2282">
        <f t="shared" si="141"/>
        <v>-2.4601180676219907</v>
      </c>
    </row>
    <row r="2283" spans="1:19" x14ac:dyDescent="0.3">
      <c r="A2283">
        <v>2.2810000000000001</v>
      </c>
      <c r="B2283">
        <f>Uo*COS(2*PI()*Wn*Sheet2!A2283) + (Vo/Wn - (Po*(w/Wn))/(K*(1-(w/Wn)^2)))*SIN(2*PI()*Wn*Sheet2!A2283) +(Po*SIN(2*PI()*w*Sheet2!A2283))/(K*(1-(w/Wn)^2))</f>
        <v>-18.518153916405435</v>
      </c>
      <c r="C2283">
        <f t="shared" si="142"/>
        <v>-2.4453248959862468</v>
      </c>
      <c r="D2283">
        <f t="shared" si="143"/>
        <v>-399.43121305285848</v>
      </c>
      <c r="R2283">
        <f t="shared" si="140"/>
        <v>2.2810000000000001</v>
      </c>
      <c r="S2283">
        <f t="shared" si="141"/>
        <v>-2.4453248959862468</v>
      </c>
    </row>
    <row r="2284" spans="1:19" x14ac:dyDescent="0.3">
      <c r="A2284">
        <v>2.282</v>
      </c>
      <c r="B2284">
        <f>Uo*COS(2*PI()*Wn*Sheet2!A2284) + (Vo/Wn - (Po*(w/Wn))/(K*(1-(w/Wn)^2)))*SIN(2*PI()*Wn*Sheet2!A2284) +(Po*SIN(2*PI()*w*Sheet2!A2284))/(K*(1-(w/Wn)^2))</f>
        <v>-18.37858335376459</v>
      </c>
      <c r="C2284">
        <f t="shared" si="142"/>
        <v>-2.4297603190286061</v>
      </c>
      <c r="D2284">
        <f t="shared" si="143"/>
        <v>-396.88881966167781</v>
      </c>
      <c r="R2284">
        <f t="shared" si="140"/>
        <v>2.282</v>
      </c>
      <c r="S2284">
        <f t="shared" si="141"/>
        <v>-2.4297603190286061</v>
      </c>
    </row>
    <row r="2285" spans="1:19" x14ac:dyDescent="0.3">
      <c r="A2285">
        <v>2.2829999999999999</v>
      </c>
      <c r="B2285">
        <f>Uo*COS(2*PI()*Wn*Sheet2!A2285) + (Vo/Wn - (Po*(w/Wn))/(K*(1-(w/Wn)^2)))*SIN(2*PI()*Wn*Sheet2!A2285) +(Po*SIN(2*PI()*w*Sheet2!A2285))/(K*(1-(w/Wn)^2))</f>
        <v>-18.233008860925771</v>
      </c>
      <c r="C2285">
        <f t="shared" si="142"/>
        <v>-2.4134308098268646</v>
      </c>
      <c r="D2285">
        <f t="shared" si="143"/>
        <v>-394.22147853260515</v>
      </c>
      <c r="R2285">
        <f t="shared" si="140"/>
        <v>2.2829999999999999</v>
      </c>
      <c r="S2285">
        <f t="shared" si="141"/>
        <v>-2.4134308098268646</v>
      </c>
    </row>
    <row r="2286" spans="1:19" x14ac:dyDescent="0.3">
      <c r="A2286">
        <v>2.2839999999999998</v>
      </c>
      <c r="B2286">
        <f>Uo*COS(2*PI()*Wn*Sheet2!A2286) + (Vo/Wn - (Po*(w/Wn))/(K*(1-(w/Wn)^2)))*SIN(2*PI()*Wn*Sheet2!A2286) +(Po*SIN(2*PI()*w*Sheet2!A2286))/(K*(1-(w/Wn)^2))</f>
        <v>-18.081477994279805</v>
      </c>
      <c r="C2286">
        <f t="shared" si="142"/>
        <v>-2.3963430794325715</v>
      </c>
      <c r="D2286">
        <f t="shared" si="143"/>
        <v>-391.43028588130721</v>
      </c>
      <c r="R2286">
        <f t="shared" si="140"/>
        <v>2.2839999999999998</v>
      </c>
      <c r="S2286">
        <f t="shared" si="141"/>
        <v>-2.3963430794325715</v>
      </c>
    </row>
    <row r="2287" spans="1:19" x14ac:dyDescent="0.3">
      <c r="A2287">
        <v>2.2850000000000001</v>
      </c>
      <c r="B2287">
        <f>Uo*COS(2*PI()*Wn*Sheet2!A2287) + (Vo/Wn - (Po*(w/Wn))/(K*(1-(w/Wn)^2)))*SIN(2*PI()*Wn*Sheet2!A2287) +(Po*SIN(2*PI()*w*Sheet2!A2287))/(K*(1-(w/Wn)^2))</f>
        <v>-17.924040256050354</v>
      </c>
      <c r="C2287">
        <f t="shared" si="142"/>
        <v>-2.378504074250861</v>
      </c>
      <c r="D2287">
        <f t="shared" si="143"/>
        <v>-388.5163763672453</v>
      </c>
      <c r="R2287">
        <f t="shared" si="140"/>
        <v>2.2850000000000001</v>
      </c>
      <c r="S2287">
        <f t="shared" si="141"/>
        <v>-2.378504074250861</v>
      </c>
    </row>
    <row r="2288" spans="1:19" x14ac:dyDescent="0.3">
      <c r="A2288">
        <v>2.286</v>
      </c>
      <c r="B2288">
        <f>Uo*COS(2*PI()*Wn*Sheet2!A2288) + (Vo/Wn - (Po*(w/Wn))/(K*(1-(w/Wn)^2)))*SIN(2*PI()*Wn*Sheet2!A2288) +(Po*SIN(2*PI()*w*Sheet2!A2288))/(K*(1-(w/Wn)^2))</f>
        <v>-17.760747078122961</v>
      </c>
      <c r="C2288">
        <f t="shared" si="142"/>
        <v>-2.3599209733483053</v>
      </c>
      <c r="D2288">
        <f t="shared" si="143"/>
        <v>-385.48092265392683</v>
      </c>
      <c r="R2288">
        <f t="shared" si="140"/>
        <v>2.286</v>
      </c>
      <c r="S2288">
        <f t="shared" si="141"/>
        <v>-2.3599209733483053</v>
      </c>
    </row>
    <row r="2289" spans="1:19" x14ac:dyDescent="0.3">
      <c r="A2289">
        <v>2.2869999999999999</v>
      </c>
      <c r="B2289">
        <f>Uo*COS(2*PI()*Wn*Sheet2!A2289) + (Vo/Wn - (Po*(w/Wn))/(K*(1-(w/Wn)^2)))*SIN(2*PI()*Wn*Sheet2!A2289) +(Po*SIN(2*PI()*w*Sheet2!A2289))/(K*(1-(w/Wn)^2))</f>
        <v>-17.591651805242414</v>
      </c>
      <c r="C2289">
        <f t="shared" si="142"/>
        <v>-2.3406011856895539</v>
      </c>
      <c r="D2289">
        <f t="shared" si="143"/>
        <v>-382.32513495752488</v>
      </c>
      <c r="R2289">
        <f t="shared" si="140"/>
        <v>2.2869999999999999</v>
      </c>
      <c r="S2289">
        <f t="shared" si="141"/>
        <v>-2.3406011856895539</v>
      </c>
    </row>
    <row r="2290" spans="1:19" x14ac:dyDescent="0.3">
      <c r="A2290">
        <v>2.2879999999999998</v>
      </c>
      <c r="B2290">
        <f>Uo*COS(2*PI()*Wn*Sheet2!A2290) + (Vo/Wn - (Po*(w/Wn))/(K*(1-(w/Wn)^2)))*SIN(2*PI()*Wn*Sheet2!A2290) +(Po*SIN(2*PI()*w*Sheet2!A2290))/(K*(1-(w/Wn)^2))</f>
        <v>-17.416809677586805</v>
      </c>
      <c r="C2290">
        <f t="shared" si="142"/>
        <v>-2.3205523473040355</v>
      </c>
      <c r="D2290">
        <f t="shared" si="143"/>
        <v>-379.05026058407338</v>
      </c>
      <c r="R2290">
        <f t="shared" si="140"/>
        <v>2.2879999999999998</v>
      </c>
      <c r="S2290">
        <f t="shared" si="141"/>
        <v>-2.3205523473040355</v>
      </c>
    </row>
    <row r="2291" spans="1:19" x14ac:dyDescent="0.3">
      <c r="A2291">
        <v>2.2890000000000001</v>
      </c>
      <c r="B2291">
        <f>Uo*COS(2*PI()*Wn*Sheet2!A2291) + (Vo/Wn - (Po*(w/Wn))/(K*(1-(w/Wn)^2)))*SIN(2*PI()*Wn*Sheet2!A2291) +(Po*SIN(2*PI()*w*Sheet2!A2291))/(K*(1-(w/Wn)^2))</f>
        <v>-17.236277812721049</v>
      </c>
      <c r="C2291">
        <f t="shared" si="142"/>
        <v>-2.2997823183836128</v>
      </c>
      <c r="D2291">
        <f t="shared" si="143"/>
        <v>-375.65758345538399</v>
      </c>
      <c r="R2291">
        <f t="shared" si="140"/>
        <v>2.2890000000000001</v>
      </c>
      <c r="S2291">
        <f t="shared" si="141"/>
        <v>-2.2997823183836128</v>
      </c>
    </row>
    <row r="2292" spans="1:19" x14ac:dyDescent="0.3">
      <c r="A2292">
        <v>2.29</v>
      </c>
      <c r="B2292">
        <f>Uo*COS(2*PI()*Wn*Sheet2!A2292) + (Vo/Wn - (Po*(w/Wn))/(K*(1-(w/Wn)^2)))*SIN(2*PI()*Wn*Sheet2!A2292) +(Po*SIN(2*PI()*w*Sheet2!A2292))/(K*(1-(w/Wn)^2))</f>
        <v>-17.050115186938122</v>
      </c>
      <c r="C2292">
        <f t="shared" si="142"/>
        <v>-2.2782991803123558</v>
      </c>
      <c r="D2292">
        <f t="shared" si="143"/>
        <v>-372.14842362387481</v>
      </c>
      <c r="R2292">
        <f t="shared" si="140"/>
        <v>2.29</v>
      </c>
      <c r="S2292">
        <f t="shared" si="141"/>
        <v>-2.2782991803123558</v>
      </c>
    </row>
    <row r="2293" spans="1:19" x14ac:dyDescent="0.3">
      <c r="A2293">
        <v>2.2909999999999999</v>
      </c>
      <c r="B2293">
        <f>Uo*COS(2*PI()*Wn*Sheet2!A2293) + (Vo/Wn - (Po*(w/Wn))/(K*(1-(w/Wn)^2)))*SIN(2*PI()*Wn*Sheet2!A2293) +(Po*SIN(2*PI()*w*Sheet2!A2293))/(K*(1-(w/Wn)^2))</f>
        <v>-16.858382615992458</v>
      </c>
      <c r="C2293">
        <f t="shared" si="142"/>
        <v>-2.256111232629423</v>
      </c>
      <c r="D2293">
        <f t="shared" si="143"/>
        <v>-368.52413677647297</v>
      </c>
      <c r="R2293">
        <f t="shared" si="140"/>
        <v>2.2909999999999999</v>
      </c>
      <c r="S2293">
        <f t="shared" si="141"/>
        <v>-2.256111232629423</v>
      </c>
    </row>
    <row r="2294" spans="1:19" x14ac:dyDescent="0.3">
      <c r="A2294">
        <v>2.2919999999999998</v>
      </c>
      <c r="B2294">
        <f>Uo*COS(2*PI()*Wn*Sheet2!A2294) + (Vo/Wn - (Po*(w/Wn))/(K*(1-(w/Wn)^2)))*SIN(2*PI()*Wn*Sheet2!A2294) +(Po*SIN(2*PI()*w*Sheet2!A2294))/(K*(1-(w/Wn)^2))</f>
        <v>-16.661142735232445</v>
      </c>
      <c r="C2294">
        <f t="shared" si="142"/>
        <v>-2.2332269899262909</v>
      </c>
      <c r="D2294">
        <f t="shared" si="143"/>
        <v>-364.78611372779278</v>
      </c>
      <c r="R2294">
        <f t="shared" si="140"/>
        <v>2.2919999999999998</v>
      </c>
      <c r="S2294">
        <f t="shared" si="141"/>
        <v>-2.2332269899262909</v>
      </c>
    </row>
    <row r="2295" spans="1:19" x14ac:dyDescent="0.3">
      <c r="A2295">
        <v>2.2930000000000001</v>
      </c>
      <c r="B2295">
        <f>Uo*COS(2*PI()*Wn*Sheet2!A2295) + (Vo/Wn - (Po*(w/Wn))/(K*(1-(w/Wn)^2)))*SIN(2*PI()*Wn*Sheet2!A2295) +(Po*SIN(2*PI()*w*Sheet2!A2295))/(K*(1-(w/Wn)^2))</f>
        <v>-16.458459979138734</v>
      </c>
      <c r="C2295">
        <f t="shared" si="142"/>
        <v>-2.209655178679315</v>
      </c>
      <c r="D2295">
        <f t="shared" si="143"/>
        <v>-360.93577990275105</v>
      </c>
      <c r="R2295">
        <f t="shared" si="140"/>
        <v>2.2930000000000001</v>
      </c>
      <c r="S2295">
        <f t="shared" si="141"/>
        <v>-2.209655178679315</v>
      </c>
    </row>
    <row r="2296" spans="1:19" x14ac:dyDescent="0.3">
      <c r="A2296">
        <v>2.294</v>
      </c>
      <c r="B2296">
        <f>Uo*COS(2*PI()*Wn*Sheet2!A2296) + (Vo/Wn - (Po*(w/Wn))/(K*(1-(w/Wn)^2)))*SIN(2*PI()*Wn*Sheet2!A2296) +(Po*SIN(2*PI()*w*Sheet2!A2296))/(K*(1-(w/Wn)^2))</f>
        <v>-16.250400560275281</v>
      </c>
      <c r="C2296">
        <f t="shared" si="142"/>
        <v>-2.1854047340190053</v>
      </c>
      <c r="D2296">
        <f t="shared" si="143"/>
        <v>-356.9745948088447</v>
      </c>
      <c r="R2296">
        <f t="shared" si="140"/>
        <v>2.294</v>
      </c>
      <c r="S2296">
        <f t="shared" si="141"/>
        <v>-2.1854047340190053</v>
      </c>
    </row>
    <row r="2297" spans="1:19" x14ac:dyDescent="0.3">
      <c r="A2297">
        <v>2.2949999999999999</v>
      </c>
      <c r="B2297">
        <f>Uo*COS(2*PI()*Wn*Sheet2!A2297) + (Vo/Wn - (Po*(w/Wn))/(K*(1-(w/Wn)^2)))*SIN(2*PI()*Wn*Sheet2!A2297) +(Po*SIN(2*PI()*w*Sheet2!A2297))/(K*(1-(w/Wn)^2))</f>
        <v>-16.037032447657943</v>
      </c>
      <c r="C2297">
        <f t="shared" si="142"/>
        <v>-2.1604847964368297</v>
      </c>
      <c r="D2297">
        <f t="shared" si="143"/>
        <v>-352.90405149822448</v>
      </c>
      <c r="R2297">
        <f t="shared" si="140"/>
        <v>2.2949999999999999</v>
      </c>
      <c r="S2297">
        <f t="shared" si="141"/>
        <v>-2.1604847964368297</v>
      </c>
    </row>
    <row r="2298" spans="1:19" x14ac:dyDescent="0.3">
      <c r="A2298">
        <v>2.2959999999999998</v>
      </c>
      <c r="B2298">
        <f>Uo*COS(2*PI()*Wn*Sheet2!A2298) + (Vo/Wn - (Po*(w/Wn))/(K*(1-(w/Wn)^2)))*SIN(2*PI()*Wn*Sheet2!A2298) +(Po*SIN(2*PI()*w*Sheet2!A2298))/(K*(1-(w/Wn)^2))</f>
        <v>-15.818425344551283</v>
      </c>
      <c r="C2298">
        <f t="shared" si="142"/>
        <v>-2.1349047084310957</v>
      </c>
      <c r="D2298">
        <f t="shared" si="143"/>
        <v>-348.7256760198166</v>
      </c>
      <c r="R2298">
        <f t="shared" si="140"/>
        <v>2.2959999999999998</v>
      </c>
      <c r="S2298">
        <f t="shared" si="141"/>
        <v>-2.1349047084310957</v>
      </c>
    </row>
    <row r="2299" spans="1:19" x14ac:dyDescent="0.3">
      <c r="A2299">
        <v>2.2970000000000002</v>
      </c>
      <c r="B2299">
        <f>Uo*COS(2*PI()*Wn*Sheet2!A2299) + (Vo/Wn - (Po*(w/Wn))/(K*(1-(w/Wn)^2)))*SIN(2*PI()*Wn*Sheet2!A2299) +(Po*SIN(2*PI()*w*Sheet2!A2299))/(K*(1-(w/Wn)^2))</f>
        <v>-15.594650665697092</v>
      </c>
      <c r="C2299">
        <f t="shared" si="142"/>
        <v>-2.1086740110928872</v>
      </c>
      <c r="D2299">
        <f t="shared" si="143"/>
        <v>-344.44102686165343</v>
      </c>
      <c r="R2299">
        <f t="shared" si="140"/>
        <v>2.2970000000000002</v>
      </c>
      <c r="S2299">
        <f t="shared" si="141"/>
        <v>-2.1086740110928872</v>
      </c>
    </row>
    <row r="2300" spans="1:19" x14ac:dyDescent="0.3">
      <c r="A2300">
        <v>2.298</v>
      </c>
      <c r="B2300">
        <f>Uo*COS(2*PI()*Wn*Sheet2!A2300) + (Vo/Wn - (Po*(w/Wn))/(K*(1-(w/Wn)^2)))*SIN(2*PI()*Wn*Sheet2!A2300) +(Po*SIN(2*PI()*w*Sheet2!A2300))/(K*(1-(w/Wn)^2))</f>
        <v>-15.365781513985159</v>
      </c>
      <c r="C2300">
        <f t="shared" si="142"/>
        <v>-2.0818024406333993</v>
      </c>
      <c r="D2300">
        <f t="shared" si="143"/>
        <v>-340.05169438363123</v>
      </c>
      <c r="R2300">
        <f t="shared" si="140"/>
        <v>2.298</v>
      </c>
      <c r="S2300">
        <f t="shared" si="141"/>
        <v>-2.0818024406333993</v>
      </c>
    </row>
    <row r="2301" spans="1:19" x14ac:dyDescent="0.3">
      <c r="A2301">
        <v>2.2989999999999999</v>
      </c>
      <c r="B2301">
        <f>Uo*COS(2*PI()*Wn*Sheet2!A2301) + (Vo/Wn - (Po*(w/Wn))/(K*(1-(w/Wn)^2)))*SIN(2*PI()*Wn*Sheet2!A2301) +(Po*SIN(2*PI()*w*Sheet2!A2301))/(K*(1-(w/Wn)^2))</f>
        <v>-15.131892656571729</v>
      </c>
      <c r="C2301">
        <f t="shared" si="142"/>
        <v>-2.0542999248537659</v>
      </c>
      <c r="D2301">
        <f t="shared" si="143"/>
        <v>-335.55930024087513</v>
      </c>
      <c r="R2301">
        <f t="shared" si="140"/>
        <v>2.2989999999999999</v>
      </c>
      <c r="S2301">
        <f t="shared" si="141"/>
        <v>-2.0542999248537659</v>
      </c>
    </row>
    <row r="2302" spans="1:19" x14ac:dyDescent="0.3">
      <c r="A2302">
        <v>2.2999999999999998</v>
      </c>
      <c r="B2302">
        <f>Uo*COS(2*PI()*Wn*Sheet2!A2302) + (Vo/Wn - (Po*(w/Wn))/(K*(1-(w/Wn)^2)))*SIN(2*PI()*Wn*Sheet2!A2302) +(Po*SIN(2*PI()*w*Sheet2!A2302))/(K*(1-(w/Wn)^2))</f>
        <v>-14.893060500454203</v>
      </c>
      <c r="C2302">
        <f t="shared" si="142"/>
        <v>-2.0261765795588325</v>
      </c>
      <c r="D2302">
        <f t="shared" si="143"/>
        <v>-330.96549679794691</v>
      </c>
      <c r="R2302">
        <f t="shared" si="140"/>
        <v>2.2999999999999998</v>
      </c>
      <c r="S2302">
        <f t="shared" si="141"/>
        <v>-2.0261765795588325</v>
      </c>
    </row>
    <row r="2303" spans="1:19" x14ac:dyDescent="0.3">
      <c r="A2303">
        <v>2.3010000000000002</v>
      </c>
      <c r="B2303">
        <f>Uo*COS(2*PI()*Wn*Sheet2!A2303) + (Vo/Wn - (Po*(w/Wn))/(K*(1-(w/Wn)^2)))*SIN(2*PI()*Wn*Sheet2!A2303) +(Po*SIN(2*PI()*w*Sheet2!A2303))/(K*(1-(w/Wn)^2))</f>
        <v>-14.649363067511009</v>
      </c>
      <c r="C2303">
        <f t="shared" si="142"/>
        <v>-1.9974427049159758</v>
      </c>
      <c r="D2303">
        <f t="shared" si="143"/>
        <v>-326.27196653407742</v>
      </c>
      <c r="R2303">
        <f t="shared" si="140"/>
        <v>2.3010000000000002</v>
      </c>
      <c r="S2303">
        <f t="shared" si="141"/>
        <v>-1.9974427049159758</v>
      </c>
    </row>
    <row r="2304" spans="1:19" x14ac:dyDescent="0.3">
      <c r="A2304">
        <v>2.302</v>
      </c>
      <c r="B2304">
        <f>Uo*COS(2*PI()*Wn*Sheet2!A2304) + (Vo/Wn - (Po*(w/Wn))/(K*(1-(w/Wn)^2)))*SIN(2*PI()*Wn*Sheet2!A2304) +(Po*SIN(2*PI()*w*Sheet2!A2304))/(K*(1-(w/Wn)^2))</f>
        <v>-14.400879969013074</v>
      </c>
      <c r="C2304">
        <f t="shared" si="142"/>
        <v>-1.9681087817604079</v>
      </c>
      <c r="D2304">
        <f t="shared" si="143"/>
        <v>-321.48042143965665</v>
      </c>
      <c r="R2304">
        <f t="shared" si="140"/>
        <v>2.302</v>
      </c>
      <c r="S2304">
        <f t="shared" si="141"/>
        <v>-1.9681087817604079</v>
      </c>
    </row>
    <row r="2305" spans="1:19" x14ac:dyDescent="0.3">
      <c r="A2305">
        <v>2.3029999999999999</v>
      </c>
      <c r="B2305">
        <f>Uo*COS(2*PI()*Wn*Sheet2!A2305) + (Vo/Wn - (Po*(w/Wn))/(K*(1-(w/Wn)^2)))*SIN(2*PI()*Wn*Sheet2!A2305) +(Po*SIN(2*PI()*w*Sheet2!A2305))/(K*(1-(w/Wn)^2))</f>
        <v>-14.14769237961605</v>
      </c>
      <c r="C2305">
        <f t="shared" si="142"/>
        <v>-1.938185467848015</v>
      </c>
      <c r="D2305">
        <f t="shared" si="143"/>
        <v>-316.59260240415466</v>
      </c>
      <c r="R2305">
        <f t="shared" ref="R2305:R2368" si="144">A2305</f>
        <v>2.3029999999999999</v>
      </c>
      <c r="S2305">
        <f t="shared" ref="S2305:S2368" si="145">C2305</f>
        <v>-1.938185467848015</v>
      </c>
    </row>
    <row r="2306" spans="1:19" x14ac:dyDescent="0.3">
      <c r="A2306">
        <v>2.3039999999999998</v>
      </c>
      <c r="B2306">
        <f>Uo*COS(2*PI()*Wn*Sheet2!A2306) + (Vo/Wn - (Po*(w/Wn))/(K*(1-(w/Wn)^2)))*SIN(2*PI()*Wn*Sheet2!A2306) +(Po*SIN(2*PI()*w*Sheet2!A2306))/(K*(1-(w/Wn)^2))</f>
        <v>-13.889883010842814</v>
      </c>
      <c r="C2306">
        <f t="shared" ref="C2306:C2369" si="146">EXP(-zeta*Wn*A2306*2*PI())*($H$1*COS(wnD*2*PI()*A2306) + $H$2*SIN(wnD*2*PI()*A2306)) + $H$3*SIN(w*2*PI()*A2306) + $H$4*COS(w*2*PI()*A2306)</f>
        <v>-1.9076835940574386</v>
      </c>
      <c r="D2306">
        <f t="shared" ref="D2306:D2369" si="147">K*C2306</f>
        <v>-311.61027859575074</v>
      </c>
      <c r="R2306">
        <f t="shared" si="144"/>
        <v>2.3039999999999998</v>
      </c>
      <c r="S2306">
        <f t="shared" si="145"/>
        <v>-1.9076835940574386</v>
      </c>
    </row>
    <row r="2307" spans="1:19" x14ac:dyDescent="0.3">
      <c r="A2307">
        <v>2.3050000000000002</v>
      </c>
      <c r="B2307">
        <f>Uo*COS(2*PI()*Wn*Sheet2!A2307) + (Vo/Wn - (Po*(w/Wn))/(K*(1-(w/Wn)^2)))*SIN(2*PI()*Wn*Sheet2!A2307) +(Po*SIN(2*PI()*w*Sheet2!A2307))/(K*(1-(w/Wn)^2))</f>
        <v>-13.627536084062282</v>
      </c>
      <c r="C2307">
        <f t="shared" si="146"/>
        <v>-1.8766141605423414</v>
      </c>
      <c r="D2307">
        <f t="shared" si="147"/>
        <v>-306.53524683282615</v>
      </c>
      <c r="R2307">
        <f t="shared" si="144"/>
        <v>2.3050000000000002</v>
      </c>
      <c r="S2307">
        <f t="shared" si="145"/>
        <v>-1.8766141605423414</v>
      </c>
    </row>
    <row r="2308" spans="1:19" x14ac:dyDescent="0.3">
      <c r="A2308">
        <v>2.306</v>
      </c>
      <c r="B2308">
        <f>Uo*COS(2*PI()*Wn*Sheet2!A2308) + (Vo/Wn - (Po*(w/Wn))/(K*(1-(w/Wn)^2)))*SIN(2*PI()*Wn*Sheet2!A2308) +(Po*SIN(2*PI()*w*Sheet2!A2308))/(K*(1-(w/Wn)^2))</f>
        <v>-13.360737302977146</v>
      </c>
      <c r="C2308">
        <f t="shared" si="146"/>
        <v>-1.8449883328354824</v>
      </c>
      <c r="D2308">
        <f t="shared" si="147"/>
        <v>-301.36933094758484</v>
      </c>
      <c r="R2308">
        <f t="shared" si="144"/>
        <v>2.306</v>
      </c>
      <c r="S2308">
        <f t="shared" si="145"/>
        <v>-1.8449883328354824</v>
      </c>
    </row>
    <row r="2309" spans="1:19" x14ac:dyDescent="0.3">
      <c r="A2309">
        <v>2.3069999999999999</v>
      </c>
      <c r="B2309">
        <f>Uo*COS(2*PI()*Wn*Sheet2!A2309) + (Vo/Wn - (Po*(w/Wn))/(K*(1-(w/Wn)^2)))*SIN(2*PI()*Wn*Sheet2!A2309) +(Po*SIN(2*PI()*w*Sheet2!A2309))/(K*(1-(w/Wn)^2))</f>
        <v>-13.089573825624781</v>
      </c>
      <c r="C2309">
        <f t="shared" si="146"/>
        <v>-1.8128174379057398</v>
      </c>
      <c r="D2309">
        <f t="shared" si="147"/>
        <v>-296.11438114198836</v>
      </c>
      <c r="R2309">
        <f t="shared" si="144"/>
        <v>2.3069999999999999</v>
      </c>
      <c r="S2309">
        <f t="shared" si="145"/>
        <v>-1.8128174379057398</v>
      </c>
    </row>
    <row r="2310" spans="1:19" x14ac:dyDescent="0.3">
      <c r="A2310">
        <v>2.3079999999999998</v>
      </c>
      <c r="B2310">
        <f>Uo*COS(2*PI()*Wn*Sheet2!A2310) + (Vo/Wn - (Po*(w/Wn))/(K*(1-(w/Wn)^2)))*SIN(2*PI()*Wn*Sheet2!A2310) +(Po*SIN(2*PI()*w*Sheet2!A2310))/(K*(1-(w/Wn)^2))</f>
        <v>-12.814134235905092</v>
      </c>
      <c r="C2310">
        <f t="shared" si="146"/>
        <v>-1.7801129601696646</v>
      </c>
      <c r="D2310">
        <f t="shared" si="147"/>
        <v>-290.77227333626382</v>
      </c>
      <c r="R2310">
        <f t="shared" si="144"/>
        <v>2.3079999999999998</v>
      </c>
      <c r="S2310">
        <f t="shared" si="145"/>
        <v>-1.7801129601696646</v>
      </c>
    </row>
    <row r="2311" spans="1:19" x14ac:dyDescent="0.3">
      <c r="A2311">
        <v>2.3090000000000002</v>
      </c>
      <c r="B2311">
        <f>Uo*COS(2*PI()*Wn*Sheet2!A2311) + (Vo/Wn - (Po*(w/Wn))/(K*(1-(w/Wn)^2)))*SIN(2*PI()*Wn*Sheet2!A2311) +(Po*SIN(2*PI()*w*Sheet2!A2311))/(K*(1-(w/Wn)^2))</f>
        <v>-12.534508514641987</v>
      </c>
      <c r="C2311">
        <f t="shared" si="146"/>
        <v>-1.7468865374587836</v>
      </c>
      <c r="D2311">
        <f t="shared" si="147"/>
        <v>-285.34490851018353</v>
      </c>
      <c r="R2311">
        <f t="shared" si="144"/>
        <v>2.3090000000000002</v>
      </c>
      <c r="S2311">
        <f t="shared" si="145"/>
        <v>-1.7468865374587836</v>
      </c>
    </row>
    <row r="2312" spans="1:19" x14ac:dyDescent="0.3">
      <c r="A2312">
        <v>2.31</v>
      </c>
      <c r="B2312">
        <f>Uo*COS(2*PI()*Wn*Sheet2!A2312) + (Vo/Wn - (Po*(w/Wn))/(K*(1-(w/Wn)^2)))*SIN(2*PI()*Wn*Sheet2!A2312) +(Po*SIN(2*PI()*w*Sheet2!A2312))/(K*(1-(w/Wn)^2))</f>
        <v>-12.250788010188153</v>
      </c>
      <c r="C2312">
        <f t="shared" si="146"/>
        <v>-1.7131499569442077</v>
      </c>
      <c r="D2312">
        <f t="shared" si="147"/>
        <v>-279.83421203737083</v>
      </c>
      <c r="R2312">
        <f t="shared" si="144"/>
        <v>2.31</v>
      </c>
      <c r="S2312">
        <f t="shared" si="145"/>
        <v>-1.7131499569442077</v>
      </c>
    </row>
    <row r="2313" spans="1:19" x14ac:dyDescent="0.3">
      <c r="A2313">
        <v>2.3109999999999999</v>
      </c>
      <c r="B2313">
        <f>Uo*COS(2*PI()*Wn*Sheet2!A2313) + (Vo/Wn - (Po*(w/Wn))/(K*(1-(w/Wn)^2)))*SIN(2*PI()*Wn*Sheet2!A2313) +(Po*SIN(2*PI()*w*Sheet2!A2313))/(K*(1-(w/Wn)^2))</f>
        <v>-11.963065408582963</v>
      </c>
      <c r="C2313">
        <f t="shared" si="146"/>
        <v>-1.6789151510196525</v>
      </c>
      <c r="D2313">
        <f t="shared" si="147"/>
        <v>-274.24213301281276</v>
      </c>
      <c r="R2313">
        <f t="shared" si="144"/>
        <v>2.3109999999999999</v>
      </c>
      <c r="S2313">
        <f t="shared" si="145"/>
        <v>-1.6789151510196525</v>
      </c>
    </row>
    <row r="2314" spans="1:19" x14ac:dyDescent="0.3">
      <c r="A2314">
        <v>2.3119999999999998</v>
      </c>
      <c r="B2314">
        <f>Uo*COS(2*PI()*Wn*Sheet2!A2314) + (Vo/Wn - (Po*(w/Wn))/(K*(1-(w/Wn)^2)))*SIN(2*PI()*Wn*Sheet2!A2314) +(Po*SIN(2*PI()*w*Sheet2!A2314))/(K*(1-(w/Wn)^2))</f>
        <v>-11.671434703274521</v>
      </c>
      <c r="C2314">
        <f t="shared" si="146"/>
        <v>-1.6441941931447543</v>
      </c>
      <c r="D2314">
        <f t="shared" si="147"/>
        <v>-268.5706435738872</v>
      </c>
      <c r="R2314">
        <f t="shared" si="144"/>
        <v>2.3119999999999998</v>
      </c>
      <c r="S2314">
        <f t="shared" si="145"/>
        <v>-1.6441941931447543</v>
      </c>
    </row>
    <row r="2315" spans="1:19" x14ac:dyDescent="0.3">
      <c r="A2315">
        <v>2.3130000000000002</v>
      </c>
      <c r="B2315">
        <f>Uo*COS(2*PI()*Wn*Sheet2!A2315) + (Vo/Wn - (Po*(w/Wn))/(K*(1-(w/Wn)^2)))*SIN(2*PI()*Wn*Sheet2!A2315) +(Po*SIN(2*PI()*w*Sheet2!A2315))/(K*(1-(w/Wn)^2))</f>
        <v>-11.375991164412769</v>
      </c>
      <c r="C2315">
        <f t="shared" si="146"/>
        <v>-1.6089992936496555</v>
      </c>
      <c r="D2315">
        <f t="shared" si="147"/>
        <v>-262.82173821506336</v>
      </c>
      <c r="R2315">
        <f t="shared" si="144"/>
        <v>2.3130000000000002</v>
      </c>
      <c r="S2315">
        <f t="shared" si="145"/>
        <v>-1.6089992936496555</v>
      </c>
    </row>
    <row r="2316" spans="1:19" x14ac:dyDescent="0.3">
      <c r="A2316">
        <v>2.3140000000000001</v>
      </c>
      <c r="B2316">
        <f>Uo*COS(2*PI()*Wn*Sheet2!A2316) + (Vo/Wn - (Po*(w/Wn))/(K*(1-(w/Wn)^2)))*SIN(2*PI()*Wn*Sheet2!A2316) +(Po*SIN(2*PI()*w*Sheet2!A2316))/(K*(1-(w/Wn)^2))</f>
        <v>-11.076831307727957</v>
      </c>
      <c r="C2316">
        <f t="shared" si="146"/>
        <v>-1.5733427955026251</v>
      </c>
      <c r="D2316">
        <f t="shared" si="147"/>
        <v>-256.99743309656452</v>
      </c>
      <c r="R2316">
        <f t="shared" si="144"/>
        <v>2.3140000000000001</v>
      </c>
      <c r="S2316">
        <f t="shared" si="145"/>
        <v>-1.5733427955026251</v>
      </c>
    </row>
    <row r="2317" spans="1:19" x14ac:dyDescent="0.3">
      <c r="A2317">
        <v>2.3149999999999999</v>
      </c>
      <c r="B2317">
        <f>Uo*COS(2*PI()*Wn*Sheet2!A2317) + (Vo/Wn - (Po*(w/Wn))/(K*(1-(w/Wn)^2)))*SIN(2*PI()*Wn*Sheet2!A2317) +(Po*SIN(2*PI()*w*Sheet2!A2317))/(K*(1-(w/Wn)^2))</f>
        <v>-10.774052862999293</v>
      </c>
      <c r="C2317">
        <f t="shared" si="146"/>
        <v>-1.5372371700418854</v>
      </c>
      <c r="D2317">
        <f t="shared" si="147"/>
        <v>-251.09976534718396</v>
      </c>
      <c r="R2317">
        <f t="shared" si="144"/>
        <v>2.3149999999999999</v>
      </c>
      <c r="S2317">
        <f t="shared" si="145"/>
        <v>-1.5372371700418854</v>
      </c>
    </row>
    <row r="2318" spans="1:19" x14ac:dyDescent="0.3">
      <c r="A2318">
        <v>2.3159999999999998</v>
      </c>
      <c r="B2318">
        <f>Uo*COS(2*PI()*Wn*Sheet2!A2318) + (Vo/Wn - (Po*(w/Wn))/(K*(1-(w/Wn)^2)))*SIN(2*PI()*Wn*Sheet2!A2318) +(Po*SIN(2*PI()*w*Sheet2!A2318))/(K*(1-(w/Wn)^2))</f>
        <v>-10.467754742129312</v>
      </c>
      <c r="C2318">
        <f t="shared" si="146"/>
        <v>-1.5006950126733911</v>
      </c>
      <c r="D2318">
        <f t="shared" si="147"/>
        <v>-245.13079236153933</v>
      </c>
      <c r="R2318">
        <f t="shared" si="144"/>
        <v>2.3159999999999998</v>
      </c>
      <c r="S2318">
        <f t="shared" si="145"/>
        <v>-1.5006950126733911</v>
      </c>
    </row>
    <row r="2319" spans="1:19" x14ac:dyDescent="0.3">
      <c r="A2319">
        <v>2.3170000000000002</v>
      </c>
      <c r="B2319">
        <f>Uo*COS(2*PI()*Wn*Sheet2!A2319) + (Vo/Wn - (Po*(w/Wn))/(K*(1-(w/Wn)^2)))*SIN(2*PI()*Wn*Sheet2!A2319) +(Po*SIN(2*PI()*w*Sheet2!A2319))/(K*(1-(w/Wn)^2))</f>
        <v>-10.158037006831382</v>
      </c>
      <c r="C2319">
        <f t="shared" si="146"/>
        <v>-1.4637290385357904</v>
      </c>
      <c r="D2319">
        <f t="shared" si="147"/>
        <v>-239.0925910919664</v>
      </c>
      <c r="R2319">
        <f t="shared" si="144"/>
        <v>2.3170000000000002</v>
      </c>
      <c r="S2319">
        <f t="shared" si="145"/>
        <v>-1.4637290385357904</v>
      </c>
    </row>
    <row r="2320" spans="1:19" x14ac:dyDescent="0.3">
      <c r="A2320">
        <v>2.3180000000000001</v>
      </c>
      <c r="B2320">
        <f>Uo*COS(2*PI()*Wn*Sheet2!A2320) + (Vo/Wn - (Po*(w/Wn))/(K*(1-(w/Wn)^2)))*SIN(2*PI()*Wn*Sheet2!A2320) +(Po*SIN(2*PI()*w*Sheet2!A2320))/(K*(1-(w/Wn)^2))</f>
        <v>-9.8450008359412315</v>
      </c>
      <c r="C2320">
        <f t="shared" si="146"/>
        <v>-1.4263520781342469</v>
      </c>
      <c r="D2320">
        <f t="shared" si="147"/>
        <v>-232.98725733532635</v>
      </c>
      <c r="R2320">
        <f t="shared" si="144"/>
        <v>2.3180000000000001</v>
      </c>
      <c r="S2320">
        <f t="shared" si="145"/>
        <v>-1.4263520781342469</v>
      </c>
    </row>
    <row r="2321" spans="1:19" x14ac:dyDescent="0.3">
      <c r="A2321">
        <v>2.319</v>
      </c>
      <c r="B2321">
        <f>Uo*COS(2*PI()*Wn*Sheet2!A2321) + (Vo/Wn - (Po*(w/Wn))/(K*(1-(w/Wn)^2)))*SIN(2*PI()*Wn*Sheet2!A2321) +(Po*SIN(2*PI()*w*Sheet2!A2321))/(K*(1-(w/Wn)^2))</f>
        <v>-9.5287484923633947</v>
      </c>
      <c r="C2321">
        <f t="shared" si="146"/>
        <v>-1.3885770729442655</v>
      </c>
      <c r="D2321">
        <f t="shared" si="147"/>
        <v>-226.8169050149134</v>
      </c>
      <c r="R2321">
        <f t="shared" si="144"/>
        <v>2.319</v>
      </c>
      <c r="S2321">
        <f t="shared" si="145"/>
        <v>-1.3885770729442655</v>
      </c>
    </row>
    <row r="2322" spans="1:19" x14ac:dyDescent="0.3">
      <c r="A2322">
        <v>2.3199999999999998</v>
      </c>
      <c r="B2322">
        <f>Uo*COS(2*PI()*Wn*Sheet2!A2322) + (Vo/Wn - (Po*(w/Wn))/(K*(1-(w/Wn)^2)))*SIN(2*PI()*Wn*Sheet2!A2322) +(Po*SIN(2*PI()*w*Sheet2!A2322))/(K*(1-(w/Wn)^2))</f>
        <v>-9.2093832896647463</v>
      </c>
      <c r="C2322">
        <f t="shared" si="146"/>
        <v>-1.3504170709875316</v>
      </c>
      <c r="D2322">
        <f t="shared" si="147"/>
        <v>-220.583665457791</v>
      </c>
      <c r="R2322">
        <f t="shared" si="144"/>
        <v>2.3199999999999998</v>
      </c>
      <c r="S2322">
        <f t="shared" si="145"/>
        <v>-1.3504170709875316</v>
      </c>
    </row>
    <row r="2323" spans="1:19" x14ac:dyDescent="0.3">
      <c r="A2323">
        <v>2.3210000000000002</v>
      </c>
      <c r="B2323">
        <f>Uo*COS(2*PI()*Wn*Sheet2!A2323) + (Vo/Wn - (Po*(w/Wn))/(K*(1-(w/Wn)^2)))*SIN(2*PI()*Wn*Sheet2!A2323) +(Po*SIN(2*PI()*w*Sheet2!A2323))/(K*(1-(w/Wn)^2))</f>
        <v>-8.8870095583228199</v>
      </c>
      <c r="C2323">
        <f t="shared" si="146"/>
        <v>-1.3118852223807329</v>
      </c>
      <c r="D2323">
        <f t="shared" si="147"/>
        <v>-214.28968666771482</v>
      </c>
      <c r="R2323">
        <f t="shared" si="144"/>
        <v>2.3210000000000002</v>
      </c>
      <c r="S2323">
        <f t="shared" si="145"/>
        <v>-1.3118852223807329</v>
      </c>
    </row>
    <row r="2324" spans="1:19" x14ac:dyDescent="0.3">
      <c r="A2324">
        <v>2.3220000000000001</v>
      </c>
      <c r="B2324">
        <f>Uo*COS(2*PI()*Wn*Sheet2!A2324) + (Vo/Wn - (Po*(w/Wn))/(K*(1-(w/Wn)^2)))*SIN(2*PI()*Wn*Sheet2!A2324) +(Po*SIN(2*PI()*w*Sheet2!A2324))/(K*(1-(w/Wn)^2))</f>
        <v>-8.5617326116445653</v>
      </c>
      <c r="C2324">
        <f t="shared" si="146"/>
        <v>-1.2729947748592585</v>
      </c>
      <c r="D2324">
        <f t="shared" si="147"/>
        <v>-207.93713259395201</v>
      </c>
      <c r="R2324">
        <f t="shared" si="144"/>
        <v>2.3220000000000001</v>
      </c>
      <c r="S2324">
        <f t="shared" si="145"/>
        <v>-1.2729947748592585</v>
      </c>
    </row>
    <row r="2325" spans="1:19" x14ac:dyDescent="0.3">
      <c r="A2325">
        <v>2.323</v>
      </c>
      <c r="B2325">
        <f>Uo*COS(2*PI()*Wn*Sheet2!A2325) + (Vo/Wn - (Po*(w/Wn))/(K*(1-(w/Wn)^2)))*SIN(2*PI()*Wn*Sheet2!A2325) +(Po*SIN(2*PI()*w*Sheet2!A2325))/(K*(1-(w/Wn)^2))</f>
        <v>-8.2336587113608566</v>
      </c>
      <c r="C2325">
        <f t="shared" si="146"/>
        <v>-1.2337590692769527</v>
      </c>
      <c r="D2325">
        <f t="shared" si="147"/>
        <v>-201.52818239618927</v>
      </c>
      <c r="R2325">
        <f t="shared" si="144"/>
        <v>2.323</v>
      </c>
      <c r="S2325">
        <f t="shared" si="145"/>
        <v>-1.2337590692769527</v>
      </c>
    </row>
    <row r="2326" spans="1:19" x14ac:dyDescent="0.3">
      <c r="A2326">
        <v>2.3239999999999998</v>
      </c>
      <c r="B2326">
        <f>Uo*COS(2*PI()*Wn*Sheet2!A2326) + (Vo/Wn - (Po*(w/Wn))/(K*(1-(w/Wn)^2)))*SIN(2*PI()*Wn*Sheet2!A2326) +(Po*SIN(2*PI()*w*Sheet2!A2326))/(K*(1-(w/Wn)^2))</f>
        <v>-7.9028950329137162</v>
      </c>
      <c r="C2326">
        <f t="shared" si="146"/>
        <v>-1.1941915350837564</v>
      </c>
      <c r="D2326">
        <f t="shared" si="147"/>
        <v>-195.06502970582883</v>
      </c>
      <c r="R2326">
        <f t="shared" si="144"/>
        <v>2.3239999999999998</v>
      </c>
      <c r="S2326">
        <f t="shared" si="145"/>
        <v>-1.1941915350837564</v>
      </c>
    </row>
    <row r="2327" spans="1:19" x14ac:dyDescent="0.3">
      <c r="A2327">
        <v>2.3250000000000002</v>
      </c>
      <c r="B2327">
        <f>Uo*COS(2*PI()*Wn*Sheet2!A2327) + (Vo/Wn - (Po*(w/Wn))/(K*(1-(w/Wn)^2)))*SIN(2*PI()*Wn*Sheet2!A2327) +(Po*SIN(2*PI()*w*Sheet2!A2327))/(K*(1-(w/Wn)^2))</f>
        <v>-7.5695496304442944</v>
      </c>
      <c r="C2327">
        <f t="shared" si="146"/>
        <v>-1.1543056857825056</v>
      </c>
      <c r="D2327">
        <f t="shared" si="147"/>
        <v>-188.54988188387998</v>
      </c>
      <c r="R2327">
        <f t="shared" si="144"/>
        <v>2.3250000000000002</v>
      </c>
      <c r="S2327">
        <f t="shared" si="145"/>
        <v>-1.1543056857825056</v>
      </c>
    </row>
    <row r="2328" spans="1:19" x14ac:dyDescent="0.3">
      <c r="A2328">
        <v>2.3260000000000001</v>
      </c>
      <c r="B2328">
        <f>Uo*COS(2*PI()*Wn*Sheet2!A2328) + (Vo/Wn - (Po*(w/Wn))/(K*(1-(w/Wn)^2)))*SIN(2*PI()*Wn*Sheet2!A2328) +(Po*SIN(2*PI()*w*Sheet2!A2328))/(K*(1-(w/Wn)^2))</f>
        <v>-7.2337314014932605</v>
      </c>
      <c r="C2328">
        <f t="shared" si="146"/>
        <v>-1.114115114366597</v>
      </c>
      <c r="D2328">
        <f t="shared" si="147"/>
        <v>-181.98495927572517</v>
      </c>
      <c r="R2328">
        <f t="shared" si="144"/>
        <v>2.3260000000000001</v>
      </c>
      <c r="S2328">
        <f t="shared" si="145"/>
        <v>-1.114115114366597</v>
      </c>
    </row>
    <row r="2329" spans="1:19" x14ac:dyDescent="0.3">
      <c r="A2329">
        <v>2.327</v>
      </c>
      <c r="B2329">
        <f>Uo*COS(2*PI()*Wn*Sheet2!A2329) + (Vo/Wn - (Po*(w/Wn))/(K*(1-(w/Wn)^2)))*SIN(2*PI()*Wn*Sheet2!A2329) +(Po*SIN(2*PI()*w*Sheet2!A2329))/(K*(1-(w/Wn)^2))</f>
        <v>-6.8955500514263406</v>
      </c>
      <c r="C2329">
        <f t="shared" si="146"/>
        <v>-1.0736334887398029</v>
      </c>
      <c r="D2329">
        <f t="shared" si="147"/>
        <v>-175.37249446297048</v>
      </c>
      <c r="R2329">
        <f t="shared" si="144"/>
        <v>2.327</v>
      </c>
      <c r="S2329">
        <f t="shared" si="145"/>
        <v>-1.0736334887398029</v>
      </c>
    </row>
    <row r="2330" spans="1:19" x14ac:dyDescent="0.3">
      <c r="A2330">
        <v>2.3279999999999998</v>
      </c>
      <c r="B2330">
        <f>Uo*COS(2*PI()*Wn*Sheet2!A2330) + (Vo/Wn - (Po*(w/Wn))/(K*(1-(w/Wn)^2)))*SIN(2*PI()*Wn*Sheet2!A2330) +(Po*SIN(2*PI()*w*Sheet2!A2330))/(K*(1-(w/Wn)^2))</f>
        <v>-6.5551160575952725</v>
      </c>
      <c r="C2330">
        <f t="shared" si="146"/>
        <v>-1.0328745471199852</v>
      </c>
      <c r="D2330">
        <f t="shared" si="147"/>
        <v>-168.71473151266599</v>
      </c>
      <c r="R2330">
        <f t="shared" si="144"/>
        <v>2.3279999999999998</v>
      </c>
      <c r="S2330">
        <f t="shared" si="145"/>
        <v>-1.0328745471199852</v>
      </c>
    </row>
    <row r="2331" spans="1:19" x14ac:dyDescent="0.3">
      <c r="A2331">
        <v>2.3290000000000002</v>
      </c>
      <c r="B2331">
        <f>Uo*COS(2*PI()*Wn*Sheet2!A2331) + (Vo/Wn - (Po*(w/Wn))/(K*(1-(w/Wn)^2)))*SIN(2*PI()*Wn*Sheet2!A2331) +(Po*SIN(2*PI()*w*Sheet2!A2331))/(K*(1-(w/Wn)^2))</f>
        <v>-6.2125406332471114</v>
      </c>
      <c r="C2331">
        <f t="shared" si="146"/>
        <v>-0.99185209342822866</v>
      </c>
      <c r="D2331">
        <f t="shared" si="147"/>
        <v>-162.0139252241444</v>
      </c>
      <c r="R2331">
        <f t="shared" si="144"/>
        <v>2.3290000000000002</v>
      </c>
      <c r="S2331">
        <f t="shared" si="145"/>
        <v>-0.99185209342822866</v>
      </c>
    </row>
    <row r="2332" spans="1:19" x14ac:dyDescent="0.3">
      <c r="A2332">
        <v>2.33</v>
      </c>
      <c r="B2332">
        <f>Uo*COS(2*PI()*Wn*Sheet2!A2332) + (Vo/Wn - (Po*(w/Wn))/(K*(1-(w/Wn)^2)))*SIN(2*PI()*Wn*Sheet2!A2332) +(Po*SIN(2*PI()*w*Sheet2!A2332))/(K*(1-(w/Wn)^2))</f>
        <v>-5.8679356911939404</v>
      </c>
      <c r="C2332">
        <f t="shared" si="146"/>
        <v>-0.95057999266478932</v>
      </c>
      <c r="D2332">
        <f t="shared" si="147"/>
        <v>-155.27234037370616</v>
      </c>
      <c r="R2332">
        <f t="shared" si="144"/>
        <v>2.33</v>
      </c>
      <c r="S2332">
        <f t="shared" si="145"/>
        <v>-0.95057999266478932</v>
      </c>
    </row>
    <row r="2333" spans="1:19" x14ac:dyDescent="0.3">
      <c r="A2333">
        <v>2.331</v>
      </c>
      <c r="B2333">
        <f>Uo*COS(2*PI()*Wn*Sheet2!A2333) + (Vo/Wn - (Po*(w/Wn))/(K*(1-(w/Wn)^2)))*SIN(2*PI()*Wn*Sheet2!A2333) +(Po*SIN(2*PI()*w*Sheet2!A2333))/(K*(1-(w/Wn)^2))</f>
        <v>-5.5214138072514931</v>
      </c>
      <c r="C2333">
        <f t="shared" si="146"/>
        <v>-0.90907216627337428</v>
      </c>
      <c r="D2333">
        <f t="shared" si="147"/>
        <v>-148.49225095739834</v>
      </c>
      <c r="R2333">
        <f t="shared" si="144"/>
        <v>2.331</v>
      </c>
      <c r="S2333">
        <f t="shared" si="145"/>
        <v>-0.90907216627337428</v>
      </c>
    </row>
    <row r="2334" spans="1:19" x14ac:dyDescent="0.3">
      <c r="A2334">
        <v>2.3319999999999999</v>
      </c>
      <c r="B2334">
        <f>Uo*COS(2*PI()*Wn*Sheet2!A2334) + (Vo/Wn - (Po*(w/Wn))/(K*(1-(w/Wn)^2)))*SIN(2*PI()*Wn*Sheet2!A2334) +(Po*SIN(2*PI()*w*Sheet2!A2334))/(K*(1-(w/Wn)^2))</f>
        <v>-5.1730881834637286</v>
      </c>
      <c r="C2334">
        <f t="shared" si="146"/>
        <v>-0.8673425874955244</v>
      </c>
      <c r="D2334">
        <f t="shared" si="147"/>
        <v>-141.67593943217713</v>
      </c>
      <c r="R2334">
        <f t="shared" si="144"/>
        <v>2.3319999999999999</v>
      </c>
      <c r="S2334">
        <f t="shared" si="145"/>
        <v>-0.8673425874955244</v>
      </c>
    </row>
    <row r="2335" spans="1:19" x14ac:dyDescent="0.3">
      <c r="A2335">
        <v>2.3330000000000002</v>
      </c>
      <c r="B2335">
        <f>Uo*COS(2*PI()*Wn*Sheet2!A2335) + (Vo/Wn - (Po*(w/Wn))/(K*(1-(w/Wn)^2)))*SIN(2*PI()*Wn*Sheet2!A2335) +(Po*SIN(2*PI()*w*Sheet2!A2335))/(K*(1-(w/Wn)^2))</f>
        <v>-4.823072611122047</v>
      </c>
      <c r="C2335">
        <f t="shared" si="146"/>
        <v>-0.82540527671637165</v>
      </c>
      <c r="D2335">
        <f t="shared" si="147"/>
        <v>-134.82569595566125</v>
      </c>
      <c r="R2335">
        <f t="shared" si="144"/>
        <v>2.3330000000000002</v>
      </c>
      <c r="S2335">
        <f t="shared" si="145"/>
        <v>-0.82540527671637165</v>
      </c>
    </row>
    <row r="2336" spans="1:19" x14ac:dyDescent="0.3">
      <c r="A2336">
        <v>2.3340000000000001</v>
      </c>
      <c r="B2336">
        <f>Uo*COS(2*PI()*Wn*Sheet2!A2336) + (Vo/Wn - (Po*(w/Wn))/(K*(1-(w/Wn)^2)))*SIN(2*PI()*Wn*Sheet2!A2336) +(Po*SIN(2*PI()*w*Sheet2!A2336))/(K*(1-(w/Wn)^2))</f>
        <v>-4.4714814335914452</v>
      </c>
      <c r="C2336">
        <f t="shared" si="146"/>
        <v>-0.7832742968035209</v>
      </c>
      <c r="D2336">
        <f t="shared" si="147"/>
        <v>-127.94381762476225</v>
      </c>
      <c r="R2336">
        <f t="shared" si="144"/>
        <v>2.3340000000000001</v>
      </c>
      <c r="S2336">
        <f t="shared" si="145"/>
        <v>-0.7832742968035209</v>
      </c>
    </row>
    <row r="2337" spans="1:19" x14ac:dyDescent="0.3">
      <c r="A2337">
        <v>2.335</v>
      </c>
      <c r="B2337">
        <f>Uo*COS(2*PI()*Wn*Sheet2!A2337) + (Vo/Wn - (Po*(w/Wn))/(K*(1-(w/Wn)^2)))*SIN(2*PI()*Wn*Sheet2!A2337) +(Po*SIN(2*PI()*w*Sheet2!A2337))/(K*(1-(w/Wn)^2))</f>
        <v>-4.1184295089570151</v>
      </c>
      <c r="C2337">
        <f t="shared" si="146"/>
        <v>-0.7409637484403323</v>
      </c>
      <c r="D2337">
        <f t="shared" si="147"/>
        <v>-121.03260771340038</v>
      </c>
      <c r="R2337">
        <f t="shared" si="144"/>
        <v>2.335</v>
      </c>
      <c r="S2337">
        <f t="shared" si="145"/>
        <v>-0.7409637484403323</v>
      </c>
    </row>
    <row r="2338" spans="1:19" x14ac:dyDescent="0.3">
      <c r="A2338">
        <v>2.3359999999999999</v>
      </c>
      <c r="B2338">
        <f>Uo*COS(2*PI()*Wn*Sheet2!A2338) + (Vo/Wn - (Po*(w/Wn))/(K*(1-(w/Wn)^2)))*SIN(2*PI()*Wn*Sheet2!A2338) +(Po*SIN(2*PI()*w*Sheet2!A2338))/(K*(1-(w/Wn)^2))</f>
        <v>-3.7640321725015919</v>
      </c>
      <c r="C2338">
        <f t="shared" si="146"/>
        <v>-0.69848776545536928</v>
      </c>
      <c r="D2338">
        <f t="shared" si="147"/>
        <v>-114.09437490959394</v>
      </c>
      <c r="R2338">
        <f t="shared" si="144"/>
        <v>2.3359999999999999</v>
      </c>
      <c r="S2338">
        <f t="shared" si="145"/>
        <v>-0.69848776545536928</v>
      </c>
    </row>
    <row r="2339" spans="1:19" x14ac:dyDescent="0.3">
      <c r="A2339">
        <v>2.3370000000000002</v>
      </c>
      <c r="B2339">
        <f>Uo*COS(2*PI()*Wn*Sheet2!A2339) + (Vo/Wn - (Po*(w/Wn))/(K*(1-(w/Wn)^2)))*SIN(2*PI()*Wn*Sheet2!A2339) +(Po*SIN(2*PI()*w*Sheet2!A2339))/(K*(1-(w/Wn)^2))</f>
        <v>-3.4084051990280728</v>
      </c>
      <c r="C2339">
        <f t="shared" si="146"/>
        <v>-0.65586051014953073</v>
      </c>
      <c r="D2339">
        <f t="shared" si="147"/>
        <v>-107.13143255217038</v>
      </c>
      <c r="R2339">
        <f t="shared" si="144"/>
        <v>2.3370000000000002</v>
      </c>
      <c r="S2339">
        <f t="shared" si="145"/>
        <v>-0.65586051014953073</v>
      </c>
    </row>
    <row r="2340" spans="1:19" x14ac:dyDescent="0.3">
      <c r="A2340">
        <v>2.3380000000000001</v>
      </c>
      <c r="B2340">
        <f>Uo*COS(2*PI()*Wn*Sheet2!A2340) + (Vo/Wn - (Po*(w/Wn))/(K*(1-(w/Wn)^2)))*SIN(2*PI()*Wn*Sheet2!A2340) +(Po*SIN(2*PI()*w*Sheet2!A2340))/(K*(1-(w/Wn)^2))</f>
        <v>-3.0516647650389905</v>
      </c>
      <c r="C2340">
        <f t="shared" si="146"/>
        <v>-0.61309616862226324</v>
      </c>
      <c r="D2340">
        <f t="shared" si="147"/>
        <v>-100.14609786732724</v>
      </c>
      <c r="R2340">
        <f t="shared" si="144"/>
        <v>2.3380000000000001</v>
      </c>
      <c r="S2340">
        <f t="shared" si="145"/>
        <v>-0.61309616862226324</v>
      </c>
    </row>
    <row r="2341" spans="1:19" x14ac:dyDescent="0.3">
      <c r="A2341">
        <v>2.339</v>
      </c>
      <c r="B2341">
        <f>Uo*COS(2*PI()*Wn*Sheet2!A2341) + (Vo/Wn - (Po*(w/Wn))/(K*(1-(w/Wn)^2)))*SIN(2*PI()*Wn*Sheet2!A2341) +(Po*SIN(2*PI()*w*Sheet2!A2341))/(K*(1-(w/Wn)^2))</f>
        <v>-2.6939274107822038</v>
      </c>
      <c r="C2341">
        <f t="shared" si="146"/>
        <v>-0.5702089460983597</v>
      </c>
      <c r="D2341">
        <f t="shared" si="147"/>
        <v>-93.140691205288732</v>
      </c>
      <c r="R2341">
        <f t="shared" si="144"/>
        <v>2.339</v>
      </c>
      <c r="S2341">
        <f t="shared" si="145"/>
        <v>-0.5702089460983597</v>
      </c>
    </row>
    <row r="2342" spans="1:19" x14ac:dyDescent="0.3">
      <c r="A2342">
        <v>2.34</v>
      </c>
      <c r="B2342">
        <f>Uo*COS(2*PI()*Wn*Sheet2!A2342) + (Vo/Wn - (Po*(w/Wn))/(K*(1-(w/Wn)^2)))*SIN(2*PI()*Wn*Sheet2!A2342) +(Po*SIN(2*PI()*w*Sheet2!A2342))/(K*(1-(w/Wn)^2))</f>
        <v>-2.3353100021804152</v>
      </c>
      <c r="C2342">
        <f t="shared" si="146"/>
        <v>-0.52721306225710707</v>
      </c>
      <c r="D2342">
        <f t="shared" si="147"/>
        <v>-86.117535277346178</v>
      </c>
      <c r="R2342">
        <f t="shared" si="144"/>
        <v>2.34</v>
      </c>
      <c r="S2342">
        <f t="shared" si="145"/>
        <v>-0.52721306225710707</v>
      </c>
    </row>
    <row r="2343" spans="1:19" x14ac:dyDescent="0.3">
      <c r="A2343">
        <v>2.3410000000000002</v>
      </c>
      <c r="B2343">
        <f>Uo*COS(2*PI()*Wn*Sheet2!A2343) + (Vo/Wn - (Po*(w/Wn))/(K*(1-(w/Wn)^2)))*SIN(2*PI()*Wn*Sheet2!A2343) +(Po*SIN(2*PI()*w*Sheet2!A2343))/(K*(1-(w/Wn)^2))</f>
        <v>-1.9759296926534597</v>
      </c>
      <c r="C2343">
        <f t="shared" si="146"/>
        <v>-0.48412274656504922</v>
      </c>
      <c r="D2343">
        <f t="shared" si="147"/>
        <v>-79.078954393488814</v>
      </c>
      <c r="R2343">
        <f t="shared" si="144"/>
        <v>2.3410000000000002</v>
      </c>
      <c r="S2343">
        <f t="shared" si="145"/>
        <v>-0.48412274656504922</v>
      </c>
    </row>
    <row r="2344" spans="1:19" x14ac:dyDescent="0.3">
      <c r="A2344">
        <v>2.3420000000000001</v>
      </c>
      <c r="B2344">
        <f>Uo*COS(2*PI()*Wn*Sheet2!A2344) + (Vo/Wn - (Po*(w/Wn))/(K*(1-(w/Wn)^2)))*SIN(2*PI()*Wn*Sheet2!A2344) +(Po*SIN(2*PI()*w*Sheet2!A2344))/(K*(1-(w/Wn)^2))</f>
        <v>-1.6159038848461122</v>
      </c>
      <c r="C2344">
        <f t="shared" si="146"/>
        <v>-0.44095223361408736</v>
      </c>
      <c r="D2344">
        <f t="shared" si="147"/>
        <v>-72.027273700906591</v>
      </c>
      <c r="R2344">
        <f t="shared" si="144"/>
        <v>2.3420000000000001</v>
      </c>
      <c r="S2344">
        <f t="shared" si="145"/>
        <v>-0.44095223361408736</v>
      </c>
    </row>
    <row r="2345" spans="1:19" x14ac:dyDescent="0.3">
      <c r="A2345">
        <v>2.343</v>
      </c>
      <c r="B2345">
        <f>Uo*COS(2*PI()*Wn*Sheet2!A2345) + (Vo/Wn - (Po*(w/Wn))/(K*(1-(w/Wn)^2)))*SIN(2*PI()*Wn*Sheet2!A2345) +(Po*SIN(2*PI()*w*Sheet2!A2345))/(K*(1-(w/Wn)^2))</f>
        <v>-1.2553501922751795</v>
      </c>
      <c r="C2345">
        <f t="shared" si="146"/>
        <v>-0.39771575846615231</v>
      </c>
      <c r="D2345">
        <f t="shared" si="147"/>
        <v>-64.964818423566385</v>
      </c>
      <c r="R2345">
        <f t="shared" si="144"/>
        <v>2.343</v>
      </c>
      <c r="S2345">
        <f t="shared" si="145"/>
        <v>-0.39771575846615231</v>
      </c>
    </row>
    <row r="2346" spans="1:19" x14ac:dyDescent="0.3">
      <c r="A2346">
        <v>2.3439999999999999</v>
      </c>
      <c r="B2346">
        <f>Uo*COS(2*PI()*Wn*Sheet2!A2346) + (Vo/Wn - (Po*(w/Wn))/(K*(1-(w/Wn)^2)))*SIN(2*PI()*Wn*Sheet2!A2346) +(Po*SIN(2*PI()*w*Sheet2!A2346))/(K*(1-(w/Wn)^2))</f>
        <v>-0.8943864009069995</v>
      </c>
      <c r="C2346">
        <f t="shared" si="146"/>
        <v>-0.35442755200632114</v>
      </c>
      <c r="D2346">
        <f t="shared" si="147"/>
        <v>-57.893913103167527</v>
      </c>
      <c r="R2346">
        <f t="shared" si="144"/>
        <v>2.3439999999999999</v>
      </c>
      <c r="S2346">
        <f t="shared" si="145"/>
        <v>-0.35442755200632114</v>
      </c>
    </row>
    <row r="2347" spans="1:19" x14ac:dyDescent="0.3">
      <c r="A2347">
        <v>2.3450000000000002</v>
      </c>
      <c r="B2347">
        <f>Uo*COS(2*PI()*Wn*Sheet2!A2347) + (Vo/Wn - (Po*(w/Wn))/(K*(1-(w/Wn)^2)))*SIN(2*PI()*Wn*Sheet2!A2347) +(Po*SIN(2*PI()*w*Sheet2!A2347))/(K*(1-(w/Wn)^2))</f>
        <v>-0.53313043067916721</v>
      </c>
      <c r="C2347">
        <f t="shared" si="146"/>
        <v>-0.31110183630550076</v>
      </c>
      <c r="D2347">
        <f t="shared" si="147"/>
        <v>-50.816880841660094</v>
      </c>
      <c r="R2347">
        <f t="shared" si="144"/>
        <v>2.3450000000000002</v>
      </c>
      <c r="S2347">
        <f t="shared" si="145"/>
        <v>-0.31110183630550076</v>
      </c>
    </row>
    <row r="2348" spans="1:19" x14ac:dyDescent="0.3">
      <c r="A2348">
        <v>2.3460000000000001</v>
      </c>
      <c r="B2348">
        <f>Uo*COS(2*PI()*Wn*Sheet2!A2348) + (Vo/Wn - (Po*(w/Wn))/(K*(1-(w/Wn)^2)))*SIN(2*PI()*Wn*Sheet2!A2348) +(Po*SIN(2*PI()*w*Sheet2!A2348))/(K*(1-(w/Wn)^2))</f>
        <v>-0.17170029697935191</v>
      </c>
      <c r="C2348">
        <f t="shared" si="146"/>
        <v>-0.26775281999463069</v>
      </c>
      <c r="D2348">
        <f t="shared" si="147"/>
        <v>-43.736042545644821</v>
      </c>
      <c r="R2348">
        <f t="shared" si="144"/>
        <v>2.3460000000000001</v>
      </c>
      <c r="S2348">
        <f t="shared" si="145"/>
        <v>-0.26775281999463069</v>
      </c>
    </row>
    <row r="2349" spans="1:19" x14ac:dyDescent="0.3">
      <c r="A2349">
        <v>2.347</v>
      </c>
      <c r="B2349">
        <f>Uo*COS(2*PI()*Wn*Sheet2!A2349) + (Vo/Wn - (Po*(w/Wn))/(K*(1-(w/Wn)^2)))*SIN(2*PI()*Wn*Sheet2!A2349) +(Po*SIN(2*PI()*w*Sheet2!A2349))/(K*(1-(w/Wn)^2))</f>
        <v>0.18978592790990995</v>
      </c>
      <c r="C2349">
        <f t="shared" si="146"/>
        <v>-0.22439469365129119</v>
      </c>
      <c r="D2349">
        <f t="shared" si="147"/>
        <v>-36.653716172799278</v>
      </c>
      <c r="R2349">
        <f t="shared" si="144"/>
        <v>2.347</v>
      </c>
      <c r="S2349">
        <f t="shared" si="145"/>
        <v>-0.22439469365129119</v>
      </c>
    </row>
    <row r="2350" spans="1:19" x14ac:dyDescent="0.3">
      <c r="A2350">
        <v>2.3479999999999999</v>
      </c>
      <c r="B2350">
        <f>Uo*COS(2*PI()*Wn*Sheet2!A2350) + (Vo/Wn - (Po*(w/Wn))/(K*(1-(w/Wn)^2)))*SIN(2*PI()*Wn*Sheet2!A2350) +(Po*SIN(2*PI()*w*Sheet2!A2350))/(K*(1-(w/Wn)^2))</f>
        <v>0.5512101533814574</v>
      </c>
      <c r="C2350">
        <f t="shared" si="146"/>
        <v>-0.18104162520078676</v>
      </c>
      <c r="D2350">
        <f t="shared" si="147"/>
        <v>-29.572215980668574</v>
      </c>
      <c r="R2350">
        <f t="shared" si="144"/>
        <v>2.3479999999999999</v>
      </c>
      <c r="S2350">
        <f t="shared" si="145"/>
        <v>-0.18104162520078676</v>
      </c>
    </row>
    <row r="2351" spans="1:19" x14ac:dyDescent="0.3">
      <c r="A2351">
        <v>2.3490000000000002</v>
      </c>
      <c r="B2351">
        <f>Uo*COS(2*PI()*Wn*Sheet2!A2351) + (Vo/Wn - (Po*(w/Wn))/(K*(1-(w/Wn)^2)))*SIN(2*PI()*Wn*Sheet2!A2351) +(Po*SIN(2*PI()*w*Sheet2!A2351))/(K*(1-(w/Wn)^2))</f>
        <v>0.91245430908271663</v>
      </c>
      <c r="C2351">
        <f t="shared" si="146"/>
        <v>-0.13770775533280857</v>
      </c>
      <c r="D2351">
        <f t="shared" si="147"/>
        <v>-22.493851778000845</v>
      </c>
      <c r="R2351">
        <f t="shared" si="144"/>
        <v>2.3490000000000002</v>
      </c>
      <c r="S2351">
        <f t="shared" si="145"/>
        <v>-0.13770775533280857</v>
      </c>
    </row>
    <row r="2352" spans="1:19" x14ac:dyDescent="0.3">
      <c r="A2352">
        <v>2.35</v>
      </c>
      <c r="B2352">
        <f>Uo*COS(2*PI()*Wn*Sheet2!A2352) + (Vo/Wn - (Po*(w/Wn))/(K*(1-(w/Wn)^2)))*SIN(2*PI()*Wn*Sheet2!A2352) +(Po*SIN(2*PI()*w*Sheet2!A2352))/(K*(1-(w/Wn)^2))</f>
        <v>1.2734003834860232</v>
      </c>
      <c r="C2352">
        <f t="shared" si="146"/>
        <v>-9.4407192935366424E-2</v>
      </c>
      <c r="D2352">
        <f t="shared" si="147"/>
        <v>-15.420928178903532</v>
      </c>
      <c r="R2352">
        <f t="shared" si="144"/>
        <v>2.35</v>
      </c>
      <c r="S2352">
        <f t="shared" si="145"/>
        <v>-9.4407192935366424E-2</v>
      </c>
    </row>
    <row r="2353" spans="1:19" x14ac:dyDescent="0.3">
      <c r="A2353">
        <v>2.351</v>
      </c>
      <c r="B2353">
        <f>Uo*COS(2*PI()*Wn*Sheet2!A2353) + (Vo/Wn - (Po*(w/Wn))/(K*(1-(w/Wn)^2)))*SIN(2*PI()*Wn*Sheet2!A2353) +(Po*SIN(2*PI()*w*Sheet2!A2353))/(K*(1-(w/Wn)^2))</f>
        <v>1.6339304624411486</v>
      </c>
      <c r="C2353">
        <f t="shared" si="146"/>
        <v>-5.1154010547174868E-2</v>
      </c>
      <c r="D2353">
        <f t="shared" si="147"/>
        <v>-8.3557438600141314</v>
      </c>
      <c r="R2353">
        <f t="shared" si="144"/>
        <v>2.351</v>
      </c>
      <c r="S2353">
        <f t="shared" si="145"/>
        <v>-5.1154010547174868E-2</v>
      </c>
    </row>
    <row r="2354" spans="1:19" x14ac:dyDescent="0.3">
      <c r="A2354">
        <v>2.3519999999999999</v>
      </c>
      <c r="B2354">
        <f>Uo*COS(2*PI()*Wn*Sheet2!A2354) + (Vo/Wn - (Po*(w/Wn))/(K*(1-(w/Wn)^2)))*SIN(2*PI()*Wn*Sheet2!A2354) +(Po*SIN(2*PI()*w*Sheet2!A2354))/(K*(1-(w/Wn)^2))</f>
        <v>1.9939267676958696</v>
      </c>
      <c r="C2354">
        <f t="shared" si="146"/>
        <v>-7.9622398303025935E-3</v>
      </c>
      <c r="D2354">
        <f t="shared" si="147"/>
        <v>-1.3005908209808037</v>
      </c>
      <c r="R2354">
        <f t="shared" si="144"/>
        <v>2.3519999999999999</v>
      </c>
      <c r="S2354">
        <f t="shared" si="145"/>
        <v>-7.9622398303025935E-3</v>
      </c>
    </row>
    <row r="2355" spans="1:19" x14ac:dyDescent="0.3">
      <c r="A2355">
        <v>2.3530000000000002</v>
      </c>
      <c r="B2355">
        <f>Uo*COS(2*PI()*Wn*Sheet2!A2355) + (Vo/Wn - (Po*(w/Wn))/(K*(1-(w/Wn)^2)))*SIN(2*PI()*Wn*Sheet2!A2355) +(Po*SIN(2*PI()*w*Sheet2!A2355))/(K*(1-(w/Wn)^2))</f>
        <v>2.3532716953717219</v>
      </c>
      <c r="C2355">
        <f t="shared" si="146"/>
        <v>3.515413293584773E-2</v>
      </c>
      <c r="D2355">
        <f t="shared" si="147"/>
        <v>5.742246351572776</v>
      </c>
      <c r="R2355">
        <f t="shared" si="144"/>
        <v>2.3530000000000002</v>
      </c>
      <c r="S2355">
        <f t="shared" si="145"/>
        <v>3.515413293584773E-2</v>
      </c>
    </row>
    <row r="2356" spans="1:19" x14ac:dyDescent="0.3">
      <c r="A2356">
        <v>2.3540000000000001</v>
      </c>
      <c r="B2356">
        <f>Uo*COS(2*PI()*Wn*Sheet2!A2356) + (Vo/Wn - (Po*(w/Wn))/(K*(1-(w/Wn)^2)))*SIN(2*PI()*Wn*Sheet2!A2356) +(Po*SIN(2*PI()*w*Sheet2!A2356))/(K*(1-(w/Wn)^2))</f>
        <v>2.7118478543819355</v>
      </c>
      <c r="C2356">
        <f t="shared" si="146"/>
        <v>7.8181171337339123E-2</v>
      </c>
      <c r="D2356">
        <f t="shared" si="147"/>
        <v>12.770491216289637</v>
      </c>
      <c r="R2356">
        <f t="shared" si="144"/>
        <v>2.3540000000000001</v>
      </c>
      <c r="S2356">
        <f t="shared" si="145"/>
        <v>7.8181171337339123E-2</v>
      </c>
    </row>
    <row r="2357" spans="1:19" x14ac:dyDescent="0.3">
      <c r="A2357">
        <v>2.355</v>
      </c>
      <c r="B2357">
        <f>Uo*COS(2*PI()*Wn*Sheet2!A2357) + (Vo/Wn - (Po*(w/Wn))/(K*(1-(w/Wn)^2)))*SIN(2*PI()*Wn*Sheet2!A2357) +(Po*SIN(2*PI()*w*Sheet2!A2357))/(K*(1-(w/Wn)^2))</f>
        <v>3.0695381047826897</v>
      </c>
      <c r="C2357">
        <f t="shared" si="146"/>
        <v>0.12110499328446815</v>
      </c>
      <c r="D2357">
        <f t="shared" si="147"/>
        <v>19.781876205396248</v>
      </c>
      <c r="R2357">
        <f t="shared" si="144"/>
        <v>2.355</v>
      </c>
      <c r="S2357">
        <f t="shared" si="145"/>
        <v>0.12110499328446815</v>
      </c>
    </row>
    <row r="2358" spans="1:19" x14ac:dyDescent="0.3">
      <c r="A2358">
        <v>2.3559999999999999</v>
      </c>
      <c r="B2358">
        <f>Uo*COS(2*PI()*Wn*Sheet2!A2358) + (Vo/Wn - (Po*(w/Wn))/(K*(1-(w/Wn)^2)))*SIN(2*PI()*Wn*Sheet2!A2358) +(Po*SIN(2*PI()*w*Sheet2!A2358))/(K*(1-(w/Wn)^2))</f>
        <v>3.4262255960387842</v>
      </c>
      <c r="C2358">
        <f t="shared" si="146"/>
        <v>0.16391177544449648</v>
      </c>
      <c r="D2358">
        <f t="shared" si="147"/>
        <v>26.774143348766362</v>
      </c>
      <c r="R2358">
        <f t="shared" si="144"/>
        <v>2.3559999999999999</v>
      </c>
      <c r="S2358">
        <f t="shared" si="145"/>
        <v>0.16391177544449648</v>
      </c>
    </row>
    <row r="2359" spans="1:19" x14ac:dyDescent="0.3">
      <c r="A2359">
        <v>2.3570000000000002</v>
      </c>
      <c r="B2359">
        <f>Uo*COS(2*PI()*Wn*Sheet2!A2359) + (Vo/Wn - (Po*(w/Wn))/(K*(1-(w/Wn)^2)))*SIN(2*PI()*Wn*Sheet2!A2359) +(Po*SIN(2*PI()*w*Sheet2!A2359))/(K*(1-(w/Wn)^2))</f>
        <v>3.7817938051977356</v>
      </c>
      <c r="C2359">
        <f t="shared" si="146"/>
        <v>0.20658775764731849</v>
      </c>
      <c r="D2359">
        <f t="shared" si="147"/>
        <v>33.745044993564107</v>
      </c>
      <c r="R2359">
        <f t="shared" si="144"/>
        <v>2.3570000000000002</v>
      </c>
      <c r="S2359">
        <f t="shared" si="145"/>
        <v>0.20658775764731849</v>
      </c>
    </row>
    <row r="2360" spans="1:19" x14ac:dyDescent="0.3">
      <c r="A2360">
        <v>2.3580000000000001</v>
      </c>
      <c r="B2360">
        <f>Uo*COS(2*PI()*Wn*Sheet2!A2360) + (Vo/Wn - (Po*(w/Wn))/(K*(1-(w/Wn)^2)))*SIN(2*PI()*Wn*Sheet2!A2360) +(Po*SIN(2*PI()*w*Sheet2!A2360))/(K*(1-(w/Wn)^2))</f>
        <v>4.1361265749546021</v>
      </c>
      <c r="C2360">
        <f t="shared" si="146"/>
        <v>0.24911924726245732</v>
      </c>
      <c r="D2360">
        <f t="shared" si="147"/>
        <v>40.692344519203708</v>
      </c>
      <c r="R2360">
        <f t="shared" si="144"/>
        <v>2.3580000000000001</v>
      </c>
      <c r="S2360">
        <f t="shared" si="145"/>
        <v>0.24911924726245732</v>
      </c>
    </row>
    <row r="2361" spans="1:19" x14ac:dyDescent="0.3">
      <c r="A2361">
        <v>2.359</v>
      </c>
      <c r="B2361">
        <f>Uo*COS(2*PI()*Wn*Sheet2!A2361) + (Vo/Wn - (Po*(w/Wn))/(K*(1-(w/Wn)^2)))*SIN(2*PI()*Wn*Sheet2!A2361) +(Po*SIN(2*PI()*w*Sheet2!A2361))/(K*(1-(w/Wn)^2))</f>
        <v>4.4891081515987699</v>
      </c>
      <c r="C2361">
        <f t="shared" si="146"/>
        <v>0.29149262354627964</v>
      </c>
      <c r="D2361">
        <f t="shared" si="147"/>
        <v>47.61381704744462</v>
      </c>
      <c r="R2361">
        <f t="shared" si="144"/>
        <v>2.359</v>
      </c>
      <c r="S2361">
        <f t="shared" si="145"/>
        <v>0.29149262354627964</v>
      </c>
    </row>
    <row r="2362" spans="1:19" x14ac:dyDescent="0.3">
      <c r="A2362">
        <v>2.36</v>
      </c>
      <c r="B2362">
        <f>Uo*COS(2*PI()*Wn*Sheet2!A2362) + (Vo/Wn - (Po*(w/Wn))/(K*(1-(w/Wn)^2)))*SIN(2*PI()*Wn*Sheet2!A2362) +(Po*SIN(2*PI()*w*Sheet2!A2362))/(K*(1-(w/Wn)^2))</f>
        <v>4.8406232228287411</v>
      </c>
      <c r="C2362">
        <f t="shared" si="146"/>
        <v>0.33369434195771341</v>
      </c>
      <c r="D2362">
        <f t="shared" si="147"/>
        <v>54.507250147341765</v>
      </c>
      <c r="R2362">
        <f t="shared" si="144"/>
        <v>2.36</v>
      </c>
      <c r="S2362">
        <f t="shared" si="145"/>
        <v>0.33369434195771341</v>
      </c>
    </row>
    <row r="2363" spans="1:19" x14ac:dyDescent="0.3">
      <c r="A2363">
        <v>2.3610000000000002</v>
      </c>
      <c r="B2363">
        <f>Uo*COS(2*PI()*Wn*Sheet2!A2363) + (Vo/Wn - (Po*(w/Wn))/(K*(1-(w/Wn)^2)))*SIN(2*PI()*Wn*Sheet2!A2363) +(Po*SIN(2*PI()*w*Sheet2!A2363))/(K*(1-(w/Wn)^2))</f>
        <v>5.1905569554223057</v>
      </c>
      <c r="C2363">
        <f t="shared" si="146"/>
        <v>0.3757109384414859</v>
      </c>
      <c r="D2363">
        <f t="shared" si="147"/>
        <v>61.370444534890382</v>
      </c>
      <c r="R2363">
        <f t="shared" si="144"/>
        <v>2.3610000000000002</v>
      </c>
      <c r="S2363">
        <f t="shared" si="145"/>
        <v>0.3757109384414859</v>
      </c>
    </row>
    <row r="2364" spans="1:19" x14ac:dyDescent="0.3">
      <c r="A2364">
        <v>2.3620000000000001</v>
      </c>
      <c r="B2364">
        <f>Uo*COS(2*PI()*Wn*Sheet2!A2364) + (Vo/Wn - (Po*(w/Wn))/(K*(1-(w/Wn)^2)))*SIN(2*PI()*Wn*Sheet2!A2364) +(Po*SIN(2*PI()*w*Sheet2!A2364))/(K*(1-(w/Wn)^2))</f>
        <v>5.5387950327493876</v>
      </c>
      <c r="C2364">
        <f t="shared" si="146"/>
        <v>0.41752903367708766</v>
      </c>
      <c r="D2364">
        <f t="shared" si="147"/>
        <v>68.201214767072372</v>
      </c>
      <c r="R2364">
        <f t="shared" si="144"/>
        <v>2.3620000000000001</v>
      </c>
      <c r="S2364">
        <f t="shared" si="145"/>
        <v>0.41752903367708766</v>
      </c>
    </row>
    <row r="2365" spans="1:19" x14ac:dyDescent="0.3">
      <c r="A2365">
        <v>2.363</v>
      </c>
      <c r="B2365">
        <f>Uo*COS(2*PI()*Wn*Sheet2!A2365) + (Vo/Wn - (Po*(w/Wn))/(K*(1-(w/Wn)^2)))*SIN(2*PI()*Wn*Sheet2!A2365) +(Po*SIN(2*PI()*w*Sheet2!A2365))/(K*(1-(w/Wn)^2))</f>
        <v>5.8852236921188839</v>
      </c>
      <c r="C2365">
        <f t="shared" si="146"/>
        <v>0.45913533729274392</v>
      </c>
      <c r="D2365">
        <f t="shared" si="147"/>
        <v>74.997389930186799</v>
      </c>
      <c r="R2365">
        <f t="shared" si="144"/>
        <v>2.363</v>
      </c>
      <c r="S2365">
        <f t="shared" si="145"/>
        <v>0.45913533729274392</v>
      </c>
    </row>
    <row r="2366" spans="1:19" x14ac:dyDescent="0.3">
      <c r="A2366">
        <v>2.3639999999999999</v>
      </c>
      <c r="B2366">
        <f>Uo*COS(2*PI()*Wn*Sheet2!A2366) + (Vo/Wn - (Po*(w/Wn))/(K*(1-(w/Wn)^2)))*SIN(2*PI()*Wn*Sheet2!A2366) +(Po*SIN(2*PI()*w*Sheet2!A2366))/(K*(1-(w/Wn)^2))</f>
        <v>6.229729761941103</v>
      </c>
      <c r="C2366">
        <f t="shared" si="146"/>
        <v>0.5005166520424934</v>
      </c>
      <c r="D2366">
        <f t="shared" si="147"/>
        <v>81.756814322154199</v>
      </c>
      <c r="R2366">
        <f t="shared" si="144"/>
        <v>2.3639999999999999</v>
      </c>
      <c r="S2366">
        <f t="shared" si="145"/>
        <v>0.5005166520424934</v>
      </c>
    </row>
    <row r="2367" spans="1:19" x14ac:dyDescent="0.3">
      <c r="A2367">
        <v>2.3650000000000002</v>
      </c>
      <c r="B2367">
        <f>Uo*COS(2*PI()*Wn*Sheet2!A2367) + (Vo/Wn - (Po*(w/Wn))/(K*(1-(w/Wn)^2)))*SIN(2*PI()*Wn*Sheet2!A2367) +(Po*SIN(2*PI()*w*Sheet2!A2367))/(K*(1-(w/Wn)^2))</f>
        <v>6.572200698699973</v>
      </c>
      <c r="C2367">
        <f t="shared" si="146"/>
        <v>0.54165987794544457</v>
      </c>
      <c r="D2367">
        <f t="shared" si="147"/>
        <v>88.477348128642717</v>
      </c>
      <c r="R2367">
        <f t="shared" si="144"/>
        <v>2.3650000000000002</v>
      </c>
      <c r="S2367">
        <f t="shared" si="145"/>
        <v>0.54165987794544457</v>
      </c>
    </row>
    <row r="2368" spans="1:19" x14ac:dyDescent="0.3">
      <c r="A2368">
        <v>2.3660000000000001</v>
      </c>
      <c r="B2368">
        <f>Uo*COS(2*PI()*Wn*Sheet2!A2368) + (Vo/Wn - (Po*(w/Wn))/(K*(1-(w/Wn)^2)))*SIN(2*PI()*Wn*Sheet2!A2368) +(Po*SIN(2*PI()*w*Sheet2!A2368))/(K*(1-(w/Wn)^2))</f>
        <v>6.9125246237179008</v>
      </c>
      <c r="C2368">
        <f t="shared" si="146"/>
        <v>0.58255201638571419</v>
      </c>
      <c r="D2368">
        <f t="shared" si="147"/>
        <v>95.156868092771916</v>
      </c>
      <c r="R2368">
        <f t="shared" si="144"/>
        <v>2.3660000000000001</v>
      </c>
      <c r="S2368">
        <f t="shared" si="145"/>
        <v>0.58255201638571419</v>
      </c>
    </row>
    <row r="2369" spans="1:19" x14ac:dyDescent="0.3">
      <c r="A2369">
        <v>2.367</v>
      </c>
      <c r="B2369">
        <f>Uo*COS(2*PI()*Wn*Sheet2!A2369) + (Vo/Wn - (Po*(w/Wn))/(K*(1-(w/Wn)^2)))*SIN(2*PI()*Wn*Sheet2!A2369) +(Po*SIN(2*PI()*w*Sheet2!A2369))/(K*(1-(w/Wn)^2))</f>
        <v>7.2505903597047965</v>
      </c>
      <c r="C2369">
        <f t="shared" si="146"/>
        <v>0.6231801741720413</v>
      </c>
      <c r="D2369">
        <f t="shared" si="147"/>
        <v>101.79326817822987</v>
      </c>
      <c r="R2369">
        <f t="shared" ref="R2369:R2432" si="148">A2369</f>
        <v>2.367</v>
      </c>
      <c r="S2369">
        <f t="shared" ref="S2369:S2432" si="149">C2369</f>
        <v>0.6231801741720413</v>
      </c>
    </row>
    <row r="2370" spans="1:19" x14ac:dyDescent="0.3">
      <c r="A2370">
        <v>2.3679999999999999</v>
      </c>
      <c r="B2370">
        <f>Uo*COS(2*PI()*Wn*Sheet2!A2370) + (Vo/Wn - (Po*(w/Wn))/(K*(1-(w/Wn)^2)))*SIN(2*PI()*Wn*Sheet2!A2370) +(Po*SIN(2*PI()*w*Sheet2!A2370))/(K*(1-(w/Wn)^2))</f>
        <v>7.5862874670779545</v>
      </c>
      <c r="C2370">
        <f t="shared" ref="C2370:C2433" si="150">EXP(-zeta*Wn*A2370*2*PI())*($H$1*COS(wnD*2*PI()*A2370) + $H$2*SIN(wnD*2*PI()*A2370)) + $H$3*SIN(w*2*PI()*A2370) + $H$4*COS(w*2*PI()*A2370)</f>
        <v>0.66353156755549725</v>
      </c>
      <c r="D2370">
        <f t="shared" ref="D2370:D2433" si="151">K*C2370</f>
        <v>108.38446022554527</v>
      </c>
      <c r="R2370">
        <f t="shared" si="148"/>
        <v>2.3679999999999999</v>
      </c>
      <c r="S2370">
        <f t="shared" si="149"/>
        <v>0.66353156755549725</v>
      </c>
    </row>
    <row r="2371" spans="1:19" x14ac:dyDescent="0.3">
      <c r="A2371">
        <v>2.3690000000000002</v>
      </c>
      <c r="B2371">
        <f>Uo*COS(2*PI()*Wn*Sheet2!A2371) + (Vo/Wn - (Po*(w/Wn))/(K*(1-(w/Wn)^2)))*SIN(2*PI()*Wn*Sheet2!A2371) +(Po*SIN(2*PI()*w*Sheet2!A2371))/(K*(1-(w/Wn)^2))</f>
        <v>7.9195062800397453</v>
      </c>
      <c r="C2371">
        <f t="shared" si="150"/>
        <v>0.70359352620431637</v>
      </c>
      <c r="D2371">
        <f t="shared" si="151"/>
        <v>114.92837460135559</v>
      </c>
      <c r="R2371">
        <f t="shared" si="148"/>
        <v>2.3690000000000002</v>
      </c>
      <c r="S2371">
        <f t="shared" si="149"/>
        <v>0.70359352620431637</v>
      </c>
    </row>
    <row r="2372" spans="1:19" x14ac:dyDescent="0.3">
      <c r="A2372">
        <v>2.37</v>
      </c>
      <c r="B2372">
        <f>Uo*COS(2*PI()*Wn*Sheet2!A2372) + (Vo/Wn - (Po*(w/Wn))/(K*(1-(w/Wn)^2)))*SIN(2*PI()*Wn*Sheet2!A2372) +(Po*SIN(2*PI()*w*Sheet2!A2372))/(K*(1-(w/Wn)^2))</f>
        <v>8.2501379424037271</v>
      </c>
      <c r="C2372">
        <f t="shared" si="150"/>
        <v>0.74335349713442345</v>
      </c>
      <c r="D2372">
        <f t="shared" si="151"/>
        <v>121.42296084043846</v>
      </c>
      <c r="R2372">
        <f t="shared" si="148"/>
        <v>2.37</v>
      </c>
      <c r="S2372">
        <f t="shared" si="149"/>
        <v>0.74335349713442345</v>
      </c>
    </row>
    <row r="2373" spans="1:19" x14ac:dyDescent="0.3">
      <c r="A2373">
        <v>2.371</v>
      </c>
      <c r="B2373">
        <f>Uo*COS(2*PI()*Wn*Sheet2!A2373) + (Vo/Wn - (Po*(w/Wn))/(K*(1-(w/Wn)^2)))*SIN(2*PI()*Wn*Sheet2!A2373) +(Po*SIN(2*PI()*w*Sheet2!A2373))/(K*(1-(w/Wn)^2))</f>
        <v>8.5780744431562592</v>
      </c>
      <c r="C2373">
        <f t="shared" si="150"/>
        <v>0.78279904859479599</v>
      </c>
      <c r="D2373">
        <f t="shared" si="151"/>
        <v>127.86618828036561</v>
      </c>
      <c r="R2373">
        <f t="shared" si="148"/>
        <v>2.371</v>
      </c>
      <c r="S2373">
        <f t="shared" si="149"/>
        <v>0.78279904859479599</v>
      </c>
    </row>
    <row r="2374" spans="1:19" x14ac:dyDescent="0.3">
      <c r="A2374">
        <v>2.3719999999999999</v>
      </c>
      <c r="B2374">
        <f>Uo*COS(2*PI()*Wn*Sheet2!A2374) + (Vo/Wn - (Po*(w/Wn))/(K*(1-(w/Wn)^2)))*SIN(2*PI()*Wn*Sheet2!A2374) +(Po*SIN(2*PI()*w*Sheet2!A2374))/(K*(1-(w/Wn)^2))</f>
        <v>8.9032086517407212</v>
      </c>
      <c r="C2374">
        <f t="shared" si="150"/>
        <v>0.8219178739059273</v>
      </c>
      <c r="D2374">
        <f t="shared" si="151"/>
        <v>134.2560466884959</v>
      </c>
      <c r="R2374">
        <f t="shared" si="148"/>
        <v>2.3719999999999999</v>
      </c>
      <c r="S2374">
        <f t="shared" si="149"/>
        <v>0.8219178739059273</v>
      </c>
    </row>
    <row r="2375" spans="1:19" x14ac:dyDescent="0.3">
      <c r="A2375">
        <v>2.3730000000000002</v>
      </c>
      <c r="B2375">
        <f>Uo*COS(2*PI()*Wn*Sheet2!A2375) + (Vo/Wn - (Po*(w/Wn))/(K*(1-(w/Wn)^2)))*SIN(2*PI()*Wn*Sheet2!A2375) +(Po*SIN(2*PI()*w*Sheet2!A2375))/(K*(1-(w/Wn)^2))</f>
        <v>9.2254343530561549</v>
      </c>
      <c r="C2375">
        <f t="shared" si="150"/>
        <v>0.86069779525078838</v>
      </c>
      <c r="D2375">
        <f t="shared" si="151"/>
        <v>140.59054688120952</v>
      </c>
      <c r="R2375">
        <f t="shared" si="148"/>
        <v>2.3730000000000002</v>
      </c>
      <c r="S2375">
        <f t="shared" si="149"/>
        <v>0.86069779525078838</v>
      </c>
    </row>
    <row r="2376" spans="1:19" x14ac:dyDescent="0.3">
      <c r="A2376">
        <v>2.3740000000000001</v>
      </c>
      <c r="B2376">
        <f>Uo*COS(2*PI()*Wn*Sheet2!A2376) + (Vo/Wn - (Po*(w/Wn))/(K*(1-(w/Wn)^2)))*SIN(2*PI()*Wn*Sheet2!A2376) +(Po*SIN(2*PI()*w*Sheet2!A2376))/(K*(1-(w/Wn)^2))</f>
        <v>9.5446462821541829</v>
      </c>
      <c r="C2376">
        <f t="shared" si="150"/>
        <v>0.8991267674167146</v>
      </c>
      <c r="D2376">
        <f t="shared" si="151"/>
        <v>146.86772133512582</v>
      </c>
      <c r="R2376">
        <f t="shared" si="148"/>
        <v>2.3740000000000001</v>
      </c>
      <c r="S2376">
        <f t="shared" si="149"/>
        <v>0.8991267674167146</v>
      </c>
    </row>
    <row r="2377" spans="1:19" x14ac:dyDescent="0.3">
      <c r="A2377">
        <v>2.375</v>
      </c>
      <c r="B2377">
        <f>Uo*COS(2*PI()*Wn*Sheet2!A2377) + (Vo/Wn - (Po*(w/Wn))/(K*(1-(w/Wn)^2)))*SIN(2*PI()*Wn*Sheet2!A2377) +(Po*SIN(2*PI()*w*Sheet2!A2377))/(K*(1-(w/Wn)^2))</f>
        <v>9.8607401586286887</v>
      </c>
      <c r="C2377">
        <f t="shared" si="150"/>
        <v>0.93719288148742219</v>
      </c>
      <c r="D2377">
        <f t="shared" si="151"/>
        <v>153.08562479017525</v>
      </c>
      <c r="R2377">
        <f t="shared" si="148"/>
        <v>2.375</v>
      </c>
      <c r="S2377">
        <f t="shared" si="149"/>
        <v>0.93719288148742219</v>
      </c>
    </row>
    <row r="2378" spans="1:19" x14ac:dyDescent="0.3">
      <c r="A2378">
        <v>2.3759999999999999</v>
      </c>
      <c r="B2378">
        <f>Uo*COS(2*PI()*Wn*Sheet2!A2378) + (Vo/Wn - (Po*(w/Wn))/(K*(1-(w/Wn)^2)))*SIN(2*PI()*Wn*Sheet2!A2378) +(Po*SIN(2*PI()*w*Sheet2!A2378))/(K*(1-(w/Wn)^2))</f>
        <v>10.173612720681325</v>
      </c>
      <c r="C2378">
        <f t="shared" si="150"/>
        <v>0.97488436848371995</v>
      </c>
      <c r="D2378">
        <f t="shared" si="151"/>
        <v>159.24233484429067</v>
      </c>
      <c r="R2378">
        <f t="shared" si="148"/>
        <v>2.3759999999999999</v>
      </c>
      <c r="S2378">
        <f t="shared" si="149"/>
        <v>0.97488436848371995</v>
      </c>
    </row>
    <row r="2379" spans="1:19" x14ac:dyDescent="0.3">
      <c r="A2379">
        <v>2.3769999999999998</v>
      </c>
      <c r="B2379">
        <f>Uo*COS(2*PI()*Wn*Sheet2!A2379) + (Vo/Wn - (Po*(w/Wn))/(K*(1-(w/Wn)^2)))*SIN(2*PI()*Wn*Sheet2!A2379) +(Po*SIN(2*PI()*w*Sheet2!A2379))/(K*(1-(w/Wn)^2))</f>
        <v>10.483161758854934</v>
      </c>
      <c r="C2379">
        <f t="shared" si="150"/>
        <v>1.0121896029520363</v>
      </c>
      <c r="D2379">
        <f t="shared" si="151"/>
        <v>165.33595253957489</v>
      </c>
      <c r="R2379">
        <f t="shared" si="148"/>
        <v>2.3769999999999998</v>
      </c>
      <c r="S2379">
        <f t="shared" si="149"/>
        <v>1.0121896029520363</v>
      </c>
    </row>
    <row r="2380" spans="1:19" x14ac:dyDescent="0.3">
      <c r="A2380">
        <v>2.3780000000000001</v>
      </c>
      <c r="B2380">
        <f>Uo*COS(2*PI()*Wn*Sheet2!A2380) + (Vo/Wn - (Po*(w/Wn))/(K*(1-(w/Wn)^2)))*SIN(2*PI()*Wn*Sheet2!A2380) +(Po*SIN(2*PI()*w*Sheet2!A2380))/(K*(1-(w/Wn)^2))</f>
        <v>10.789286149424262</v>
      </c>
      <c r="C2380">
        <f t="shared" si="150"/>
        <v>1.0490971064996943</v>
      </c>
      <c r="D2380">
        <f t="shared" si="151"/>
        <v>171.36460293976967</v>
      </c>
      <c r="R2380">
        <f t="shared" si="148"/>
        <v>2.3780000000000001</v>
      </c>
      <c r="S2380">
        <f t="shared" si="149"/>
        <v>1.0490971064996943</v>
      </c>
    </row>
    <row r="2381" spans="1:19" x14ac:dyDescent="0.3">
      <c r="A2381">
        <v>2.379</v>
      </c>
      <c r="B2381">
        <f>Uo*COS(2*PI()*Wn*Sheet2!A2381) + (Vo/Wn - (Po*(w/Wn))/(K*(1-(w/Wn)^2)))*SIN(2*PI()*Wn*Sheet2!A2381) +(Po*SIN(2*PI()*w*Sheet2!A2381))/(K*(1-(w/Wn)^2))</f>
        <v>11.091885887430291</v>
      </c>
      <c r="C2381">
        <f t="shared" si="150"/>
        <v>1.0855955512755773</v>
      </c>
      <c r="D2381">
        <f t="shared" si="151"/>
        <v>177.32643569880429</v>
      </c>
      <c r="R2381">
        <f t="shared" si="148"/>
        <v>2.379</v>
      </c>
      <c r="S2381">
        <f t="shared" si="149"/>
        <v>1.0855955512755773</v>
      </c>
    </row>
    <row r="2382" spans="1:19" x14ac:dyDescent="0.3">
      <c r="A2382">
        <v>2.38</v>
      </c>
      <c r="B2382">
        <f>Uo*COS(2*PI()*Wn*Sheet2!A2382) + (Vo/Wn - (Po*(w/Wn))/(K*(1-(w/Wn)^2)))*SIN(2*PI()*Wn*Sheet2!A2382) +(Po*SIN(2*PI()*w*Sheet2!A2382))/(K*(1-(w/Wn)^2))</f>
        <v>11.390862119350302</v>
      </c>
      <c r="C2382">
        <f t="shared" si="150"/>
        <v>1.1216737633956801</v>
      </c>
      <c r="D2382">
        <f t="shared" si="151"/>
        <v>183.21962562034184</v>
      </c>
      <c r="R2382">
        <f t="shared" si="148"/>
        <v>2.38</v>
      </c>
      <c r="S2382">
        <f t="shared" si="149"/>
        <v>1.1216737633956801</v>
      </c>
    </row>
    <row r="2383" spans="1:19" x14ac:dyDescent="0.3">
      <c r="A2383">
        <v>2.3809999999999998</v>
      </c>
      <c r="B2383">
        <f>Uo*COS(2*PI()*Wn*Sheet2!A2383) + (Vo/Wn - (Po*(w/Wn))/(K*(1-(w/Wn)^2)))*SIN(2*PI()*Wn*Sheet2!A2383) +(Po*SIN(2*PI()*w*Sheet2!A2383))/(K*(1-(w/Wn)^2))</f>
        <v>11.68611717539166</v>
      </c>
      <c r="C2383">
        <f t="shared" si="150"/>
        <v>1.1573207263119902</v>
      </c>
      <c r="D2383">
        <f t="shared" si="151"/>
        <v>189.04237320806854</v>
      </c>
      <c r="R2383">
        <f t="shared" si="148"/>
        <v>2.3809999999999998</v>
      </c>
      <c r="S2383">
        <f t="shared" si="149"/>
        <v>1.1573207263119902</v>
      </c>
    </row>
    <row r="2384" spans="1:19" x14ac:dyDescent="0.3">
      <c r="A2384">
        <v>2.3820000000000001</v>
      </c>
      <c r="B2384">
        <f>Uo*COS(2*PI()*Wn*Sheet2!A2384) + (Vo/Wn - (Po*(w/Wn))/(K*(1-(w/Wn)^2)))*SIN(2*PI()*Wn*Sheet2!A2384) +(Po*SIN(2*PI()*w*Sheet2!A2384))/(K*(1-(w/Wn)^2))</f>
        <v>11.977554601398523</v>
      </c>
      <c r="C2384">
        <f t="shared" si="150"/>
        <v>1.1925255841240388</v>
      </c>
      <c r="D2384">
        <f t="shared" si="151"/>
        <v>194.7929052066186</v>
      </c>
      <c r="R2384">
        <f t="shared" si="148"/>
        <v>2.3820000000000001</v>
      </c>
      <c r="S2384">
        <f t="shared" si="149"/>
        <v>1.1925255841240388</v>
      </c>
    </row>
    <row r="2385" spans="1:19" x14ac:dyDescent="0.3">
      <c r="A2385">
        <v>2.383</v>
      </c>
      <c r="B2385">
        <f>Uo*COS(2*PI()*Wn*Sheet2!A2385) + (Vo/Wn - (Po*(w/Wn))/(K*(1-(w/Wn)^2)))*SIN(2*PI()*Wn*Sheet2!A2385) +(Po*SIN(2*PI()*w*Sheet2!A2385))/(K*(1-(w/Wn)^2))</f>
        <v>12.26507919036078</v>
      </c>
      <c r="C2385">
        <f t="shared" si="150"/>
        <v>1.2272776448319598</v>
      </c>
      <c r="D2385">
        <f t="shared" si="151"/>
        <v>200.46947513294447</v>
      </c>
      <c r="R2385">
        <f t="shared" si="148"/>
        <v>2.383</v>
      </c>
      <c r="S2385">
        <f t="shared" si="149"/>
        <v>1.2272776448319598</v>
      </c>
    </row>
    <row r="2386" spans="1:19" x14ac:dyDescent="0.3">
      <c r="A2386">
        <v>2.3839999999999999</v>
      </c>
      <c r="B2386">
        <f>Uo*COS(2*PI()*Wn*Sheet2!A2386) + (Vo/Wn - (Po*(w/Wn))/(K*(1-(w/Wn)^2)))*SIN(2*PI()*Wn*Sheet2!A2386) +(Po*SIN(2*PI()*w*Sheet2!A2386))/(K*(1-(w/Wn)^2))</f>
        <v>12.548597013517824</v>
      </c>
      <c r="C2386">
        <f t="shared" si="150"/>
        <v>1.2615663835303113</v>
      </c>
      <c r="D2386">
        <f t="shared" si="151"/>
        <v>206.07036379801127</v>
      </c>
      <c r="R2386">
        <f t="shared" si="148"/>
        <v>2.3839999999999999</v>
      </c>
      <c r="S2386">
        <f t="shared" si="149"/>
        <v>1.2615663835303113</v>
      </c>
    </row>
    <row r="2387" spans="1:19" x14ac:dyDescent="0.3">
      <c r="A2387">
        <v>2.3849999999999998</v>
      </c>
      <c r="B2387">
        <f>Uo*COS(2*PI()*Wn*Sheet2!A2387) + (Vo/Wn - (Po*(w/Wn))/(K*(1-(w/Wn)^2)))*SIN(2*PI()*Wn*Sheet2!A2387) +(Po*SIN(2*PI()*w*Sheet2!A2387))/(K*(1-(w/Wn)^2))</f>
        <v>12.828015451041923</v>
      </c>
      <c r="C2387">
        <f t="shared" si="150"/>
        <v>1.2953814455414518</v>
      </c>
      <c r="D2387">
        <f t="shared" si="151"/>
        <v>211.59387981861758</v>
      </c>
      <c r="R2387">
        <f t="shared" si="148"/>
        <v>2.3849999999999998</v>
      </c>
      <c r="S2387">
        <f t="shared" si="149"/>
        <v>1.2953814455414518</v>
      </c>
    </row>
    <row r="2388" spans="1:19" x14ac:dyDescent="0.3">
      <c r="A2388">
        <v>2.3860000000000001</v>
      </c>
      <c r="B2388">
        <f>Uo*COS(2*PI()*Wn*Sheet2!A2388) + (Vo/Wn - (Po*(w/Wn))/(K*(1-(w/Wn)^2)))*SIN(2*PI()*Wn*Sheet2!A2388) +(Po*SIN(2*PI()*w*Sheet2!A2388))/(K*(1-(w/Wn)^2))</f>
        <v>13.103243222296337</v>
      </c>
      <c r="C2388">
        <f t="shared" si="150"/>
        <v>1.3287126494877806</v>
      </c>
      <c r="D2388">
        <f t="shared" si="151"/>
        <v>217.03836011923002</v>
      </c>
      <c r="R2388">
        <f t="shared" si="148"/>
        <v>2.3860000000000001</v>
      </c>
      <c r="S2388">
        <f t="shared" si="149"/>
        <v>1.3287126494877806</v>
      </c>
    </row>
    <row r="2389" spans="1:19" x14ac:dyDescent="0.3">
      <c r="A2389">
        <v>2.387</v>
      </c>
      <c r="B2389">
        <f>Uo*COS(2*PI()*Wn*Sheet2!A2389) + (Vo/Wn - (Po*(w/Wn))/(K*(1-(w/Wn)^2)))*SIN(2*PI()*Wn*Sheet2!A2389) +(Po*SIN(2*PI()*w*Sheet2!A2389))/(K*(1-(w/Wn)^2))</f>
        <v>13.37419041565418</v>
      </c>
      <c r="C2389">
        <f t="shared" si="150"/>
        <v>1.3615499903018395</v>
      </c>
      <c r="D2389">
        <f t="shared" si="151"/>
        <v>222.402170423668</v>
      </c>
      <c r="R2389">
        <f t="shared" si="148"/>
        <v>2.387</v>
      </c>
      <c r="S2389">
        <f t="shared" si="149"/>
        <v>1.3615499903018395</v>
      </c>
    </row>
    <row r="2390" spans="1:19" x14ac:dyDescent="0.3">
      <c r="A2390">
        <v>2.3879999999999999</v>
      </c>
      <c r="B2390">
        <f>Uo*COS(2*PI()*Wn*Sheet2!A2390) + (Vo/Wn - (Po*(w/Wn))/(K*(1-(w/Wn)^2)))*SIN(2*PI()*Wn*Sheet2!A2390) +(Po*SIN(2*PI()*w*Sheet2!A2390))/(K*(1-(w/Wn)^2))</f>
        <v>13.640768517871155</v>
      </c>
      <c r="C2390">
        <f t="shared" si="150"/>
        <v>1.3938836421734386</v>
      </c>
      <c r="D2390">
        <f t="shared" si="151"/>
        <v>227.68370573650122</v>
      </c>
      <c r="R2390">
        <f t="shared" si="148"/>
        <v>2.3879999999999999</v>
      </c>
      <c r="S2390">
        <f t="shared" si="149"/>
        <v>1.3938836421734386</v>
      </c>
    </row>
    <row r="2391" spans="1:19" x14ac:dyDescent="0.3">
      <c r="A2391">
        <v>2.3889999999999998</v>
      </c>
      <c r="B2391">
        <f>Uo*COS(2*PI()*Wn*Sheet2!A2391) + (Vo/Wn - (Po*(w/Wn))/(K*(1-(w/Wn)^2)))*SIN(2*PI()*Wn*Sheet2!A2391) +(Po*SIN(2*PI()*w*Sheet2!A2391))/(K*(1-(w/Wn)^2))</f>
        <v>13.902890443001446</v>
      </c>
      <c r="C2391">
        <f t="shared" si="150"/>
        <v>1.4257039614329556</v>
      </c>
      <c r="D2391">
        <f t="shared" si="151"/>
        <v>232.88139081402215</v>
      </c>
      <c r="R2391">
        <f t="shared" si="148"/>
        <v>2.3889999999999998</v>
      </c>
      <c r="S2391">
        <f t="shared" si="149"/>
        <v>1.4257039614329556</v>
      </c>
    </row>
    <row r="2392" spans="1:19" x14ac:dyDescent="0.3">
      <c r="A2392">
        <v>2.39</v>
      </c>
      <c r="B2392">
        <f>Uo*COS(2*PI()*Wn*Sheet2!A2392) + (Vo/Wn - (Po*(w/Wn))/(K*(1-(w/Wn)^2)))*SIN(2*PI()*Wn*Sheet2!A2392) +(Po*SIN(2*PI()*w*Sheet2!A2392))/(K*(1-(w/Wn)^2))</f>
        <v>14.160470560846383</v>
      </c>
      <c r="C2392">
        <f t="shared" si="150"/>
        <v>1.457001489369991</v>
      </c>
      <c r="D2392">
        <f t="shared" si="151"/>
        <v>237.99368062465845</v>
      </c>
      <c r="R2392">
        <f t="shared" si="148"/>
        <v>2.39</v>
      </c>
      <c r="S2392">
        <f t="shared" si="149"/>
        <v>1.457001489369991</v>
      </c>
    </row>
    <row r="2393" spans="1:19" x14ac:dyDescent="0.3">
      <c r="A2393">
        <v>2.391</v>
      </c>
      <c r="B2393">
        <f>Uo*COS(2*PI()*Wn*Sheet2!A2393) + (Vo/Wn - (Po*(w/Wn))/(K*(1-(w/Wn)^2)))*SIN(2*PI()*Wn*Sheet2!A2393) +(Po*SIN(2*PI()*w*Sheet2!A2393))/(K*(1-(w/Wn)^2))</f>
        <v>14.413424724928518</v>
      </c>
      <c r="C2393">
        <f t="shared" si="150"/>
        <v>1.4877669549865016</v>
      </c>
      <c r="D2393">
        <f t="shared" si="151"/>
        <v>243.01906079868337</v>
      </c>
      <c r="R2393">
        <f t="shared" si="148"/>
        <v>2.391</v>
      </c>
      <c r="S2393">
        <f t="shared" si="149"/>
        <v>1.4877669549865016</v>
      </c>
    </row>
    <row r="2394" spans="1:19" x14ac:dyDescent="0.3">
      <c r="A2394">
        <v>2.3919999999999999</v>
      </c>
      <c r="B2394">
        <f>Uo*COS(2*PI()*Wn*Sheet2!A2394) + (Vo/Wn - (Po*(w/Wn))/(K*(1-(w/Wn)^2)))*SIN(2*PI()*Wn*Sheet2!A2394) +(Po*SIN(2*PI()*w*Sheet2!A2394))/(K*(1-(w/Wn)^2))</f>
        <v>14.661670299980944</v>
      </c>
      <c r="C2394">
        <f t="shared" si="150"/>
        <v>1.5179912776838222</v>
      </c>
      <c r="D2394">
        <f t="shared" si="151"/>
        <v>247.9560480671268</v>
      </c>
      <c r="R2394">
        <f t="shared" si="148"/>
        <v>2.3919999999999999</v>
      </c>
      <c r="S2394">
        <f t="shared" si="149"/>
        <v>1.5179912776838222</v>
      </c>
    </row>
    <row r="2395" spans="1:19" x14ac:dyDescent="0.3">
      <c r="A2395">
        <v>2.3929999999999998</v>
      </c>
      <c r="B2395">
        <f>Uo*COS(2*PI()*Wn*Sheet2!A2395) + (Vo/Wn - (Po*(w/Wn))/(K*(1-(w/Wn)^2)))*SIN(2*PI()*Wn*Sheet2!A2395) +(Po*SIN(2*PI()*w*Sheet2!A2395))/(K*(1-(w/Wn)^2))</f>
        <v>14.905126188941964</v>
      </c>
      <c r="C2395">
        <f t="shared" si="150"/>
        <v>1.5476655698825645</v>
      </c>
      <c r="D2395">
        <f t="shared" si="151"/>
        <v>252.80319068972221</v>
      </c>
      <c r="R2395">
        <f t="shared" si="148"/>
        <v>2.3929999999999998</v>
      </c>
      <c r="S2395">
        <f t="shared" si="149"/>
        <v>1.5476655698825645</v>
      </c>
    </row>
    <row r="2396" spans="1:19" x14ac:dyDescent="0.3">
      <c r="A2396">
        <v>2.3940000000000001</v>
      </c>
      <c r="B2396">
        <f>Uo*COS(2*PI()*Wn*Sheet2!A2396) + (Vo/Wn - (Po*(w/Wn))/(K*(1-(w/Wn)^2)))*SIN(2*PI()*Wn*Sheet2!A2396) +(Po*SIN(2*PI()*w*Sheet2!A2396))/(K*(1-(w/Wn)^2))</f>
        <v>15.143712859448812</v>
      </c>
      <c r="C2396">
        <f t="shared" si="150"/>
        <v>1.5767811395748661</v>
      </c>
      <c r="D2396">
        <f t="shared" si="151"/>
        <v>257.55906887180345</v>
      </c>
      <c r="R2396">
        <f t="shared" si="148"/>
        <v>2.3940000000000001</v>
      </c>
      <c r="S2396">
        <f t="shared" si="149"/>
        <v>1.5767811395748661</v>
      </c>
    </row>
    <row r="2397" spans="1:19" x14ac:dyDescent="0.3">
      <c r="A2397">
        <v>2.395</v>
      </c>
      <c r="B2397">
        <f>Uo*COS(2*PI()*Wn*Sheet2!A2397) + (Vo/Wn - (Po*(w/Wn))/(K*(1-(w/Wn)^2)))*SIN(2*PI()*Wn*Sheet2!A2397) +(Po*SIN(2*PI()*w*Sheet2!A2397))/(K*(1-(w/Wn)^2))</f>
        <v>15.377352369818212</v>
      </c>
      <c r="C2397">
        <f t="shared" si="150"/>
        <v>1.605329492808105</v>
      </c>
      <c r="D2397">
        <f t="shared" si="151"/>
        <v>262.22229517000665</v>
      </c>
      <c r="R2397">
        <f t="shared" si="148"/>
        <v>2.395</v>
      </c>
      <c r="S2397">
        <f t="shared" si="149"/>
        <v>1.605329492808105</v>
      </c>
    </row>
    <row r="2398" spans="1:19" x14ac:dyDescent="0.3">
      <c r="A2398">
        <v>2.3959999999999999</v>
      </c>
      <c r="B2398">
        <f>Uo*COS(2*PI()*Wn*Sheet2!A2398) + (Vo/Wn - (Po*(w/Wn))/(K*(1-(w/Wn)^2)))*SIN(2*PI()*Wn*Sheet2!A2398) +(Po*SIN(2*PI()*w*Sheet2!A2398))/(K*(1-(w/Wn)^2))</f>
        <v>15.605968394509656</v>
      </c>
      <c r="C2398">
        <f t="shared" si="150"/>
        <v>1.6333023360996759</v>
      </c>
      <c r="D2398">
        <f t="shared" si="151"/>
        <v>266.79151488671152</v>
      </c>
      <c r="R2398">
        <f t="shared" si="148"/>
        <v>2.3959999999999999</v>
      </c>
      <c r="S2398">
        <f t="shared" si="149"/>
        <v>1.6333023360996759</v>
      </c>
    </row>
    <row r="2399" spans="1:19" x14ac:dyDescent="0.3">
      <c r="A2399">
        <v>2.3969999999999998</v>
      </c>
      <c r="B2399">
        <f>Uo*COS(2*PI()*Wn*Sheet2!A2399) + (Vo/Wn - (Po*(w/Wn))/(K*(1-(w/Wn)^2)))*SIN(2*PI()*Wn*Sheet2!A2399) +(Po*SIN(2*PI()*w*Sheet2!A2399))/(K*(1-(w/Wn)^2))</f>
        <v>15.829486249058819</v>
      </c>
      <c r="C2399">
        <f t="shared" si="150"/>
        <v>1.6606915787817293</v>
      </c>
      <c r="D2399">
        <f t="shared" si="151"/>
        <v>271.26540645304237</v>
      </c>
      <c r="R2399">
        <f t="shared" si="148"/>
        <v>2.3969999999999998</v>
      </c>
      <c r="S2399">
        <f t="shared" si="149"/>
        <v>1.6606915787817293</v>
      </c>
    </row>
    <row r="2400" spans="1:19" x14ac:dyDescent="0.3">
      <c r="A2400">
        <v>2.3980000000000001</v>
      </c>
      <c r="B2400">
        <f>Uo*COS(2*PI()*Wn*Sheet2!A2400) + (Vo/Wn - (Po*(w/Wn))/(K*(1-(w/Wn)^2)))*SIN(2*PI()*Wn*Sheet2!A2400) +(Po*SIN(2*PI()*w*Sheet2!A2400))/(K*(1-(w/Wn)^2))</f>
        <v>16.047832914475471</v>
      </c>
      <c r="C2400">
        <f t="shared" si="150"/>
        <v>1.6874893352756697</v>
      </c>
      <c r="D2400">
        <f t="shared" si="151"/>
        <v>275.64268180039562</v>
      </c>
      <c r="R2400">
        <f t="shared" si="148"/>
        <v>2.3980000000000001</v>
      </c>
      <c r="S2400">
        <f t="shared" si="149"/>
        <v>1.6874893352756697</v>
      </c>
    </row>
    <row r="2401" spans="1:19" x14ac:dyDescent="0.3">
      <c r="A2401">
        <v>2.399</v>
      </c>
      <c r="B2401">
        <f>Uo*COS(2*PI()*Wn*Sheet2!A2401) + (Vo/Wn - (Po*(w/Wn))/(K*(1-(w/Wn)^2)))*SIN(2*PI()*Wn*Sheet2!A2401) +(Po*SIN(2*PI()*w*Sheet2!A2401))/(K*(1-(w/Wn)^2))</f>
        <v>16.260937061097557</v>
      </c>
      <c r="C2401">
        <f t="shared" si="150"/>
        <v>1.7136879272954968</v>
      </c>
      <c r="D2401">
        <f t="shared" si="151"/>
        <v>279.92208672034428</v>
      </c>
      <c r="R2401">
        <f t="shared" si="148"/>
        <v>2.399</v>
      </c>
      <c r="S2401">
        <f t="shared" si="149"/>
        <v>1.7136879272954968</v>
      </c>
    </row>
    <row r="2402" spans="1:19" x14ac:dyDescent="0.3">
      <c r="A2402">
        <v>2.4</v>
      </c>
      <c r="B2402">
        <f>Uo*COS(2*PI()*Wn*Sheet2!A2402) + (Vo/Wn - (Po*(w/Wn))/(K*(1-(w/Wn)^2)))*SIN(2*PI()*Wn*Sheet2!A2402) +(Po*SIN(2*PI()*w*Sheet2!A2402))/(K*(1-(w/Wn)^2))</f>
        <v>16.468729071893474</v>
      </c>
      <c r="C2402">
        <f t="shared" si="150"/>
        <v>1.7392798859796081</v>
      </c>
      <c r="D2402">
        <f t="shared" si="151"/>
        <v>284.10240121285688</v>
      </c>
      <c r="R2402">
        <f t="shared" si="148"/>
        <v>2.4</v>
      </c>
      <c r="S2402">
        <f t="shared" si="149"/>
        <v>1.7392798859796081</v>
      </c>
    </row>
    <row r="2403" spans="1:19" x14ac:dyDescent="0.3">
      <c r="A2403">
        <v>2.4009999999999998</v>
      </c>
      <c r="B2403">
        <f>Uo*COS(2*PI()*Wn*Sheet2!A2403) + (Vo/Wn - (Po*(w/Wn))/(K*(1-(w/Wn)^2)))*SIN(2*PI()*Wn*Sheet2!A2403) +(Po*SIN(2*PI()*w*Sheet2!A2403))/(K*(1-(w/Wn)^2))</f>
        <v>16.671141065204036</v>
      </c>
      <c r="C2403">
        <f t="shared" si="150"/>
        <v>1.7642579539503054</v>
      </c>
      <c r="D2403">
        <f t="shared" si="151"/>
        <v>288.18243982270729</v>
      </c>
      <c r="R2403">
        <f t="shared" si="148"/>
        <v>2.4009999999999998</v>
      </c>
      <c r="S2403">
        <f t="shared" si="149"/>
        <v>1.7642579539503054</v>
      </c>
    </row>
    <row r="2404" spans="1:19" x14ac:dyDescent="0.3">
      <c r="A2404">
        <v>2.4020000000000001</v>
      </c>
      <c r="B2404">
        <f>Uo*COS(2*PI()*Wn*Sheet2!A2404) + (Vo/Wn - (Po*(w/Wn))/(K*(1-(w/Wn)^2)))*SIN(2*PI()*Wn*Sheet2!A2404) +(Po*SIN(2*PI()*w*Sheet2!A2404))/(K*(1-(w/Wn)^2))</f>
        <v>16.86810691691884</v>
      </c>
      <c r="C2404">
        <f t="shared" si="150"/>
        <v>1.7886150873006208</v>
      </c>
      <c r="D2404">
        <f t="shared" si="151"/>
        <v>292.16105196401253</v>
      </c>
      <c r="R2404">
        <f t="shared" si="148"/>
        <v>2.4020000000000001</v>
      </c>
      <c r="S2404">
        <f t="shared" si="149"/>
        <v>1.7886150873006208</v>
      </c>
    </row>
    <row r="2405" spans="1:19" x14ac:dyDescent="0.3">
      <c r="A2405">
        <v>2.403</v>
      </c>
      <c r="B2405">
        <f>Uo*COS(2*PI()*Wn*Sheet2!A2405) + (Vo/Wn - (Po*(w/Wn))/(K*(1-(w/Wn)^2)))*SIN(2*PI()*Wn*Sheet2!A2405) +(Po*SIN(2*PI()*w*Sheet2!A2405))/(K*(1-(w/Wn)^2))</f>
        <v>17.059562282076797</v>
      </c>
      <c r="C2405">
        <f t="shared" si="150"/>
        <v>1.8123444575078069</v>
      </c>
      <c r="D2405">
        <f t="shared" si="151"/>
        <v>296.03712223279121</v>
      </c>
      <c r="R2405">
        <f t="shared" si="148"/>
        <v>2.403</v>
      </c>
      <c r="S2405">
        <f t="shared" si="149"/>
        <v>1.8123444575078069</v>
      </c>
    </row>
    <row r="2406" spans="1:19" x14ac:dyDescent="0.3">
      <c r="A2406">
        <v>2.4039999999999999</v>
      </c>
      <c r="B2406">
        <f>Uo*COS(2*PI()*Wn*Sheet2!A2406) + (Vo/Wn - (Po*(w/Wn))/(K*(1-(w/Wn)^2)))*SIN(2*PI()*Wn*Sheet2!A2406) +(Po*SIN(2*PI()*w*Sheet2!A2406))/(K*(1-(w/Wn)^2))</f>
        <v>17.245444615887408</v>
      </c>
      <c r="C2406">
        <f t="shared" si="150"/>
        <v>1.835439453273217</v>
      </c>
      <c r="D2406">
        <f t="shared" si="151"/>
        <v>299.80957070749906</v>
      </c>
      <c r="R2406">
        <f t="shared" si="148"/>
        <v>2.4039999999999999</v>
      </c>
      <c r="S2406">
        <f t="shared" si="149"/>
        <v>1.835439453273217</v>
      </c>
    </row>
    <row r="2407" spans="1:19" x14ac:dyDescent="0.3">
      <c r="A2407">
        <v>2.4049999999999998</v>
      </c>
      <c r="B2407">
        <f>Uo*COS(2*PI()*Wn*Sheet2!A2407) + (Vo/Wn - (Po*(w/Wn))/(K*(1-(w/Wn)^2)))*SIN(2*PI()*Wn*Sheet2!A2407) +(Po*SIN(2*PI()*w*Sheet2!A2407))/(K*(1-(w/Wn)^2))</f>
        <v>17.425693194162385</v>
      </c>
      <c r="C2407">
        <f t="shared" si="150"/>
        <v>1.8578936822877776</v>
      </c>
      <c r="D2407">
        <f t="shared" si="151"/>
        <v>303.47735323740915</v>
      </c>
      <c r="R2407">
        <f t="shared" si="148"/>
        <v>2.4049999999999998</v>
      </c>
      <c r="S2407">
        <f t="shared" si="149"/>
        <v>1.8578936822877776</v>
      </c>
    </row>
    <row r="2408" spans="1:19" x14ac:dyDescent="0.3">
      <c r="A2408">
        <v>2.4060000000000001</v>
      </c>
      <c r="B2408">
        <f>Uo*COS(2*PI()*Wn*Sheet2!A2408) + (Vo/Wn - (Po*(w/Wn))/(K*(1-(w/Wn)^2)))*SIN(2*PI()*Wn*Sheet2!A2408) +(Po*SIN(2*PI()*w*Sheet2!A2408))/(K*(1-(w/Wn)^2))</f>
        <v>17.600249133153028</v>
      </c>
      <c r="C2408">
        <f t="shared" si="150"/>
        <v>1.8797009729229444</v>
      </c>
      <c r="D2408">
        <f t="shared" si="151"/>
        <v>307.03946171882131</v>
      </c>
      <c r="R2408">
        <f t="shared" si="148"/>
        <v>2.4060000000000001</v>
      </c>
      <c r="S2408">
        <f t="shared" si="149"/>
        <v>1.8797009729229444</v>
      </c>
    </row>
    <row r="2409" spans="1:19" x14ac:dyDescent="0.3">
      <c r="A2409">
        <v>2.407</v>
      </c>
      <c r="B2409">
        <f>Uo*COS(2*PI()*Wn*Sheet2!A2409) + (Vo/Wn - (Po*(w/Wn))/(K*(1-(w/Wn)^2)))*SIN(2*PI()*Wn*Sheet2!A2409) +(Po*SIN(2*PI()*w*Sheet2!A2409))/(K*(1-(w/Wn)^2))</f>
        <v>17.769055408786581</v>
      </c>
      <c r="C2409">
        <f t="shared" si="150"/>
        <v>1.9008553758464837</v>
      </c>
      <c r="D2409">
        <f t="shared" si="151"/>
        <v>310.4949243589914</v>
      </c>
      <c r="R2409">
        <f t="shared" si="148"/>
        <v>2.407</v>
      </c>
      <c r="S2409">
        <f t="shared" si="149"/>
        <v>1.9008553758464837</v>
      </c>
    </row>
    <row r="2410" spans="1:19" x14ac:dyDescent="0.3">
      <c r="A2410">
        <v>2.4079999999999999</v>
      </c>
      <c r="B2410">
        <f>Uo*COS(2*PI()*Wn*Sheet2!A2410) + (Vo/Wn - (Po*(w/Wn))/(K*(1-(w/Wn)^2)))*SIN(2*PI()*Wn*Sheet2!A2410) +(Po*SIN(2*PI()*w*Sheet2!A2410))/(K*(1-(w/Wn)^2))</f>
        <v>17.932056875295046</v>
      </c>
      <c r="C2410">
        <f t="shared" si="150"/>
        <v>1.9213511655628686</v>
      </c>
      <c r="D2410">
        <f t="shared" si="151"/>
        <v>313.84280592774712</v>
      </c>
      <c r="R2410">
        <f t="shared" si="148"/>
        <v>2.4079999999999999</v>
      </c>
      <c r="S2410">
        <f t="shared" si="149"/>
        <v>1.9213511655628686</v>
      </c>
    </row>
    <row r="2411" spans="1:19" x14ac:dyDescent="0.3">
      <c r="A2411">
        <v>2.4089999999999998</v>
      </c>
      <c r="B2411">
        <f>Uo*COS(2*PI()*Wn*Sheet2!A2411) + (Vo/Wn - (Po*(w/Wn))/(K*(1-(w/Wn)^2)))*SIN(2*PI()*Wn*Sheet2!A2411) +(Po*SIN(2*PI()*w*Sheet2!A2411))/(K*(1-(w/Wn)^2))</f>
        <v>18.08920028322985</v>
      </c>
      <c r="C2411">
        <f t="shared" si="150"/>
        <v>1.9411828418777575</v>
      </c>
      <c r="D2411">
        <f t="shared" si="151"/>
        <v>317.08220799670323</v>
      </c>
      <c r="R2411">
        <f t="shared" si="148"/>
        <v>2.4089999999999998</v>
      </c>
      <c r="S2411">
        <f t="shared" si="149"/>
        <v>1.9411828418777575</v>
      </c>
    </row>
    <row r="2412" spans="1:19" x14ac:dyDescent="0.3">
      <c r="A2412">
        <v>2.41</v>
      </c>
      <c r="B2412">
        <f>Uo*COS(2*PI()*Wn*Sheet2!A2412) + (Vo/Wn - (Po*(w/Wn))/(K*(1-(w/Wn)^2)))*SIN(2*PI()*Wn*Sheet2!A2412) +(Po*SIN(2*PI()*w*Sheet2!A2412))/(K*(1-(w/Wn)^2))</f>
        <v>18.240434296857927</v>
      </c>
      <c r="C2412">
        <f t="shared" si="150"/>
        <v>1.9603451312863418</v>
      </c>
      <c r="D2412">
        <f t="shared" si="151"/>
        <v>320.21226916604076</v>
      </c>
      <c r="R2412">
        <f t="shared" si="148"/>
        <v>2.41</v>
      </c>
      <c r="S2412">
        <f t="shared" si="149"/>
        <v>1.9603451312863418</v>
      </c>
    </row>
    <row r="2413" spans="1:19" x14ac:dyDescent="0.3">
      <c r="A2413">
        <v>2.411</v>
      </c>
      <c r="B2413">
        <f>Uo*COS(2*PI()*Wn*Sheet2!A2413) + (Vo/Wn - (Po*(w/Wn))/(K*(1-(w/Wn)^2)))*SIN(2*PI()*Wn*Sheet2!A2413) +(Po*SIN(2*PI()*w*Sheet2!A2413))/(K*(1-(w/Wn)^2))</f>
        <v>18.385709510931424</v>
      </c>
      <c r="C2413">
        <f t="shared" si="150"/>
        <v>1.9788329882851496</v>
      </c>
      <c r="D2413">
        <f t="shared" si="151"/>
        <v>323.23216527878333</v>
      </c>
      <c r="R2413">
        <f t="shared" si="148"/>
        <v>2.411</v>
      </c>
      <c r="S2413">
        <f t="shared" si="149"/>
        <v>1.9788329882851496</v>
      </c>
    </row>
    <row r="2414" spans="1:19" x14ac:dyDescent="0.3">
      <c r="A2414">
        <v>2.4119999999999999</v>
      </c>
      <c r="B2414">
        <f>Uo*COS(2*PI()*Wn*Sheet2!A2414) + (Vo/Wn - (Po*(w/Wn))/(K*(1-(w/Wn)^2)))*SIN(2*PI()*Wn*Sheet2!A2414) +(Po*SIN(2*PI()*w*Sheet2!A2414))/(K*(1-(w/Wn)^2))</f>
        <v>18.524978466828223</v>
      </c>
      <c r="C2414">
        <f t="shared" si="150"/>
        <v>1.9966415966071351</v>
      </c>
      <c r="D2414">
        <f t="shared" si="151"/>
        <v>326.14110962254301</v>
      </c>
      <c r="R2414">
        <f t="shared" si="148"/>
        <v>2.4119999999999999</v>
      </c>
      <c r="S2414">
        <f t="shared" si="149"/>
        <v>1.9966415966071351</v>
      </c>
    </row>
    <row r="2415" spans="1:19" x14ac:dyDescent="0.3">
      <c r="A2415">
        <v>2.4129999999999998</v>
      </c>
      <c r="B2415">
        <f>Uo*COS(2*PI()*Wn*Sheet2!A2415) + (Vo/Wn - (Po*(w/Wn))/(K*(1-(w/Wn)^2)))*SIN(2*PI()*Wn*Sheet2!A2415) +(Po*SIN(2*PI()*w*Sheet2!A2415))/(K*(1-(w/Wn)^2))</f>
        <v>18.658195668055317</v>
      </c>
      <c r="C2415">
        <f t="shared" si="150"/>
        <v>2.0137663703796775</v>
      </c>
      <c r="D2415">
        <f t="shared" si="151"/>
        <v>328.93835311867304</v>
      </c>
      <c r="R2415">
        <f t="shared" si="148"/>
        <v>2.4129999999999998</v>
      </c>
      <c r="S2415">
        <f t="shared" si="149"/>
        <v>2.0137663703796775</v>
      </c>
    </row>
    <row r="2416" spans="1:19" x14ac:dyDescent="0.3">
      <c r="A2416">
        <v>2.4140000000000001</v>
      </c>
      <c r="B2416">
        <f>Uo*COS(2*PI()*Wn*Sheet2!A2416) + (Vo/Wn - (Po*(w/Wn))/(K*(1-(w/Wn)^2)))*SIN(2*PI()*Wn*Sheet2!A2416) +(Po*SIN(2*PI()*w*Sheet2!A2416))/(K*(1-(w/Wn)^2))</f>
        <v>18.785317595111607</v>
      </c>
      <c r="C2416">
        <f t="shared" si="150"/>
        <v>2.0302029552052621</v>
      </c>
      <c r="D2416">
        <f t="shared" si="151"/>
        <v>331.62318449879177</v>
      </c>
      <c r="R2416">
        <f t="shared" si="148"/>
        <v>2.4140000000000001</v>
      </c>
      <c r="S2416">
        <f t="shared" si="149"/>
        <v>2.0302029552052621</v>
      </c>
    </row>
    <row r="2417" spans="1:19" x14ac:dyDescent="0.3">
      <c r="A2417">
        <v>2.415</v>
      </c>
      <c r="B2417">
        <f>Uo*COS(2*PI()*Wn*Sheet2!A2417) + (Vo/Wn - (Po*(w/Wn))/(K*(1-(w/Wn)^2)))*SIN(2*PI()*Wn*Sheet2!A2417) +(Po*SIN(2*PI()*w*Sheet2!A2417))/(K*(1-(w/Wn)^2))</f>
        <v>18.906302719705064</v>
      </c>
      <c r="C2417">
        <f t="shared" si="150"/>
        <v>2.0459472291646961</v>
      </c>
      <c r="D2417">
        <f t="shared" si="151"/>
        <v>334.19493046865273</v>
      </c>
      <c r="R2417">
        <f t="shared" si="148"/>
        <v>2.415</v>
      </c>
      <c r="S2417">
        <f t="shared" si="149"/>
        <v>2.0459472291646961</v>
      </c>
    </row>
    <row r="2418" spans="1:19" x14ac:dyDescent="0.3">
      <c r="A2418">
        <v>2.4159999999999999</v>
      </c>
      <c r="B2418">
        <f>Uo*COS(2*PI()*Wn*Sheet2!A2418) + (Vo/Wn - (Po*(w/Wn))/(K*(1-(w/Wn)^2)))*SIN(2*PI()*Wn*Sheet2!A2418) +(Po*SIN(2*PI()*w*Sheet2!A2418))/(K*(1-(w/Wn)^2))</f>
        <v>19.021111518319106</v>
      </c>
      <c r="C2418">
        <f t="shared" si="150"/>
        <v>2.0609953037426596</v>
      </c>
      <c r="D2418">
        <f t="shared" si="151"/>
        <v>336.65295585932853</v>
      </c>
      <c r="R2418">
        <f t="shared" si="148"/>
        <v>2.4159999999999999</v>
      </c>
      <c r="S2418">
        <f t="shared" si="149"/>
        <v>2.0609953037426596</v>
      </c>
    </row>
    <row r="2419" spans="1:19" x14ac:dyDescent="0.3">
      <c r="A2419">
        <v>2.4169999999999998</v>
      </c>
      <c r="B2419">
        <f>Uo*COS(2*PI()*Wn*Sheet2!A2419) + (Vo/Wn - (Po*(w/Wn))/(K*(1-(w/Wn)^2)))*SIN(2*PI()*Wn*Sheet2!A2419) +(Po*SIN(2*PI()*w*Sheet2!A2419))/(K*(1-(w/Wn)^2))</f>
        <v>19.129706485124327</v>
      </c>
      <c r="C2419">
        <f t="shared" si="150"/>
        <v>2.0753435246753451</v>
      </c>
      <c r="D2419">
        <f t="shared" si="151"/>
        <v>338.99666376566853</v>
      </c>
      <c r="R2419">
        <f t="shared" si="148"/>
        <v>2.4169999999999998</v>
      </c>
      <c r="S2419">
        <f t="shared" si="149"/>
        <v>2.0753435246753451</v>
      </c>
    </row>
    <row r="2420" spans="1:19" x14ac:dyDescent="0.3">
      <c r="A2420">
        <v>2.4180000000000001</v>
      </c>
      <c r="B2420">
        <f>Uo*COS(2*PI()*Wn*Sheet2!A2420) + (Vo/Wn - (Po*(w/Wn))/(K*(1-(w/Wn)^2)))*SIN(2*PI()*Wn*Sheet2!A2420) +(Po*SIN(2*PI()*w*Sheet2!A2420))/(K*(1-(w/Wn)^2))</f>
        <v>19.232052144230845</v>
      </c>
      <c r="C2420">
        <f t="shared" si="150"/>
        <v>2.0889884727201635</v>
      </c>
      <c r="D2420">
        <f t="shared" si="151"/>
        <v>341.22549567202623</v>
      </c>
      <c r="R2420">
        <f t="shared" si="148"/>
        <v>2.4180000000000001</v>
      </c>
      <c r="S2420">
        <f t="shared" si="149"/>
        <v>2.0889884727201635</v>
      </c>
    </row>
    <row r="2421" spans="1:19" x14ac:dyDescent="0.3">
      <c r="A2421">
        <v>2.419</v>
      </c>
      <c r="B2421">
        <f>Uo*COS(2*PI()*Wn*Sheet2!A2421) + (Vo/Wn - (Po*(w/Wn))/(K*(1-(w/Wn)^2)))*SIN(2*PI()*Wn*Sheet2!A2421) +(Po*SIN(2*PI()*w*Sheet2!A2421))/(K*(1-(w/Wn)^2))</f>
        <v>19.328115061277348</v>
      </c>
      <c r="C2421">
        <f t="shared" si="150"/>
        <v>2.1019269643472955</v>
      </c>
      <c r="D2421">
        <f t="shared" si="151"/>
        <v>343.33893156522078</v>
      </c>
      <c r="R2421">
        <f t="shared" si="148"/>
        <v>2.419</v>
      </c>
      <c r="S2421">
        <f t="shared" si="149"/>
        <v>2.1019269643472955</v>
      </c>
    </row>
    <row r="2422" spans="1:19" x14ac:dyDescent="0.3">
      <c r="A2422">
        <v>2.42</v>
      </c>
      <c r="B2422">
        <f>Uo*COS(2*PI()*Wn*Sheet2!A2422) + (Vo/Wn - (Po*(w/Wn))/(K*(1-(w/Wn)^2)))*SIN(2*PI()*Wn*Sheet2!A2422) +(Po*SIN(2*PI()*w*Sheet2!A2422))/(K*(1-(w/Wn)^2))</f>
        <v>19.417863854353929</v>
      </c>
      <c r="C2422">
        <f t="shared" si="150"/>
        <v>2.1141560523531258</v>
      </c>
      <c r="D2422">
        <f t="shared" si="151"/>
        <v>345.33649003473812</v>
      </c>
      <c r="R2422">
        <f t="shared" si="148"/>
        <v>2.42</v>
      </c>
      <c r="S2422">
        <f t="shared" si="149"/>
        <v>2.1141560523531258</v>
      </c>
    </row>
    <row r="2423" spans="1:19" x14ac:dyDescent="0.3">
      <c r="A2423">
        <v>2.4209999999999998</v>
      </c>
      <c r="B2423">
        <f>Uo*COS(2*PI()*Wn*Sheet2!A2423) + (Vo/Wn - (Po*(w/Wn))/(K*(1-(w/Wn)^2)))*SIN(2*PI()*Wn*Sheet2!A2423) +(Po*SIN(2*PI()*w*Sheet2!A2423))/(K*(1-(w/Wn)^2))</f>
        <v>19.501269204253656</v>
      </c>
      <c r="C2423">
        <f t="shared" si="150"/>
        <v>2.1256730263954107</v>
      </c>
      <c r="D2423">
        <f t="shared" si="151"/>
        <v>347.21772836014799</v>
      </c>
      <c r="R2423">
        <f t="shared" si="148"/>
        <v>2.4209999999999998</v>
      </c>
      <c r="S2423">
        <f t="shared" si="149"/>
        <v>2.1256730263954107</v>
      </c>
    </row>
    <row r="2424" spans="1:19" x14ac:dyDescent="0.3">
      <c r="A2424">
        <v>2.4220000000000002</v>
      </c>
      <c r="B2424">
        <f>Uo*COS(2*PI()*Wn*Sheet2!A2424) + (Vo/Wn - (Po*(w/Wn))/(K*(1-(w/Wn)^2)))*SIN(2*PI()*Wn*Sheet2!A2424) +(Po*SIN(2*PI()*w*Sheet2!A2424))/(K*(1-(w/Wn)^2))</f>
        <v>19.578303864050589</v>
      </c>
      <c r="C2424">
        <f t="shared" si="150"/>
        <v>2.136475413450134</v>
      </c>
      <c r="D2424">
        <f t="shared" si="151"/>
        <v>348.98224258572878</v>
      </c>
      <c r="R2424">
        <f t="shared" si="148"/>
        <v>2.4220000000000002</v>
      </c>
      <c r="S2424">
        <f t="shared" si="149"/>
        <v>2.136475413450134</v>
      </c>
    </row>
    <row r="2425" spans="1:19" x14ac:dyDescent="0.3">
      <c r="A2425">
        <v>2.423</v>
      </c>
      <c r="B2425">
        <f>Uo*COS(2*PI()*Wn*Sheet2!A2425) + (Vo/Wn - (Po*(w/Wn))/(K*(1-(w/Wn)^2)))*SIN(2*PI()*Wn*Sheet2!A2425) +(Po*SIN(2*PI()*w*Sheet2!A2425))/(K*(1-(w/Wn)^2))</f>
        <v>19.648942668000917</v>
      </c>
      <c r="C2425">
        <f t="shared" si="150"/>
        <v>2.1465609781901223</v>
      </c>
      <c r="D2425">
        <f t="shared" si="151"/>
        <v>350.62966758231266</v>
      </c>
      <c r="R2425">
        <f t="shared" si="148"/>
        <v>2.423</v>
      </c>
      <c r="S2425">
        <f t="shared" si="149"/>
        <v>2.1465609781901223</v>
      </c>
    </row>
    <row r="2426" spans="1:19" x14ac:dyDescent="0.3">
      <c r="A2426">
        <v>2.4239999999999999</v>
      </c>
      <c r="B2426">
        <f>Uo*COS(2*PI()*Wn*Sheet2!A2426) + (Vo/Wn - (Po*(w/Wn))/(K*(1-(w/Wn)^2)))*SIN(2*PI()*Wn*Sheet2!A2426) +(Po*SIN(2*PI()*w*Sheet2!A2426))/(K*(1-(w/Wn)^2))</f>
        <v>19.71316253976407</v>
      </c>
      <c r="C2426">
        <f t="shared" si="150"/>
        <v>2.1559277232854019</v>
      </c>
      <c r="D2426">
        <f t="shared" si="151"/>
        <v>352.1596770963472</v>
      </c>
      <c r="R2426">
        <f t="shared" si="148"/>
        <v>2.4239999999999999</v>
      </c>
      <c r="S2426">
        <f t="shared" si="149"/>
        <v>2.1559277232854019</v>
      </c>
    </row>
    <row r="2427" spans="1:19" x14ac:dyDescent="0.3">
      <c r="A2427">
        <v>2.4249999999999998</v>
      </c>
      <c r="B2427">
        <f>Uo*COS(2*PI()*Wn*Sheet2!A2427) + (Vo/Wn - (Po*(w/Wn))/(K*(1-(w/Wn)^2)))*SIN(2*PI()*Wn*Sheet2!A2427) +(Po*SIN(2*PI()*w*Sheet2!A2427))/(K*(1-(w/Wn)^2))</f>
        <v>19.770942499941398</v>
      </c>
      <c r="C2427">
        <f t="shared" si="150"/>
        <v>2.1645738896253039</v>
      </c>
      <c r="D2427">
        <f t="shared" si="151"/>
        <v>353.571983786175</v>
      </c>
      <c r="R2427">
        <f t="shared" si="148"/>
        <v>2.4249999999999998</v>
      </c>
      <c r="S2427">
        <f t="shared" si="149"/>
        <v>2.1645738896253039</v>
      </c>
    </row>
    <row r="2428" spans="1:19" x14ac:dyDescent="0.3">
      <c r="A2428">
        <v>2.4260000000000002</v>
      </c>
      <c r="B2428">
        <f>Uo*COS(2*PI()*Wn*Sheet2!A2428) + (Vo/Wn - (Po*(w/Wn))/(K*(1-(w/Wn)^2)))*SIN(2*PI()*Wn*Sheet2!A2428) +(Po*SIN(2*PI()*w*Sheet2!A2428))/(K*(1-(w/Wn)^2))</f>
        <v>19.82226367292968</v>
      </c>
      <c r="C2428">
        <f t="shared" si="150"/>
        <v>2.1724979564624363</v>
      </c>
      <c r="D2428">
        <f t="shared" si="151"/>
        <v>354.86633924555093</v>
      </c>
      <c r="R2428">
        <f t="shared" si="148"/>
        <v>2.4260000000000002</v>
      </c>
      <c r="S2428">
        <f t="shared" si="149"/>
        <v>2.1724979564624363</v>
      </c>
    </row>
    <row r="2429" spans="1:19" x14ac:dyDescent="0.3">
      <c r="A2429">
        <v>2.427</v>
      </c>
      <c r="B2429">
        <f>Uo*COS(2*PI()*Wn*Sheet2!A2429) + (Vo/Wn - (Po*(w/Wn))/(K*(1-(w/Wn)^2)))*SIN(2*PI()*Wn*Sheet2!A2429) +(Po*SIN(2*PI()*w*Sheet2!A2429))/(K*(1-(w/Wn)^2))</f>
        <v>19.867109293087314</v>
      </c>
      <c r="C2429">
        <f t="shared" si="150"/>
        <v>2.1796986414785793</v>
      </c>
      <c r="D2429">
        <f t="shared" si="151"/>
        <v>356.04253401440582</v>
      </c>
      <c r="R2429">
        <f t="shared" si="148"/>
        <v>2.427</v>
      </c>
      <c r="S2429">
        <f t="shared" si="149"/>
        <v>2.1796986414785793</v>
      </c>
    </row>
    <row r="2430" spans="1:19" x14ac:dyDescent="0.3">
      <c r="A2430">
        <v>2.4279999999999999</v>
      </c>
      <c r="B2430">
        <f>Uo*COS(2*PI()*Wn*Sheet2!A2430) + (Vo/Wn - (Po*(w/Wn))/(K*(1-(w/Wn)^2)))*SIN(2*PI()*Wn*Sheet2!A2430) +(Po*SIN(2*PI()*w*Sheet2!A2430))/(K*(1-(w/Wn)^2))</f>
        <v>19.90546471021155</v>
      </c>
      <c r="C2430">
        <f t="shared" si="150"/>
        <v>2.1861749007726732</v>
      </c>
      <c r="D2430">
        <f t="shared" si="151"/>
        <v>357.10039757688406</v>
      </c>
      <c r="R2430">
        <f t="shared" si="148"/>
        <v>2.4279999999999999</v>
      </c>
      <c r="S2430">
        <f t="shared" si="149"/>
        <v>2.1861749007726732</v>
      </c>
    </row>
    <row r="2431" spans="1:19" x14ac:dyDescent="0.3">
      <c r="A2431">
        <v>2.4289999999999998</v>
      </c>
      <c r="B2431">
        <f>Uo*COS(2*PI()*Wn*Sheet2!A2431) + (Vo/Wn - (Po*(w/Wn))/(K*(1-(w/Wn)^2)))*SIN(2*PI()*Wn*Sheet2!A2431) +(Po*SIN(2*PI()*w*Sheet2!A2431))/(K*(1-(w/Wn)^2))</f>
        <v>19.937317394324289</v>
      </c>
      <c r="C2431">
        <f t="shared" si="150"/>
        <v>2.1919259287709907</v>
      </c>
      <c r="D2431">
        <f t="shared" si="151"/>
        <v>358.03979834667109</v>
      </c>
      <c r="R2431">
        <f t="shared" si="148"/>
        <v>2.4289999999999998</v>
      </c>
      <c r="S2431">
        <f t="shared" si="149"/>
        <v>2.1919259287709907</v>
      </c>
    </row>
    <row r="2432" spans="1:19" x14ac:dyDescent="0.3">
      <c r="A2432">
        <v>2.4300000000000002</v>
      </c>
      <c r="B2432">
        <f>Uo*COS(2*PI()*Wn*Sheet2!A2432) + (Vo/Wn - (Po*(w/Wn))/(K*(1-(w/Wn)^2)))*SIN(2*PI()*Wn*Sheet2!A2432) +(Po*SIN(2*PI()*w*Sheet2!A2432))/(K*(1-(w/Wn)^2))</f>
        <v>19.962656939765385</v>
      </c>
      <c r="C2432">
        <f t="shared" si="150"/>
        <v>2.1969511580596732</v>
      </c>
      <c r="D2432">
        <f t="shared" si="151"/>
        <v>358.86064363963885</v>
      </c>
      <c r="R2432">
        <f t="shared" si="148"/>
        <v>2.4300000000000002</v>
      </c>
      <c r="S2432">
        <f t="shared" si="149"/>
        <v>2.1969511580596732</v>
      </c>
    </row>
    <row r="2433" spans="1:19" x14ac:dyDescent="0.3">
      <c r="A2433">
        <v>2.431</v>
      </c>
      <c r="B2433">
        <f>Uo*COS(2*PI()*Wn*Sheet2!A2433) + (Vo/Wn - (Po*(w/Wn))/(K*(1-(w/Wn)^2)))*SIN(2*PI()*Wn*Sheet2!A2433) +(Po*SIN(2*PI()*w*Sheet2!A2433))/(K*(1-(w/Wn)^2))</f>
        <v>19.981475068592019</v>
      </c>
      <c r="C2433">
        <f t="shared" si="150"/>
        <v>2.2012502591398633</v>
      </c>
      <c r="D2433">
        <f t="shared" si="151"/>
        <v>359.56287963384796</v>
      </c>
      <c r="R2433">
        <f t="shared" ref="R2433:R2496" si="152">A2433</f>
        <v>2.431</v>
      </c>
      <c r="S2433">
        <f t="shared" ref="S2433:S2496" si="153">C2433</f>
        <v>2.2012502591398633</v>
      </c>
    </row>
    <row r="2434" spans="1:19" x14ac:dyDescent="0.3">
      <c r="A2434">
        <v>2.4319999999999999</v>
      </c>
      <c r="B2434">
        <f>Uo*COS(2*PI()*Wn*Sheet2!A2434) + (Vo/Wn - (Po*(w/Wn))/(K*(1-(w/Wn)^2)))*SIN(2*PI()*Wn*Sheet2!A2434) +(Po*SIN(2*PI()*w*Sheet2!A2434))/(K*(1-(w/Wn)^2))</f>
        <v>19.99376563328293</v>
      </c>
      <c r="C2434">
        <f t="shared" ref="C2434:C2497" si="154">EXP(-zeta*Wn*A2434*2*PI())*($H$1*COS(wnD*2*PI()*A2434) + $H$2*SIN(wnD*2*PI()*A2434)) + $H$3*SIN(w*2*PI()*A2434) + $H$4*COS(w*2*PI()*A2434)</f>
        <v>2.2048231401056131</v>
      </c>
      <c r="D2434">
        <f t="shared" ref="D2434:D2497" si="155">K*C2434</f>
        <v>360.14649131693574</v>
      </c>
      <c r="R2434">
        <f t="shared" si="152"/>
        <v>2.4319999999999999</v>
      </c>
      <c r="S2434">
        <f t="shared" si="153"/>
        <v>2.2048231401056131</v>
      </c>
    </row>
    <row r="2435" spans="1:19" x14ac:dyDescent="0.3">
      <c r="A2435">
        <v>2.4329999999999998</v>
      </c>
      <c r="B2435">
        <f>Uo*COS(2*PI()*Wn*Sheet2!A2435) + (Vo/Wn - (Po*(w/Wn))/(K*(1-(w/Wn)^2)))*SIN(2*PI()*Wn*Sheet2!A2435) +(Po*SIN(2*PI()*w*Sheet2!A2435))/(K*(1-(w/Wn)^2))</f>
        <v>19.99952461874669</v>
      </c>
      <c r="C2435">
        <f t="shared" si="154"/>
        <v>2.2076699462448319</v>
      </c>
      <c r="D2435">
        <f t="shared" si="155"/>
        <v>360.61150242093294</v>
      </c>
      <c r="R2435">
        <f t="shared" si="152"/>
        <v>2.4329999999999998</v>
      </c>
      <c r="S2435">
        <f t="shared" si="153"/>
        <v>2.2076699462448319</v>
      </c>
    </row>
    <row r="2436" spans="1:19" x14ac:dyDescent="0.3">
      <c r="A2436">
        <v>2.4340000000000002</v>
      </c>
      <c r="B2436">
        <f>Uo*COS(2*PI()*Wn*Sheet2!A2436) + (Vo/Wn - (Po*(w/Wn))/(K*(1-(w/Wn)^2)))*SIN(2*PI()*Wn*Sheet2!A2436) +(Po*SIN(2*PI()*w*Sheet2!A2436))/(K*(1-(w/Wn)^2))</f>
        <v>19.998750143633362</v>
      </c>
      <c r="C2436">
        <f t="shared" si="154"/>
        <v>2.2097910595635386</v>
      </c>
      <c r="D2436">
        <f t="shared" si="155"/>
        <v>360.95797534455312</v>
      </c>
      <c r="R2436">
        <f t="shared" si="152"/>
        <v>2.4340000000000002</v>
      </c>
      <c r="S2436">
        <f t="shared" si="153"/>
        <v>2.2097910595635386</v>
      </c>
    </row>
    <row r="2437" spans="1:19" x14ac:dyDescent="0.3">
      <c r="A2437">
        <v>2.4350000000000001</v>
      </c>
      <c r="B2437">
        <f>Uo*COS(2*PI()*Wn*Sheet2!A2437) + (Vo/Wn - (Po*(w/Wn))/(K*(1-(w/Wn)^2)))*SIN(2*PI()*Wn*Sheet2!A2437) +(Po*SIN(2*PI()*w*Sheet2!A2437))/(K*(1-(w/Wn)^2))</f>
        <v>19.991442460949088</v>
      </c>
      <c r="C2437">
        <f t="shared" si="154"/>
        <v>2.2111870982336979</v>
      </c>
      <c r="D2437">
        <f t="shared" si="155"/>
        <v>361.18601106299928</v>
      </c>
      <c r="R2437">
        <f t="shared" si="152"/>
        <v>2.4350000000000001</v>
      </c>
      <c r="S2437">
        <f t="shared" si="153"/>
        <v>2.2111870982336979</v>
      </c>
    </row>
    <row r="2438" spans="1:19" x14ac:dyDescent="0.3">
      <c r="A2438">
        <v>2.4359999999999999</v>
      </c>
      <c r="B2438">
        <f>Uo*COS(2*PI()*Wn*Sheet2!A2438) + (Vo/Wn - (Po*(w/Wn))/(K*(1-(w/Wn)^2)))*SIN(2*PI()*Wn*Sheet2!A2438) +(Po*SIN(2*PI()*w*Sheet2!A2438))/(K*(1-(w/Wn)^2))</f>
        <v>19.977603957973443</v>
      </c>
      <c r="C2438">
        <f t="shared" si="154"/>
        <v>2.2118589159649962</v>
      </c>
      <c r="D2438">
        <f t="shared" si="155"/>
        <v>361.29574902534665</v>
      </c>
      <c r="R2438">
        <f t="shared" si="152"/>
        <v>2.4359999999999999</v>
      </c>
      <c r="S2438">
        <f t="shared" si="153"/>
        <v>2.2118589159649962</v>
      </c>
    </row>
    <row r="2439" spans="1:19" x14ac:dyDescent="0.3">
      <c r="A2439">
        <v>2.4369999999999998</v>
      </c>
      <c r="B2439">
        <f>Uo*COS(2*PI()*Wn*Sheet2!A2439) + (Vo/Wn - (Po*(w/Wn))/(K*(1-(w/Wn)^2)))*SIN(2*PI()*Wn*Sheet2!A2439) +(Po*SIN(2*PI()*w*Sheet2!A2439))/(K*(1-(w/Wn)^2))</f>
        <v>19.957239155479574</v>
      </c>
      <c r="C2439">
        <f t="shared" si="154"/>
        <v>2.2118076013008592</v>
      </c>
      <c r="D2439">
        <f t="shared" si="155"/>
        <v>361.28736703955116</v>
      </c>
      <c r="R2439">
        <f t="shared" si="152"/>
        <v>2.4369999999999998</v>
      </c>
      <c r="S2439">
        <f t="shared" si="153"/>
        <v>2.2118076013008592</v>
      </c>
    </row>
    <row r="2440" spans="1:19" x14ac:dyDescent="0.3">
      <c r="A2440">
        <v>2.4380000000000002</v>
      </c>
      <c r="B2440">
        <f>Uo*COS(2*PI()*Wn*Sheet2!A2440) + (Vo/Wn - (Po*(w/Wn))/(K*(1-(w/Wn)^2)))*SIN(2*PI()*Wn*Sheet2!A2440) +(Po*SIN(2*PI()*w*Sheet2!A2440))/(K*(1-(w/Wn)^2))</f>
        <v>19.930354706257308</v>
      </c>
      <c r="C2440">
        <f t="shared" si="154"/>
        <v>2.2110344768390968</v>
      </c>
      <c r="D2440">
        <f t="shared" si="155"/>
        <v>361.16108114514526</v>
      </c>
      <c r="R2440">
        <f t="shared" si="152"/>
        <v>2.4380000000000002</v>
      </c>
      <c r="S2440">
        <f t="shared" si="153"/>
        <v>2.2110344768390968</v>
      </c>
    </row>
    <row r="2441" spans="1:19" x14ac:dyDescent="0.3">
      <c r="A2441">
        <v>2.4390000000000001</v>
      </c>
      <c r="B2441">
        <f>Uo*COS(2*PI()*Wn*Sheet2!A2441) + (Vo/Wn - (Po*(w/Wn))/(K*(1-(w/Wn)^2)))*SIN(2*PI()*Wn*Sheet2!A2441) +(Po*SIN(2*PI()*w*Sheet2!A2441))/(K*(1-(w/Wn)^2))</f>
        <v>19.896959392939863</v>
      </c>
      <c r="C2441">
        <f t="shared" si="154"/>
        <v>2.2095410983775676</v>
      </c>
      <c r="D2441">
        <f t="shared" si="155"/>
        <v>360.91714547368713</v>
      </c>
      <c r="R2441">
        <f t="shared" si="152"/>
        <v>2.4390000000000001</v>
      </c>
      <c r="S2441">
        <f t="shared" si="153"/>
        <v>2.2095410983775676</v>
      </c>
    </row>
    <row r="2442" spans="1:19" x14ac:dyDescent="0.3">
      <c r="A2442">
        <v>2.44</v>
      </c>
      <c r="B2442">
        <f>Uo*COS(2*PI()*Wn*Sheet2!A2442) + (Vo/Wn - (Po*(w/Wn))/(K*(1-(w/Wn)^2)))*SIN(2*PI()*Wn*Sheet2!A2442) +(Po*SIN(2*PI()*w*Sheet2!A2442))/(K*(1-(w/Wn)^2))</f>
        <v>19.857064125134723</v>
      </c>
      <c r="C2442">
        <f t="shared" si="154"/>
        <v>2.2073292539852667</v>
      </c>
      <c r="D2442">
        <f t="shared" si="155"/>
        <v>360.55585209702747</v>
      </c>
      <c r="R2442">
        <f t="shared" si="152"/>
        <v>2.44</v>
      </c>
      <c r="S2442">
        <f t="shared" si="153"/>
        <v>2.2073292539852667</v>
      </c>
    </row>
    <row r="2443" spans="1:19" x14ac:dyDescent="0.3">
      <c r="A2443">
        <v>2.4409999999999998</v>
      </c>
      <c r="B2443">
        <f>Uo*COS(2*PI()*Wn*Sheet2!A2443) + (Vo/Wn - (Po*(w/Wn))/(K*(1-(w/Wn)^2)))*SIN(2*PI()*Wn*Sheet2!A2443) +(Po*SIN(2*PI()*w*Sheet2!A2443))/(K*(1-(w/Wn)^2))</f>
        <v>19.810681935859623</v>
      </c>
      <c r="C2443">
        <f t="shared" si="154"/>
        <v>2.2044009629992898</v>
      </c>
      <c r="D2443">
        <f t="shared" si="155"/>
        <v>360.0775308634685</v>
      </c>
      <c r="R2443">
        <f t="shared" si="152"/>
        <v>2.4409999999999998</v>
      </c>
      <c r="S2443">
        <f t="shared" si="153"/>
        <v>2.2044009629992898</v>
      </c>
    </row>
    <row r="2444" spans="1:19" x14ac:dyDescent="0.3">
      <c r="A2444">
        <v>2.4420000000000002</v>
      </c>
      <c r="B2444">
        <f>Uo*COS(2*PI()*Wn*Sheet2!A2444) + (Vo/Wn - (Po*(w/Wn))/(K*(1-(w/Wn)^2)))*SIN(2*PI()*Wn*Sheet2!A2444) +(Po*SIN(2*PI()*w*Sheet2!A2444))/(K*(1-(w/Wn)^2))</f>
        <v>19.757827977284926</v>
      </c>
      <c r="C2444">
        <f t="shared" si="154"/>
        <v>2.2007584749481159</v>
      </c>
      <c r="D2444">
        <f t="shared" si="155"/>
        <v>359.48254922188829</v>
      </c>
      <c r="R2444">
        <f t="shared" si="152"/>
        <v>2.4420000000000002</v>
      </c>
      <c r="S2444">
        <f t="shared" si="153"/>
        <v>2.2007584749481159</v>
      </c>
    </row>
    <row r="2445" spans="1:19" x14ac:dyDescent="0.3">
      <c r="A2445">
        <v>2.4430000000000001</v>
      </c>
      <c r="B2445">
        <f>Uo*COS(2*PI()*Wn*Sheet2!A2445) + (Vo/Wn - (Po*(w/Wn))/(K*(1-(w/Wn)^2)))*SIN(2*PI()*Wn*Sheet2!A2445) +(Po*SIN(2*PI()*w*Sheet2!A2445))/(K*(1-(w/Wn)^2))</f>
        <v>19.698519515783865</v>
      </c>
      <c r="C2445">
        <f t="shared" si="154"/>
        <v>2.1964042684017167</v>
      </c>
      <c r="D2445">
        <f t="shared" si="155"/>
        <v>358.77131203391144</v>
      </c>
      <c r="R2445">
        <f t="shared" si="152"/>
        <v>2.4430000000000001</v>
      </c>
      <c r="S2445">
        <f t="shared" si="153"/>
        <v>2.1964042684017167</v>
      </c>
    </row>
    <row r="2446" spans="1:19" x14ac:dyDescent="0.3">
      <c r="A2446">
        <v>2.444</v>
      </c>
      <c r="B2446">
        <f>Uo*COS(2*PI()*Wn*Sheet2!A2446) + (Vo/Wn - (Po*(w/Wn))/(K*(1-(w/Wn)^2)))*SIN(2*PI()*Wn*Sheet2!A2446) +(Po*SIN(2*PI()*w*Sheet2!A2446))/(K*(1-(w/Wn)^2))</f>
        <v>19.632775926291643</v>
      </c>
      <c r="C2446">
        <f t="shared" si="154"/>
        <v>2.1913410497489672</v>
      </c>
      <c r="D2446">
        <f t="shared" si="155"/>
        <v>357.94426137420601</v>
      </c>
      <c r="R2446">
        <f t="shared" si="152"/>
        <v>2.444</v>
      </c>
      <c r="S2446">
        <f t="shared" si="153"/>
        <v>2.1913410497489672</v>
      </c>
    </row>
    <row r="2447" spans="1:19" x14ac:dyDescent="0.3">
      <c r="A2447">
        <v>2.4449999999999998</v>
      </c>
      <c r="B2447">
        <f>Uo*COS(2*PI()*Wn*Sheet2!A2447) + (Vo/Wn - (Po*(w/Wn))/(K*(1-(w/Wn)^2)))*SIN(2*PI()*Wn*Sheet2!A2447) +(Po*SIN(2*PI()*w*Sheet2!A2447))/(K*(1-(w/Wn)^2))</f>
        <v>19.560618685976316</v>
      </c>
      <c r="C2447">
        <f t="shared" si="154"/>
        <v>2.185571751902927</v>
      </c>
      <c r="D2447">
        <f t="shared" si="155"/>
        <v>357.00187631899735</v>
      </c>
      <c r="R2447">
        <f t="shared" si="152"/>
        <v>2.4449999999999998</v>
      </c>
      <c r="S2447">
        <f t="shared" si="153"/>
        <v>2.185571751902927</v>
      </c>
    </row>
    <row r="2448" spans="1:19" x14ac:dyDescent="0.3">
      <c r="A2448">
        <v>2.4460000000000002</v>
      </c>
      <c r="B2448">
        <f>Uo*COS(2*PI()*Wn*Sheet2!A2448) + (Vo/Wn - (Po*(w/Wn))/(K*(1-(w/Wn)^2)))*SIN(2*PI()*Wn*Sheet2!A2448) +(Po*SIN(2*PI()*w*Sheet2!A2448))/(K*(1-(w/Wn)^2))</f>
        <v>19.482071367222368</v>
      </c>
      <c r="C2448">
        <f t="shared" si="154"/>
        <v>2.1790995329345049</v>
      </c>
      <c r="D2448">
        <f t="shared" si="155"/>
        <v>355.94467272288466</v>
      </c>
      <c r="R2448">
        <f t="shared" si="152"/>
        <v>2.4460000000000002</v>
      </c>
      <c r="S2448">
        <f t="shared" si="153"/>
        <v>2.1790995329345049</v>
      </c>
    </row>
    <row r="2449" spans="1:19" x14ac:dyDescent="0.3">
      <c r="A2449">
        <v>2.4470000000000001</v>
      </c>
      <c r="B2449">
        <f>Uo*COS(2*PI()*Wn*Sheet2!A2449) + (Vo/Wn - (Po*(w/Wn))/(K*(1-(w/Wn)^2)))*SIN(2*PI()*Wn*Sheet2!A2449) +(Po*SIN(2*PI()*w*Sheet2!A2449))/(K*(1-(w/Wn)^2))</f>
        <v>19.397159629930265</v>
      </c>
      <c r="C2449">
        <f t="shared" si="154"/>
        <v>2.1719277746351389</v>
      </c>
      <c r="D2449">
        <f t="shared" si="155"/>
        <v>354.77320298406198</v>
      </c>
      <c r="R2449">
        <f t="shared" si="152"/>
        <v>2.4470000000000001</v>
      </c>
      <c r="S2449">
        <f t="shared" si="153"/>
        <v>2.1719277746351389</v>
      </c>
    </row>
    <row r="2450" spans="1:19" x14ac:dyDescent="0.3">
      <c r="A2450">
        <v>2.448</v>
      </c>
      <c r="B2450">
        <f>Uo*COS(2*PI()*Wn*Sheet2!A2450) + (Vo/Wn - (Po*(w/Wn))/(K*(1-(w/Wn)^2)))*SIN(2*PI()*Wn*Sheet2!A2450) +(Po*SIN(2*PI()*w*Sheet2!A2450))/(K*(1-(w/Wn)^2))</f>
        <v>19.305911213133776</v>
      </c>
      <c r="C2450">
        <f t="shared" si="154"/>
        <v>2.1640600810089965</v>
      </c>
      <c r="D2450">
        <f t="shared" si="155"/>
        <v>353.48805579802689</v>
      </c>
      <c r="R2450">
        <f t="shared" si="152"/>
        <v>2.448</v>
      </c>
      <c r="S2450">
        <f t="shared" si="153"/>
        <v>2.1640600810089965</v>
      </c>
    </row>
    <row r="2451" spans="1:19" x14ac:dyDescent="0.3">
      <c r="A2451">
        <v>2.4489999999999998</v>
      </c>
      <c r="B2451">
        <f>Uo*COS(2*PI()*Wn*Sheet2!A2451) + (Vo/Wn - (Po*(w/Wn))/(K*(1-(w/Wn)^2)))*SIN(2*PI()*Wn*Sheet2!A2451) +(Po*SIN(2*PI()*w*Sheet2!A2451))/(K*(1-(w/Wn)^2))</f>
        <v>19.2083559259381</v>
      </c>
      <c r="C2451">
        <f t="shared" si="154"/>
        <v>2.1555002766954221</v>
      </c>
      <c r="D2451">
        <f t="shared" si="155"/>
        <v>352.0898558998955</v>
      </c>
      <c r="R2451">
        <f t="shared" si="152"/>
        <v>2.4489999999999998</v>
      </c>
      <c r="S2451">
        <f t="shared" si="153"/>
        <v>2.1555002766954221</v>
      </c>
    </row>
    <row r="2452" spans="1:19" x14ac:dyDescent="0.3">
      <c r="A2452">
        <v>2.4500000000000002</v>
      </c>
      <c r="B2452">
        <f>Uo*COS(2*PI()*Wn*Sheet2!A2452) + (Vo/Wn - (Po*(w/Wn))/(K*(1-(w/Wn)^2)))*SIN(2*PI()*Wn*Sheet2!A2452) +(Po*SIN(2*PI()*w*Sheet2!A2452))/(K*(1-(w/Wn)^2))</f>
        <v>19.104525637781812</v>
      </c>
      <c r="C2452">
        <f t="shared" si="154"/>
        <v>2.1462524053221972</v>
      </c>
      <c r="D2452">
        <f t="shared" si="155"/>
        <v>350.57926379541595</v>
      </c>
      <c r="R2452">
        <f t="shared" si="152"/>
        <v>2.4500000000000002</v>
      </c>
      <c r="S2452">
        <f t="shared" si="153"/>
        <v>2.1462524053221972</v>
      </c>
    </row>
    <row r="2453" spans="1:19" x14ac:dyDescent="0.3">
      <c r="A2453">
        <v>2.4510000000000001</v>
      </c>
      <c r="B2453">
        <f>Uo*COS(2*PI()*Wn*Sheet2!A2453) + (Vo/Wn - (Po*(w/Wn))/(K*(1-(w/Wn)^2)))*SIN(2*PI()*Wn*Sheet2!A2453) +(Po*SIN(2*PI()*w*Sheet2!A2453))/(K*(1-(w/Wn)^2))</f>
        <v>18.994454268026018</v>
      </c>
      <c r="C2453">
        <f t="shared" si="154"/>
        <v>2.1363207277903058</v>
      </c>
      <c r="D2453">
        <f t="shared" si="155"/>
        <v>348.9569754807938</v>
      </c>
      <c r="R2453">
        <f t="shared" si="152"/>
        <v>2.4510000000000001</v>
      </c>
      <c r="S2453">
        <f t="shared" si="153"/>
        <v>2.1363207277903058</v>
      </c>
    </row>
    <row r="2454" spans="1:19" x14ac:dyDescent="0.3">
      <c r="A2454">
        <v>2.452</v>
      </c>
      <c r="B2454">
        <f>Uo*COS(2*PI()*Wn*Sheet2!A2454) + (Vo/Wn - (Po*(w/Wn))/(K*(1-(w/Wn)^2)))*SIN(2*PI()*Wn*Sheet2!A2454) +(Po*SIN(2*PI()*w*Sheet2!A2454))/(K*(1-(w/Wn)^2))</f>
        <v>18.878177774873041</v>
      </c>
      <c r="C2454">
        <f t="shared" si="154"/>
        <v>2.1257097204908697</v>
      </c>
      <c r="D2454">
        <f t="shared" si="155"/>
        <v>347.2237221514373</v>
      </c>
      <c r="R2454">
        <f t="shared" si="152"/>
        <v>2.452</v>
      </c>
      <c r="S2454">
        <f t="shared" si="153"/>
        <v>2.1257097204908697</v>
      </c>
    </row>
    <row r="2455" spans="1:19" x14ac:dyDescent="0.3">
      <c r="A2455">
        <v>2.4529999999999998</v>
      </c>
      <c r="B2455">
        <f>Uo*COS(2*PI()*Wn*Sheet2!A2455) + (Vo/Wn - (Po*(w/Wn))/(K*(1-(w/Wn)^2)))*SIN(2*PI()*Wn*Sheet2!A2455) +(Po*SIN(2*PI()*w*Sheet2!A2455))/(K*(1-(w/Wn)^2))</f>
        <v>18.755734143620046</v>
      </c>
      <c r="C2455">
        <f t="shared" si="154"/>
        <v>2.1144240734549942</v>
      </c>
      <c r="D2455">
        <f t="shared" si="155"/>
        <v>345.38026989974452</v>
      </c>
      <c r="R2455">
        <f t="shared" si="152"/>
        <v>2.4529999999999998</v>
      </c>
      <c r="S2455">
        <f t="shared" si="153"/>
        <v>2.1144240734549942</v>
      </c>
    </row>
    <row r="2456" spans="1:19" x14ac:dyDescent="0.3">
      <c r="A2456">
        <v>2.4540000000000002</v>
      </c>
      <c r="B2456">
        <f>Uo*COS(2*PI()*Wn*Sheet2!A2456) + (Vo/Wn - (Po*(w/Wn))/(K*(1-(w/Wn)^2)))*SIN(2*PI()*Wn*Sheet2!A2456) +(Po*SIN(2*PI()*w*Sheet2!A2456))/(K*(1-(w/Wn)^2))</f>
        <v>18.627163374249584</v>
      </c>
      <c r="C2456">
        <f t="shared" si="154"/>
        <v>2.1024686884372032</v>
      </c>
      <c r="D2456">
        <f t="shared" si="155"/>
        <v>343.4274194020424</v>
      </c>
      <c r="R2456">
        <f t="shared" si="152"/>
        <v>2.4540000000000002</v>
      </c>
      <c r="S2456">
        <f t="shared" si="153"/>
        <v>2.1024686884372032</v>
      </c>
    </row>
    <row r="2457" spans="1:19" x14ac:dyDescent="0.3">
      <c r="A2457">
        <v>2.4550000000000001</v>
      </c>
      <c r="B2457">
        <f>Uo*COS(2*PI()*Wn*Sheet2!A2457) + (Vo/Wn - (Po*(w/Wn))/(K*(1-(w/Wn)^2)))*SIN(2*PI()*Wn*Sheet2!A2457) +(Po*SIN(2*PI()*w*Sheet2!A2457))/(K*(1-(w/Wn)^2))</f>
        <v>18.492507468362689</v>
      </c>
      <c r="C2457">
        <f t="shared" si="154"/>
        <v>2.0898486769332436</v>
      </c>
      <c r="D2457">
        <f t="shared" si="155"/>
        <v>341.3660055948049</v>
      </c>
      <c r="R2457">
        <f t="shared" si="152"/>
        <v>2.4550000000000001</v>
      </c>
      <c r="S2457">
        <f t="shared" si="153"/>
        <v>2.0898486769332436</v>
      </c>
    </row>
    <row r="2458" spans="1:19" x14ac:dyDescent="0.3">
      <c r="A2458">
        <v>2.456</v>
      </c>
      <c r="B2458">
        <f>Uo*COS(2*PI()*Wn*Sheet2!A2458) + (Vo/Wn - (Po*(w/Wn))/(K*(1-(w/Wn)^2)))*SIN(2*PI()*Wn*Sheet2!A2458) +(Po*SIN(2*PI()*w*Sheet2!A2458))/(K*(1-(w/Wn)^2))</f>
        <v>18.351810415457646</v>
      </c>
      <c r="C2458">
        <f t="shared" si="154"/>
        <v>2.076569358133018</v>
      </c>
      <c r="D2458">
        <f t="shared" si="155"/>
        <v>339.1968973402756</v>
      </c>
      <c r="R2458">
        <f t="shared" si="152"/>
        <v>2.456</v>
      </c>
      <c r="S2458">
        <f t="shared" si="153"/>
        <v>2.076569358133018</v>
      </c>
    </row>
    <row r="2459" spans="1:19" x14ac:dyDescent="0.3">
      <c r="A2459">
        <v>2.4569999999999999</v>
      </c>
      <c r="B2459">
        <f>Uo*COS(2*PI()*Wn*Sheet2!A2459) + (Vo/Wn - (Po*(w/Wn))/(K*(1-(w/Wn)^2)))*SIN(2*PI()*Wn*Sheet2!A2459) +(Po*SIN(2*PI()*w*Sheet2!A2459))/(K*(1-(w/Wn)^2))</f>
        <v>18.205118178559257</v>
      </c>
      <c r="C2459">
        <f t="shared" si="154"/>
        <v>2.0626362568094043</v>
      </c>
      <c r="D2459">
        <f t="shared" si="155"/>
        <v>336.92099708161703</v>
      </c>
      <c r="R2459">
        <f t="shared" si="152"/>
        <v>2.4569999999999999</v>
      </c>
      <c r="S2459">
        <f t="shared" si="153"/>
        <v>2.0626362568094043</v>
      </c>
    </row>
    <row r="2460" spans="1:19" x14ac:dyDescent="0.3">
      <c r="A2460">
        <v>2.4580000000000002</v>
      </c>
      <c r="B2460">
        <f>Uo*COS(2*PI()*Wn*Sheet2!A2460) + (Vo/Wn - (Po*(w/Wn))/(K*(1-(w/Wn)^2)))*SIN(2*PI()*Wn*Sheet2!A2460) +(Po*SIN(2*PI()*w*Sheet2!A2460))/(K*(1-(w/Wn)^2))</f>
        <v>18.052478679203968</v>
      </c>
      <c r="C2460">
        <f t="shared" si="154"/>
        <v>2.0480551011438082</v>
      </c>
      <c r="D2460">
        <f t="shared" si="155"/>
        <v>334.53924048772581</v>
      </c>
      <c r="R2460">
        <f t="shared" si="152"/>
        <v>2.4580000000000002</v>
      </c>
      <c r="S2460">
        <f t="shared" si="153"/>
        <v>2.0480551011438082</v>
      </c>
    </row>
    <row r="2461" spans="1:19" x14ac:dyDescent="0.3">
      <c r="A2461">
        <v>2.4590000000000001</v>
      </c>
      <c r="B2461">
        <f>Uo*COS(2*PI()*Wn*Sheet2!A2461) + (Vo/Wn - (Po*(w/Wn))/(K*(1-(w/Wn)^2)))*SIN(2*PI()*Wn*Sheet2!A2461) +(Po*SIN(2*PI()*w*Sheet2!A2461))/(K*(1-(w/Wn)^2))</f>
        <v>17.893941781784648</v>
      </c>
      <c r="C2461">
        <f t="shared" si="154"/>
        <v>2.0328318204892626</v>
      </c>
      <c r="D2461">
        <f t="shared" si="155"/>
        <v>332.05259608784661</v>
      </c>
      <c r="R2461">
        <f t="shared" si="152"/>
        <v>2.4590000000000001</v>
      </c>
      <c r="S2461">
        <f t="shared" si="153"/>
        <v>2.0328318204892626</v>
      </c>
    </row>
    <row r="2462" spans="1:19" x14ac:dyDescent="0.3">
      <c r="A2462">
        <v>2.46</v>
      </c>
      <c r="B2462">
        <f>Uo*COS(2*PI()*Wn*Sheet2!A2462) + (Vo/Wn - (Po*(w/Wn))/(K*(1-(w/Wn)^2)))*SIN(2*PI()*Wn*Sheet2!A2462) +(Po*SIN(2*PI()*w*Sheet2!A2462))/(K*(1-(w/Wn)^2))</f>
        <v>17.729559277260659</v>
      </c>
      <c r="C2462">
        <f t="shared" si="154"/>
        <v>2.0169725430718599</v>
      </c>
      <c r="D2462">
        <f t="shared" si="155"/>
        <v>329.46206489611308</v>
      </c>
      <c r="R2462">
        <f t="shared" si="152"/>
        <v>2.46</v>
      </c>
      <c r="S2462">
        <f t="shared" si="153"/>
        <v>2.0169725430718599</v>
      </c>
    </row>
    <row r="2463" spans="1:19" x14ac:dyDescent="0.3">
      <c r="A2463">
        <v>2.4609999999999999</v>
      </c>
      <c r="B2463">
        <f>Uo*COS(2*PI()*Wn*Sheet2!A2463) + (Vo/Wn - (Po*(w/Wn))/(K*(1-(w/Wn)^2)))*SIN(2*PI()*Wn*Sheet2!A2463) +(Po*SIN(2*PI()*w*Sheet2!A2463))/(K*(1-(w/Wn)^2))</f>
        <v>17.559384866239188</v>
      </c>
      <c r="C2463">
        <f t="shared" si="154"/>
        <v>2.0004835936314787</v>
      </c>
      <c r="D2463">
        <f t="shared" si="155"/>
        <v>326.76868002617238</v>
      </c>
      <c r="R2463">
        <f t="shared" si="152"/>
        <v>2.4609999999999999</v>
      </c>
      <c r="S2463">
        <f t="shared" si="153"/>
        <v>2.0004835936314787</v>
      </c>
    </row>
    <row r="2464" spans="1:19" x14ac:dyDescent="0.3">
      <c r="A2464">
        <v>2.4620000000000002</v>
      </c>
      <c r="B2464">
        <f>Uo*COS(2*PI()*Wn*Sheet2!A2464) + (Vo/Wn - (Po*(w/Wn))/(K*(1-(w/Wn)^2)))*SIN(2*PI()*Wn*Sheet2!A2464) +(Po*SIN(2*PI()*w*Sheet2!A2464))/(K*(1-(w/Wn)^2))</f>
        <v>17.383474141431698</v>
      </c>
      <c r="C2464">
        <f t="shared" si="154"/>
        <v>1.9833714910025959</v>
      </c>
      <c r="D2464">
        <f t="shared" si="155"/>
        <v>323.97350629602357</v>
      </c>
      <c r="R2464">
        <f t="shared" si="152"/>
        <v>2.4620000000000002</v>
      </c>
      <c r="S2464">
        <f t="shared" si="153"/>
        <v>1.9833714910025959</v>
      </c>
    </row>
    <row r="2465" spans="1:19" x14ac:dyDescent="0.3">
      <c r="A2465">
        <v>2.4630000000000001</v>
      </c>
      <c r="B2465">
        <f>Uo*COS(2*PI()*Wn*Sheet2!A2465) + (Vo/Wn - (Po*(w/Wn))/(K*(1-(w/Wn)^2)))*SIN(2*PI()*Wn*Sheet2!A2465) +(Po*SIN(2*PI()*w*Sheet2!A2465))/(K*(1-(w/Wn)^2))</f>
        <v>17.201884569493679</v>
      </c>
      <c r="C2465">
        <f t="shared" si="154"/>
        <v>1.9656429456361668</v>
      </c>
      <c r="D2465">
        <f t="shared" si="155"/>
        <v>321.07763982322939</v>
      </c>
      <c r="R2465">
        <f t="shared" si="152"/>
        <v>2.4630000000000001</v>
      </c>
      <c r="S2465">
        <f t="shared" si="153"/>
        <v>1.9656429456361668</v>
      </c>
    </row>
    <row r="2466" spans="1:19" x14ac:dyDescent="0.3">
      <c r="A2466">
        <v>2.464</v>
      </c>
      <c r="B2466">
        <f>Uo*COS(2*PI()*Wn*Sheet2!A2466) + (Vo/Wn - (Po*(w/Wn))/(K*(1-(w/Wn)^2)))*SIN(2*PI()*Wn*Sheet2!A2466) +(Po*SIN(2*PI()*w*Sheet2!A2466))/(K*(1-(w/Wn)^2))</f>
        <v>17.014675472250488</v>
      </c>
      <c r="C2466">
        <f t="shared" si="154"/>
        <v>1.9473048570633382</v>
      </c>
      <c r="D2466">
        <f t="shared" si="155"/>
        <v>318.08220761062705</v>
      </c>
      <c r="R2466">
        <f t="shared" si="152"/>
        <v>2.464</v>
      </c>
      <c r="S2466">
        <f t="shared" si="153"/>
        <v>1.9473048570633382</v>
      </c>
    </row>
    <row r="2467" spans="1:19" x14ac:dyDescent="0.3">
      <c r="A2467">
        <v>2.4649999999999999</v>
      </c>
      <c r="B2467">
        <f>Uo*COS(2*PI()*Wn*Sheet2!A2467) + (Vo/Wn - (Po*(w/Wn))/(K*(1-(w/Wn)^2)))*SIN(2*PI()*Wn*Sheet2!A2467) +(Po*SIN(2*PI()*w*Sheet2!A2467))/(K*(1-(w/Wn)^2))</f>
        <v>16.821908007318537</v>
      </c>
      <c r="C2467">
        <f t="shared" si="154"/>
        <v>1.9283643113021576</v>
      </c>
      <c r="D2467">
        <f t="shared" si="155"/>
        <v>314.98836712272725</v>
      </c>
      <c r="R2467">
        <f t="shared" si="152"/>
        <v>2.4649999999999999</v>
      </c>
      <c r="S2467">
        <f t="shared" si="153"/>
        <v>1.9283643113021576</v>
      </c>
    </row>
    <row r="2468" spans="1:19" x14ac:dyDescent="0.3">
      <c r="A2468">
        <v>2.4660000000000002</v>
      </c>
      <c r="B2468">
        <f>Uo*COS(2*PI()*Wn*Sheet2!A2468) + (Vo/Wn - (Po*(w/Wn))/(K*(1-(w/Wn)^2)))*SIN(2*PI()*Wn*Sheet2!A2468) +(Po*SIN(2*PI()*w*Sheet2!A2468))/(K*(1-(w/Wn)^2))</f>
        <v>16.62364514812635</v>
      </c>
      <c r="C2468">
        <f t="shared" si="154"/>
        <v>1.9088285782079961</v>
      </c>
      <c r="D2468">
        <f t="shared" si="155"/>
        <v>311.79730585291975</v>
      </c>
      <c r="R2468">
        <f t="shared" si="152"/>
        <v>2.4660000000000002</v>
      </c>
      <c r="S2468">
        <f t="shared" si="153"/>
        <v>1.9088285782079961</v>
      </c>
    </row>
    <row r="2469" spans="1:19" x14ac:dyDescent="0.3">
      <c r="A2469">
        <v>2.4670000000000001</v>
      </c>
      <c r="B2469">
        <f>Uo*COS(2*PI()*Wn*Sheet2!A2469) + (Vo/Wn - (Po*(w/Wn))/(K*(1-(w/Wn)^2)))*SIN(2*PI()*Wn*Sheet2!A2469) +(Po*SIN(2*PI()*w*Sheet2!A2469))/(K*(1-(w/Wn)^2))</f>
        <v>16.419951663342218</v>
      </c>
      <c r="C2469">
        <f t="shared" si="154"/>
        <v>1.8887051087688329</v>
      </c>
      <c r="D2469">
        <f t="shared" si="155"/>
        <v>308.51024088167173</v>
      </c>
      <c r="R2469">
        <f t="shared" si="152"/>
        <v>2.4670000000000001</v>
      </c>
      <c r="S2469">
        <f t="shared" si="153"/>
        <v>1.8887051087688329</v>
      </c>
    </row>
    <row r="2470" spans="1:19" x14ac:dyDescent="0.3">
      <c r="A2470">
        <v>2.468</v>
      </c>
      <c r="B2470">
        <f>Uo*COS(2*PI()*Wn*Sheet2!A2470) + (Vo/Wn - (Po*(w/Wn))/(K*(1-(w/Wn)^2)))*SIN(2*PI()*Wn*Sheet2!A2470) +(Po*SIN(2*PI()*w*Sheet2!A2470))/(K*(1-(w/Wn)^2))</f>
        <v>16.210894095715275</v>
      </c>
      <c r="C2470">
        <f t="shared" si="154"/>
        <v>1.8680015323462169</v>
      </c>
      <c r="D2470">
        <f t="shared" si="155"/>
        <v>305.12841842585334</v>
      </c>
      <c r="R2470">
        <f t="shared" si="152"/>
        <v>2.468</v>
      </c>
      <c r="S2470">
        <f t="shared" si="153"/>
        <v>1.8680015323462169</v>
      </c>
    </row>
    <row r="2471" spans="1:19" x14ac:dyDescent="0.3">
      <c r="A2471">
        <v>2.4689999999999999</v>
      </c>
      <c r="B2471">
        <f>Uo*COS(2*PI()*Wn*Sheet2!A2471) + (Vo/Wn - (Po*(w/Wn))/(K*(1-(w/Wn)^2)))*SIN(2*PI()*Wn*Sheet2!A2471) +(Po*SIN(2*PI()*w*Sheet2!A2471))/(K*(1-(w/Wn)^2))</f>
        <v>15.996540740337817</v>
      </c>
      <c r="C2471">
        <f t="shared" si="154"/>
        <v>1.8467256538630723</v>
      </c>
      <c r="D2471">
        <f t="shared" si="155"/>
        <v>301.6531133793801</v>
      </c>
      <c r="R2471">
        <f t="shared" si="152"/>
        <v>2.4689999999999999</v>
      </c>
      <c r="S2471">
        <f t="shared" si="153"/>
        <v>1.8467256538630723</v>
      </c>
    </row>
    <row r="2472" spans="1:19" x14ac:dyDescent="0.3">
      <c r="A2472">
        <v>2.4700000000000002</v>
      </c>
      <c r="B2472">
        <f>Uo*COS(2*PI()*Wn*Sheet2!A2472) + (Vo/Wn - (Po*(w/Wn))/(K*(1-(w/Wn)^2)))*SIN(2*PI()*Wn*Sheet2!A2472) +(Po*SIN(2*PI()*w*Sheet2!A2472))/(K*(1-(w/Wn)^2))</f>
        <v>15.776961622333864</v>
      </c>
      <c r="C2472">
        <f t="shared" si="154"/>
        <v>1.8248854509392352</v>
      </c>
      <c r="D2472">
        <f t="shared" si="155"/>
        <v>298.08562884531767</v>
      </c>
      <c r="R2472">
        <f t="shared" si="152"/>
        <v>2.4700000000000002</v>
      </c>
      <c r="S2472">
        <f t="shared" si="153"/>
        <v>1.8248854509392352</v>
      </c>
    </row>
    <row r="2473" spans="1:19" x14ac:dyDescent="0.3">
      <c r="A2473">
        <v>2.4710000000000001</v>
      </c>
      <c r="B2473">
        <f>Uo*COS(2*PI()*Wn*Sheet2!A2473) + (Vo/Wn - (Po*(w/Wn))/(K*(1-(w/Wn)^2)))*SIN(2*PI()*Wn*Sheet2!A2473) +(Po*SIN(2*PI()*w*Sheet2!A2473))/(K*(1-(w/Wn)^2))</f>
        <v>15.552228473984325</v>
      </c>
      <c r="C2473">
        <f t="shared" si="154"/>
        <v>1.8024890709758499</v>
      </c>
      <c r="D2473">
        <f t="shared" si="155"/>
        <v>294.42729565963288</v>
      </c>
      <c r="R2473">
        <f t="shared" si="152"/>
        <v>2.4710000000000001</v>
      </c>
      <c r="S2473">
        <f t="shared" si="153"/>
        <v>1.8024890709758499</v>
      </c>
    </row>
    <row r="2474" spans="1:19" x14ac:dyDescent="0.3">
      <c r="A2474">
        <v>2.472</v>
      </c>
      <c r="B2474">
        <f>Uo*COS(2*PI()*Wn*Sheet2!A2474) + (Vo/Wn - (Po*(w/Wn))/(K*(1-(w/Wn)^2)))*SIN(2*PI()*Wn*Sheet2!A2474) +(Po*SIN(2*PI()*w*Sheet2!A2474))/(K*(1-(w/Wn)^2))</f>
        <v>15.322414711292311</v>
      </c>
      <c r="C2474">
        <f t="shared" si="154"/>
        <v>1.7795448281895028</v>
      </c>
      <c r="D2474">
        <f t="shared" si="155"/>
        <v>290.67947190673493</v>
      </c>
      <c r="R2474">
        <f t="shared" si="152"/>
        <v>2.472</v>
      </c>
      <c r="S2474">
        <f t="shared" si="153"/>
        <v>1.7795448281895028</v>
      </c>
    </row>
    <row r="2475" spans="1:19" x14ac:dyDescent="0.3">
      <c r="A2475">
        <v>2.4729999999999999</v>
      </c>
      <c r="B2475">
        <f>Uo*COS(2*PI()*Wn*Sheet2!A2475) + (Vo/Wn - (Po*(w/Wn))/(K*(1-(w/Wn)^2)))*SIN(2*PI()*Wn*Sheet2!A2475) +(Po*SIN(2*PI()*w*Sheet2!A2475))/(K*(1-(w/Wn)^2))</f>
        <v>15.087595410000143</v>
      </c>
      <c r="C2475">
        <f t="shared" si="154"/>
        <v>1.7560612005974163</v>
      </c>
      <c r="D2475">
        <f t="shared" si="155"/>
        <v>286.84354242702238</v>
      </c>
      <c r="R2475">
        <f t="shared" si="152"/>
        <v>2.4729999999999999</v>
      </c>
      <c r="S2475">
        <f t="shared" si="153"/>
        <v>1.7560612005974163</v>
      </c>
    </row>
    <row r="2476" spans="1:19" x14ac:dyDescent="0.3">
      <c r="A2476">
        <v>2.4740000000000002</v>
      </c>
      <c r="B2476">
        <f>Uo*COS(2*PI()*Wn*Sheet2!A2476) + (Vo/Wn - (Po*(w/Wn))/(K*(1-(w/Wn)^2)))*SIN(2*PI()*Wn*Sheet2!A2476) +(Po*SIN(2*PI()*w*Sheet2!A2476))/(K*(1-(w/Wn)^2))</f>
        <v>14.847847281063641</v>
      </c>
      <c r="C2476">
        <f t="shared" si="154"/>
        <v>1.7320468269545006</v>
      </c>
      <c r="D2476">
        <f t="shared" si="155"/>
        <v>282.9209183165662</v>
      </c>
      <c r="R2476">
        <f t="shared" si="152"/>
        <v>2.4740000000000002</v>
      </c>
      <c r="S2476">
        <f t="shared" si="153"/>
        <v>1.7320468269545006</v>
      </c>
    </row>
    <row r="2477" spans="1:19" x14ac:dyDescent="0.3">
      <c r="A2477">
        <v>2.4750000000000001</v>
      </c>
      <c r="B2477">
        <f>Uo*COS(2*PI()*Wn*Sheet2!A2477) + (Vo/Wn - (Po*(w/Wn))/(K*(1-(w/Wn)^2)))*SIN(2*PI()*Wn*Sheet2!A2477) +(Po*SIN(2*PI()*w*Sheet2!A2477))/(K*(1-(w/Wn)^2))</f>
        <v>14.603248645591966</v>
      </c>
      <c r="C2477">
        <f t="shared" si="154"/>
        <v>1.7075105036435756</v>
      </c>
      <c r="D2477">
        <f t="shared" si="155"/>
        <v>278.91303641914368</v>
      </c>
      <c r="R2477">
        <f t="shared" si="152"/>
        <v>2.4750000000000001</v>
      </c>
      <c r="S2477">
        <f t="shared" si="153"/>
        <v>1.7075105036435756</v>
      </c>
    </row>
    <row r="2478" spans="1:19" x14ac:dyDescent="0.3">
      <c r="A2478">
        <v>2.476</v>
      </c>
      <c r="B2478">
        <f>Uo*COS(2*PI()*Wn*Sheet2!A2478) + (Vo/Wn - (Po*(w/Wn))/(K*(1-(w/Wn)^2)))*SIN(2*PI()*Wn*Sheet2!A2478) +(Po*SIN(2*PI()*w*Sheet2!A2478))/(K*(1-(w/Wn)^2))</f>
        <v>14.353879409261312</v>
      </c>
      <c r="C2478">
        <f t="shared" si="154"/>
        <v>1.6824611815196453</v>
      </c>
      <c r="D2478">
        <f t="shared" si="155"/>
        <v>274.82135881076687</v>
      </c>
      <c r="R2478">
        <f t="shared" si="152"/>
        <v>2.476</v>
      </c>
      <c r="S2478">
        <f t="shared" si="153"/>
        <v>1.6824611815196453</v>
      </c>
    </row>
    <row r="2479" spans="1:19" x14ac:dyDescent="0.3">
      <c r="A2479">
        <v>2.4769999999999999</v>
      </c>
      <c r="B2479">
        <f>Uo*COS(2*PI()*Wn*Sheet2!A2479) + (Vo/Wn - (Po*(w/Wn))/(K*(1-(w/Wn)^2)))*SIN(2*PI()*Wn*Sheet2!A2479) +(Po*SIN(2*PI()*w*Sheet2!A2479))/(K*(1-(w/Wn)^2))</f>
        <v>14.099821036211937</v>
      </c>
      <c r="C2479">
        <f t="shared" si="154"/>
        <v>1.6569079627095569</v>
      </c>
      <c r="D2479">
        <f t="shared" si="155"/>
        <v>270.64737227692336</v>
      </c>
      <c r="R2479">
        <f t="shared" si="152"/>
        <v>2.4769999999999999</v>
      </c>
      <c r="S2479">
        <f t="shared" si="153"/>
        <v>1.6569079627095569</v>
      </c>
    </row>
    <row r="2480" spans="1:19" x14ac:dyDescent="0.3">
      <c r="A2480">
        <v>2.4780000000000002</v>
      </c>
      <c r="B2480">
        <f>Uo*COS(2*PI()*Wn*Sheet2!A2480) + (Vo/Wn - (Po*(w/Wn))/(K*(1-(w/Wn)^2)))*SIN(2*PI()*Wn*Sheet2!A2480) +(Po*SIN(2*PI()*w*Sheet2!A2480))/(K*(1-(w/Wn)^2))</f>
        <v>13.841156522434503</v>
      </c>
      <c r="C2480">
        <f t="shared" si="154"/>
        <v>1.6308600973680065</v>
      </c>
      <c r="D2480">
        <f t="shared" si="155"/>
        <v>266.3925877826868</v>
      </c>
      <c r="R2480">
        <f t="shared" si="152"/>
        <v>2.4780000000000002</v>
      </c>
      <c r="S2480">
        <f t="shared" si="153"/>
        <v>1.6308600973680065</v>
      </c>
    </row>
    <row r="2481" spans="1:19" x14ac:dyDescent="0.3">
      <c r="A2481">
        <v>2.4790000000000001</v>
      </c>
      <c r="B2481">
        <f>Uo*COS(2*PI()*Wn*Sheet2!A2481) + (Vo/Wn - (Po*(w/Wn))/(K*(1-(w/Wn)^2)))*SIN(2*PI()*Wn*Sheet2!A2481) +(Po*SIN(2*PI()*w*Sheet2!A2481))/(K*(1-(w/Wn)^2))</f>
        <v>13.577970368658095</v>
      </c>
      <c r="C2481">
        <f t="shared" si="154"/>
        <v>1.6043269803911502</v>
      </c>
      <c r="D2481">
        <f t="shared" si="155"/>
        <v>262.05853993590171</v>
      </c>
      <c r="R2481">
        <f t="shared" si="152"/>
        <v>2.4790000000000001</v>
      </c>
      <c r="S2481">
        <f t="shared" si="153"/>
        <v>1.6043269803911502</v>
      </c>
    </row>
    <row r="2482" spans="1:19" x14ac:dyDescent="0.3">
      <c r="A2482">
        <v>2.48</v>
      </c>
      <c r="B2482">
        <f>Uo*COS(2*PI()*Wn*Sheet2!A2482) + (Vo/Wn - (Po*(w/Wn))/(K*(1-(w/Wn)^2)))*SIN(2*PI()*Wn*Sheet2!A2482) +(Po*SIN(2*PI()*w*Sheet2!A2482))/(K*(1-(w/Wn)^2))</f>
        <v>13.310348552744127</v>
      </c>
      <c r="C2482">
        <f t="shared" si="154"/>
        <v>1.5773181480888134</v>
      </c>
      <c r="D2482">
        <f t="shared" si="155"/>
        <v>257.64678644360657</v>
      </c>
      <c r="R2482">
        <f t="shared" si="152"/>
        <v>2.48</v>
      </c>
      <c r="S2482">
        <f t="shared" si="153"/>
        <v>1.5773181480888134</v>
      </c>
    </row>
    <row r="2483" spans="1:19" x14ac:dyDescent="0.3">
      <c r="A2483">
        <v>2.4809999999999999</v>
      </c>
      <c r="B2483">
        <f>Uo*COS(2*PI()*Wn*Sheet2!A2483) + (Vo/Wn - (Po*(w/Wn))/(K*(1-(w/Wn)^2)))*SIN(2*PI()*Wn*Sheet2!A2483) +(Po*SIN(2*PI()*w*Sheet2!A2483))/(K*(1-(w/Wn)^2))</f>
        <v>13.038378501599745</v>
      </c>
      <c r="C2483">
        <f t="shared" si="154"/>
        <v>1.5498432748166093</v>
      </c>
      <c r="D2483">
        <f t="shared" si="155"/>
        <v>253.15890756190734</v>
      </c>
      <c r="R2483">
        <f t="shared" si="152"/>
        <v>2.4809999999999999</v>
      </c>
      <c r="S2483">
        <f t="shared" si="153"/>
        <v>1.5498432748166093</v>
      </c>
    </row>
    <row r="2484" spans="1:19" x14ac:dyDescent="0.3">
      <c r="A2484">
        <v>2.4820000000000002</v>
      </c>
      <c r="B2484">
        <f>Uo*COS(2*PI()*Wn*Sheet2!A2484) + (Vo/Wn - (Po*(w/Wn))/(K*(1-(w/Wn)^2)))*SIN(2*PI()*Wn*Sheet2!A2484) +(Po*SIN(2*PI()*w*Sheet2!A2484))/(K*(1-(w/Wn)^2))</f>
        <v>12.762149062617237</v>
      </c>
      <c r="C2484">
        <f t="shared" si="154"/>
        <v>1.5219121695691191</v>
      </c>
      <c r="D2484">
        <f t="shared" si="155"/>
        <v>248.59650553949126</v>
      </c>
      <c r="R2484">
        <f t="shared" si="152"/>
        <v>2.4820000000000002</v>
      </c>
      <c r="S2484">
        <f t="shared" si="153"/>
        <v>1.5219121695691191</v>
      </c>
    </row>
    <row r="2485" spans="1:19" x14ac:dyDescent="0.3">
      <c r="A2485">
        <v>2.4830000000000001</v>
      </c>
      <c r="B2485">
        <f>Uo*COS(2*PI()*Wn*Sheet2!A2485) + (Vo/Wn - (Po*(w/Wn))/(K*(1-(w/Wn)^2)))*SIN(2*PI()*Wn*Sheet2!A2485) +(Po*SIN(2*PI()*w*Sheet2!A2485))/(K*(1-(w/Wn)^2))</f>
        <v>12.48175047464898</v>
      </c>
      <c r="C2485">
        <f t="shared" si="154"/>
        <v>1.4935347725352455</v>
      </c>
      <c r="D2485">
        <f t="shared" si="155"/>
        <v>243.96120405496146</v>
      </c>
      <c r="R2485">
        <f t="shared" si="152"/>
        <v>2.4830000000000001</v>
      </c>
      <c r="S2485">
        <f t="shared" si="153"/>
        <v>1.4935347725352455</v>
      </c>
    </row>
    <row r="2486" spans="1:19" x14ac:dyDescent="0.3">
      <c r="A2486">
        <v>2.484</v>
      </c>
      <c r="B2486">
        <f>Uo*COS(2*PI()*Wn*Sheet2!A2486) + (Vo/Wn - (Po*(w/Wn))/(K*(1-(w/Wn)^2)))*SIN(2*PI()*Wn*Sheet2!A2486) +(Po*SIN(2*PI()*w*Sheet2!A2486))/(K*(1-(w/Wn)^2))</f>
        <v>12.197274338528381</v>
      </c>
      <c r="C2486">
        <f t="shared" si="154"/>
        <v>1.4647211516169074</v>
      </c>
      <c r="D2486">
        <f t="shared" si="155"/>
        <v>239.25464764818381</v>
      </c>
      <c r="R2486">
        <f t="shared" si="152"/>
        <v>2.484</v>
      </c>
      <c r="S2486">
        <f t="shared" si="153"/>
        <v>1.4647211516169074</v>
      </c>
    </row>
    <row r="2487" spans="1:19" x14ac:dyDescent="0.3">
      <c r="A2487">
        <v>2.4849999999999999</v>
      </c>
      <c r="B2487">
        <f>Uo*COS(2*PI()*Wn*Sheet2!A2487) + (Vo/Wn - (Po*(w/Wn))/(K*(1-(w/Wn)^2)))*SIN(2*PI()*Wn*Sheet2!A2487) +(Po*SIN(2*PI()*w*Sheet2!A2487))/(K*(1-(w/Wn)^2))</f>
        <v>11.908813587145273</v>
      </c>
      <c r="C2487">
        <f t="shared" si="154"/>
        <v>1.4354814989124387</v>
      </c>
      <c r="D2487">
        <f t="shared" si="155"/>
        <v>234.47850114586808</v>
      </c>
      <c r="R2487">
        <f t="shared" si="152"/>
        <v>2.4849999999999999</v>
      </c>
      <c r="S2487">
        <f t="shared" si="153"/>
        <v>1.4354814989124387</v>
      </c>
    </row>
    <row r="2488" spans="1:19" x14ac:dyDescent="0.3">
      <c r="A2488">
        <v>2.4860000000000002</v>
      </c>
      <c r="B2488">
        <f>Uo*COS(2*PI()*Wn*Sheet2!A2488) + (Vo/Wn - (Po*(w/Wn))/(K*(1-(w/Wn)^2)))*SIN(2*PI()*Wn*Sheet2!A2488) +(Po*SIN(2*PI()*w*Sheet2!A2488))/(K*(1-(w/Wn)^2))</f>
        <v>11.616462455086658</v>
      </c>
      <c r="C2488">
        <f t="shared" si="154"/>
        <v>1.4058261271657297</v>
      </c>
      <c r="D2488">
        <f t="shared" si="155"/>
        <v>229.63444908155375</v>
      </c>
      <c r="R2488">
        <f t="shared" si="152"/>
        <v>2.4860000000000002</v>
      </c>
      <c r="S2488">
        <f t="shared" si="153"/>
        <v>1.4058261271657297</v>
      </c>
    </row>
    <row r="2489" spans="1:19" x14ac:dyDescent="0.3">
      <c r="A2489">
        <v>2.4870000000000001</v>
      </c>
      <c r="B2489">
        <f>Uo*COS(2*PI()*Wn*Sheet2!A2489) + (Vo/Wn - (Po*(w/Wn))/(K*(1-(w/Wn)^2)))*SIN(2*PI()*Wn*Sheet2!A2489) +(Po*SIN(2*PI()*w*Sheet2!A2489))/(K*(1-(w/Wn)^2))</f>
        <v>11.320316447852868</v>
      </c>
      <c r="C2489">
        <f t="shared" si="154"/>
        <v>1.3757654661824783</v>
      </c>
      <c r="D2489">
        <f t="shared" si="155"/>
        <v>224.72419511022281</v>
      </c>
      <c r="R2489">
        <f t="shared" si="152"/>
        <v>2.4870000000000001</v>
      </c>
      <c r="S2489">
        <f t="shared" si="153"/>
        <v>1.3757654661824783</v>
      </c>
    </row>
    <row r="2490" spans="1:19" x14ac:dyDescent="0.3">
      <c r="A2490">
        <v>2.488</v>
      </c>
      <c r="B2490">
        <f>Uo*COS(2*PI()*Wn*Sheet2!A2490) + (Vo/Wn - (Po*(w/Wn))/(K*(1-(w/Wn)^2)))*SIN(2*PI()*Wn*Sheet2!A2490) +(Po*SIN(2*PI()*w*Sheet2!A2490))/(K*(1-(w/Wn)^2))</f>
        <v>11.020472310656384</v>
      </c>
      <c r="C2490">
        <f t="shared" si="154"/>
        <v>1.3453100592146015</v>
      </c>
      <c r="D2490">
        <f t="shared" si="155"/>
        <v>219.74946141771233</v>
      </c>
      <c r="R2490">
        <f t="shared" si="152"/>
        <v>2.488</v>
      </c>
      <c r="S2490">
        <f t="shared" si="153"/>
        <v>1.3453100592146015</v>
      </c>
    </row>
    <row r="2491" spans="1:19" x14ac:dyDescent="0.3">
      <c r="A2491">
        <v>2.4889999999999999</v>
      </c>
      <c r="B2491">
        <f>Uo*COS(2*PI()*Wn*Sheet2!A2491) + (Vo/Wn - (Po*(w/Wn))/(K*(1-(w/Wn)^2)))*SIN(2*PI()*Wn*Sheet2!A2491) +(Po*SIN(2*PI()*w*Sheet2!A2491))/(K*(1-(w/Wn)^2))</f>
        <v>10.717027996817826</v>
      </c>
      <c r="C2491">
        <f t="shared" si="154"/>
        <v>1.3144705593142012</v>
      </c>
      <c r="D2491">
        <f t="shared" si="155"/>
        <v>214.71198812515328</v>
      </c>
      <c r="R2491">
        <f t="shared" si="152"/>
        <v>2.4889999999999999</v>
      </c>
      <c r="S2491">
        <f t="shared" si="153"/>
        <v>1.3144705593142012</v>
      </c>
    </row>
    <row r="2492" spans="1:19" x14ac:dyDescent="0.3">
      <c r="A2492">
        <v>2.4900000000000002</v>
      </c>
      <c r="B2492">
        <f>Uo*COS(2*PI()*Wn*Sheet2!A2492) + (Vo/Wn - (Po*(w/Wn))/(K*(1-(w/Wn)^2)))*SIN(2*PI()*Wn*Sheet2!A2492) +(Po*SIN(2*PI()*w*Sheet2!A2492))/(K*(1-(w/Wn)^2))</f>
        <v>10.410082635766621</v>
      </c>
      <c r="C2492">
        <f t="shared" si="154"/>
        <v>1.2832577256583249</v>
      </c>
      <c r="D2492">
        <f t="shared" si="155"/>
        <v>209.61353268863942</v>
      </c>
      <c r="R2492">
        <f t="shared" si="152"/>
        <v>2.4900000000000002</v>
      </c>
      <c r="S2492">
        <f t="shared" si="153"/>
        <v>1.2832577256583249</v>
      </c>
    </row>
    <row r="2493" spans="1:19" x14ac:dyDescent="0.3">
      <c r="A2493">
        <v>2.4910000000000001</v>
      </c>
      <c r="B2493">
        <f>Uo*COS(2*PI()*Wn*Sheet2!A2493) + (Vo/Wn - (Po*(w/Wn))/(K*(1-(w/Wn)^2)))*SIN(2*PI()*Wn*Sheet2!A2493) +(Po*SIN(2*PI()*w*Sheet2!A2493))/(K*(1-(w/Wn)^2))</f>
        <v>10.099736500656945</v>
      </c>
      <c r="C2493">
        <f t="shared" si="154"/>
        <v>1.2516824198456888</v>
      </c>
      <c r="D2493">
        <f t="shared" si="155"/>
        <v>204.45586929431593</v>
      </c>
      <c r="R2493">
        <f t="shared" si="152"/>
        <v>2.4910000000000001</v>
      </c>
      <c r="S2493">
        <f t="shared" si="153"/>
        <v>1.2516824198456888</v>
      </c>
    </row>
    <row r="2494" spans="1:19" x14ac:dyDescent="0.3">
      <c r="A2494">
        <v>2.492</v>
      </c>
      <c r="B2494">
        <f>Uo*COS(2*PI()*Wn*Sheet2!A2494) + (Vo/Wn - (Po*(w/Wn))/(K*(1-(w/Wn)^2)))*SIN(2*PI()*Wn*Sheet2!A2494) +(Po*SIN(2*PI()*w*Sheet2!A2494))/(K*(1-(w/Wn)^2))</f>
        <v>9.7860909756106871</v>
      </c>
      <c r="C2494">
        <f t="shared" si="154"/>
        <v>1.2197556021665841</v>
      </c>
      <c r="D2494">
        <f t="shared" si="155"/>
        <v>199.24078824908784</v>
      </c>
      <c r="R2494">
        <f t="shared" si="152"/>
        <v>2.492</v>
      </c>
      <c r="S2494">
        <f t="shared" si="153"/>
        <v>1.2197556021665841</v>
      </c>
    </row>
    <row r="2495" spans="1:19" x14ac:dyDescent="0.3">
      <c r="A2495">
        <v>2.4929999999999999</v>
      </c>
      <c r="B2495">
        <f>Uo*COS(2*PI()*Wn*Sheet2!A2495) + (Vo/Wn - (Po*(w/Wn))/(K*(1-(w/Wn)^2)))*SIN(2*PI()*Wn*Sheet2!A2495) +(Po*SIN(2*PI()*w*Sheet2!A2495))/(K*(1-(w/Wn)^2))</f>
        <v>9.4692485225967999</v>
      </c>
      <c r="C2495">
        <f t="shared" si="154"/>
        <v>1.1874883278474269</v>
      </c>
      <c r="D2495">
        <f t="shared" si="155"/>
        <v>193.9700953671867</v>
      </c>
      <c r="R2495">
        <f t="shared" si="152"/>
        <v>2.4929999999999999</v>
      </c>
      <c r="S2495">
        <f t="shared" si="153"/>
        <v>1.1874883278474269</v>
      </c>
    </row>
    <row r="2496" spans="1:19" x14ac:dyDescent="0.3">
      <c r="A2496">
        <v>2.4940000000000002</v>
      </c>
      <c r="B2496">
        <f>Uo*COS(2*PI()*Wn*Sheet2!A2496) + (Vo/Wn - (Po*(w/Wn))/(K*(1-(w/Wn)^2)))*SIN(2*PI()*Wn*Sheet2!A2496) +(Po*SIN(2*PI()*w*Sheet2!A2496))/(K*(1-(w/Wn)^2))</f>
        <v>9.1493126479590732</v>
      </c>
      <c r="C2496">
        <f t="shared" si="154"/>
        <v>1.1548917432710253</v>
      </c>
      <c r="D2496">
        <f t="shared" si="155"/>
        <v>188.64561135277074</v>
      </c>
      <c r="R2496">
        <f t="shared" si="152"/>
        <v>2.4940000000000002</v>
      </c>
      <c r="S2496">
        <f t="shared" si="153"/>
        <v>1.1548917432710253</v>
      </c>
    </row>
    <row r="2497" spans="1:19" x14ac:dyDescent="0.3">
      <c r="A2497">
        <v>2.4950000000000001</v>
      </c>
      <c r="B2497">
        <f>Uo*COS(2*PI()*Wn*Sheet2!A2497) + (Vo/Wn - (Po*(w/Wn))/(K*(1-(w/Wn)^2)))*SIN(2*PI()*Wn*Sheet2!A2497) +(Po*SIN(2*PI()*w*Sheet2!A2497))/(K*(1-(w/Wn)^2))</f>
        <v>8.82638786860349</v>
      </c>
      <c r="C2497">
        <f t="shared" si="154"/>
        <v>1.1219770821739996</v>
      </c>
      <c r="D2497">
        <f t="shared" si="155"/>
        <v>183.26917117879287</v>
      </c>
      <c r="R2497">
        <f t="shared" ref="R2497:R2560" si="156">A2497</f>
        <v>2.4950000000000001</v>
      </c>
      <c r="S2497">
        <f t="shared" ref="S2497:S2560" si="157">C2497</f>
        <v>1.1219770821739996</v>
      </c>
    </row>
    <row r="2498" spans="1:19" x14ac:dyDescent="0.3">
      <c r="A2498">
        <v>2.496</v>
      </c>
      <c r="B2498">
        <f>Uo*COS(2*PI()*Wn*Sheet2!A2498) + (Vo/Wn - (Po*(w/Wn))/(K*(1-(w/Wn)^2)))*SIN(2*PI()*Wn*Sheet2!A2498) +(Po*SIN(2*PI()*w*Sheet2!A2498))/(K*(1-(w/Wn)^2))</f>
        <v>8.5005796778530378</v>
      </c>
      <c r="C2498">
        <f t="shared" ref="C2498:C2561" si="158">EXP(-zeta*Wn*A2498*2*PI())*($H$1*COS(wnD*2*PI()*A2498) + $H$2*SIN(wnD*2*PI()*A2498)) + $H$3*SIN(w*2*PI()*A2498) + $H$4*COS(w*2*PI()*A2498)</f>
        <v>1.0887556618224403</v>
      </c>
      <c r="D2498">
        <f t="shared" ref="D2498:D2561" si="159">K*C2498</f>
        <v>177.84262346231435</v>
      </c>
      <c r="R2498">
        <f t="shared" si="156"/>
        <v>2.496</v>
      </c>
      <c r="S2498">
        <f t="shared" si="157"/>
        <v>1.0887556618224403</v>
      </c>
    </row>
    <row r="2499" spans="1:19" x14ac:dyDescent="0.3">
      <c r="A2499">
        <v>2.4969999999999999</v>
      </c>
      <c r="B2499">
        <f>Uo*COS(2*PI()*Wn*Sheet2!A2499) + (Vo/Wn - (Po*(w/Wn))/(K*(1-(w/Wn)^2)))*SIN(2*PI()*Wn*Sheet2!A2499) +(Po*SIN(2*PI()*w*Sheet2!A2499))/(K*(1-(w/Wn)^2))</f>
        <v>8.1719945109859555</v>
      </c>
      <c r="C2499">
        <f t="shared" si="158"/>
        <v>1.055238879167274</v>
      </c>
      <c r="D2499">
        <f t="shared" si="159"/>
        <v>172.36782983650349</v>
      </c>
      <c r="R2499">
        <f t="shared" si="156"/>
        <v>2.4969999999999999</v>
      </c>
      <c r="S2499">
        <f t="shared" si="157"/>
        <v>1.055238879167274</v>
      </c>
    </row>
    <row r="2500" spans="1:19" x14ac:dyDescent="0.3">
      <c r="A2500">
        <v>2.4980000000000002</v>
      </c>
      <c r="B2500">
        <f>Uo*COS(2*PI()*Wn*Sheet2!A2500) + (Vo/Wn - (Po*(w/Wn))/(K*(1-(w/Wn)^2)))*SIN(2*PI()*Wn*Sheet2!A2500) +(Po*SIN(2*PI()*w*Sheet2!A2500))/(K*(1-(w/Wn)^2))</f>
        <v>7.8407397104654963</v>
      </c>
      <c r="C2500">
        <f t="shared" si="158"/>
        <v>1.0214382069806152</v>
      </c>
      <c r="D2500">
        <f t="shared" si="159"/>
        <v>166.84666431952874</v>
      </c>
      <c r="R2500">
        <f t="shared" si="156"/>
        <v>2.4980000000000002</v>
      </c>
      <c r="S2500">
        <f t="shared" si="157"/>
        <v>1.0214382069806152</v>
      </c>
    </row>
    <row r="2501" spans="1:19" x14ac:dyDescent="0.3">
      <c r="A2501">
        <v>2.4990000000000001</v>
      </c>
      <c r="B2501">
        <f>Uo*COS(2*PI()*Wn*Sheet2!A2501) + (Vo/Wn - (Po*(w/Wn))/(K*(1-(w/Wn)^2)))*SIN(2*PI()*Wn*Sheet2!A2501) +(Po*SIN(2*PI()*w*Sheet2!A2501))/(K*(1-(w/Wn)^2))</f>
        <v>7.5069234908728264</v>
      </c>
      <c r="C2501">
        <f t="shared" si="158"/>
        <v>0.98736518997430056</v>
      </c>
      <c r="D2501">
        <f t="shared" si="159"/>
        <v>161.28101268054118</v>
      </c>
      <c r="R2501">
        <f t="shared" si="156"/>
        <v>2.4990000000000001</v>
      </c>
      <c r="S2501">
        <f t="shared" si="157"/>
        <v>0.98736518997430056</v>
      </c>
    </row>
    <row r="2502" spans="1:19" x14ac:dyDescent="0.3">
      <c r="A2502">
        <v>2.5</v>
      </c>
      <c r="B2502">
        <f>Uo*COS(2*PI()*Wn*Sheet2!A2502) + (Vo/Wn - (Po*(w/Wn))/(K*(1-(w/Wn)^2)))*SIN(2*PI()*Wn*Sheet2!A2502) +(Po*SIN(2*PI()*w*Sheet2!A2502))/(K*(1-(w/Wn)^2))</f>
        <v>7.170654903555663</v>
      </c>
      <c r="C2502">
        <f t="shared" si="158"/>
        <v>0.95303144090188052</v>
      </c>
      <c r="D2502">
        <f t="shared" si="159"/>
        <v>155.67277180295503</v>
      </c>
      <c r="R2502">
        <f t="shared" si="156"/>
        <v>2.5</v>
      </c>
      <c r="S2502">
        <f t="shared" si="157"/>
        <v>0.95303144090188052</v>
      </c>
    </row>
    <row r="2503" spans="1:19" x14ac:dyDescent="0.3">
      <c r="A2503">
        <v>2.5009999999999999</v>
      </c>
      <c r="B2503">
        <f>Uo*COS(2*PI()*Wn*Sheet2!A2503) + (Vo/Wn - (Po*(w/Wn))/(K*(1-(w/Wn)^2)))*SIN(2*PI()*Wn*Sheet2!A2503) +(Po*SIN(2*PI()*w*Sheet2!A2503))/(K*(1-(w/Wn)^2))</f>
        <v>6.8320438010028948</v>
      </c>
      <c r="C2503">
        <f t="shared" si="158"/>
        <v>0.91844863664556586</v>
      </c>
      <c r="D2503">
        <f t="shared" si="159"/>
        <v>150.02384904527048</v>
      </c>
      <c r="R2503">
        <f t="shared" si="156"/>
        <v>2.5009999999999999</v>
      </c>
      <c r="S2503">
        <f t="shared" si="157"/>
        <v>0.91844863664556586</v>
      </c>
    </row>
    <row r="2504" spans="1:19" x14ac:dyDescent="0.3">
      <c r="A2504">
        <v>2.5019999999999998</v>
      </c>
      <c r="B2504">
        <f>Uo*COS(2*PI()*Wn*Sheet2!A2504) + (Vo/Wn - (Po*(w/Wn))/(K*(1-(w/Wn)^2)))*SIN(2*PI()*Wn*Sheet2!A2504) +(Po*SIN(2*PI()*w*Sheet2!A2504))/(K*(1-(w/Wn)^2))</f>
        <v>6.4912008009581417</v>
      </c>
      <c r="C2504">
        <f t="shared" si="158"/>
        <v>0.88362851428923905</v>
      </c>
      <c r="D2504">
        <f t="shared" si="159"/>
        <v>144.3361615996204</v>
      </c>
      <c r="R2504">
        <f t="shared" si="156"/>
        <v>2.5019999999999998</v>
      </c>
      <c r="S2504">
        <f t="shared" si="157"/>
        <v>0.88362851428923905</v>
      </c>
    </row>
    <row r="2505" spans="1:19" x14ac:dyDescent="0.3">
      <c r="A2505">
        <v>2.5030000000000001</v>
      </c>
      <c r="B2505">
        <f>Uo*COS(2*PI()*Wn*Sheet2!A2505) + (Vo/Wn - (Po*(w/Wn))/(K*(1-(w/Wn)^2)))*SIN(2*PI()*Wn*Sheet2!A2505) +(Po*SIN(2*PI()*w*Sheet2!A2505))/(K*(1-(w/Wn)^2))</f>
        <v>6.1482372502833327</v>
      </c>
      <c r="C2505">
        <f t="shared" si="158"/>
        <v>0.84858286717891152</v>
      </c>
      <c r="D2505">
        <f t="shared" si="159"/>
        <v>138.6116358482663</v>
      </c>
      <c r="R2505">
        <f t="shared" si="156"/>
        <v>2.5030000000000001</v>
      </c>
      <c r="S2505">
        <f t="shared" si="157"/>
        <v>0.84858286717891152</v>
      </c>
    </row>
    <row r="2506" spans="1:19" x14ac:dyDescent="0.3">
      <c r="A2506">
        <v>2.504</v>
      </c>
      <c r="B2506">
        <f>Uo*COS(2*PI()*Wn*Sheet2!A2506) + (Vo/Wn - (Po*(w/Wn))/(K*(1-(w/Wn)^2)))*SIN(2*PI()*Wn*Sheet2!A2506) +(Po*SIN(2*PI()*w*Sheet2!A2506))/(K*(1-(w/Wn)^2))</f>
        <v>5.803265188583433</v>
      </c>
      <c r="C2506">
        <f t="shared" si="158"/>
        <v>0.81332354097200088</v>
      </c>
      <c r="D2506">
        <f t="shared" si="159"/>
        <v>132.85220671826821</v>
      </c>
      <c r="R2506">
        <f t="shared" si="156"/>
        <v>2.504</v>
      </c>
      <c r="S2506">
        <f t="shared" si="157"/>
        <v>0.81332354097200088</v>
      </c>
    </row>
    <row r="2507" spans="1:19" x14ac:dyDescent="0.3">
      <c r="A2507">
        <v>2.5049999999999999</v>
      </c>
      <c r="B2507">
        <f>Uo*COS(2*PI()*Wn*Sheet2!A2507) + (Vo/Wn - (Po*(w/Wn))/(K*(1-(w/Wn)^2)))*SIN(2*PI()*Wn*Sheet2!A2507) +(Po*SIN(2*PI()*w*Sheet2!A2507))/(K*(1-(w/Wn)^2))</f>
        <v>5.4563973116055164</v>
      </c>
      <c r="C2507">
        <f t="shared" si="158"/>
        <v>0.77786242967654007</v>
      </c>
      <c r="D2507">
        <f t="shared" si="159"/>
        <v>127.05981703450979</v>
      </c>
      <c r="R2507">
        <f t="shared" si="156"/>
        <v>2.5049999999999999</v>
      </c>
      <c r="S2507">
        <f t="shared" si="157"/>
        <v>0.77786242967654007</v>
      </c>
    </row>
    <row r="2508" spans="1:19" x14ac:dyDescent="0.3">
      <c r="A2508">
        <v>2.5059999999999998</v>
      </c>
      <c r="B2508">
        <f>Uo*COS(2*PI()*Wn*Sheet2!A2508) + (Vo/Wn - (Po*(w/Wn))/(K*(1-(w/Wn)^2)))*SIN(2*PI()*Wn*Sheet2!A2508) +(Po*SIN(2*PI()*w*Sheet2!A2508))/(K*(1-(w/Wn)^2))</f>
        <v>5.1077469344228259</v>
      </c>
      <c r="C2508">
        <f t="shared" si="158"/>
        <v>0.7422114716818311</v>
      </c>
      <c r="D2508">
        <f t="shared" si="159"/>
        <v>121.23641687132624</v>
      </c>
      <c r="R2508">
        <f t="shared" si="156"/>
        <v>2.5059999999999998</v>
      </c>
      <c r="S2508">
        <f t="shared" si="157"/>
        <v>0.7422114716818311</v>
      </c>
    </row>
    <row r="2509" spans="1:19" x14ac:dyDescent="0.3">
      <c r="A2509">
        <v>2.5070000000000001</v>
      </c>
      <c r="B2509">
        <f>Uo*COS(2*PI()*Wn*Sheet2!A2509) + (Vo/Wn - (Po*(w/Wn))/(K*(1-(w/Wn)^2)))*SIN(2*PI()*Wn*Sheet2!A2509) +(Po*SIN(2*PI()*w*Sheet2!A2509))/(K*(1-(w/Wn)^2))</f>
        <v>4.757427954417043</v>
      </c>
      <c r="C2509">
        <f t="shared" si="158"/>
        <v>0.70638264578183707</v>
      </c>
      <c r="D2509">
        <f t="shared" si="159"/>
        <v>115.38396290294577</v>
      </c>
      <c r="R2509">
        <f t="shared" si="156"/>
        <v>2.5070000000000001</v>
      </c>
      <c r="S2509">
        <f t="shared" si="157"/>
        <v>0.70638264578183707</v>
      </c>
    </row>
    <row r="2510" spans="1:19" x14ac:dyDescent="0.3">
      <c r="A2510">
        <v>2.508</v>
      </c>
      <c r="B2510">
        <f>Uo*COS(2*PI()*Wn*Sheet2!A2510) + (Vo/Wn - (Po*(w/Wn))/(K*(1-(w/Wn)^2)))*SIN(2*PI()*Wn*Sheet2!A2510) +(Po*SIN(2*PI()*w*Sheet2!A2510))/(K*(1-(w/Wn)^2))</f>
        <v>4.4055548140711753</v>
      </c>
      <c r="C2510">
        <f t="shared" si="158"/>
        <v>0.67038796719251004</v>
      </c>
      <c r="D2510">
        <f t="shared" si="159"/>
        <v>109.50441775294067</v>
      </c>
      <c r="R2510">
        <f t="shared" si="156"/>
        <v>2.508</v>
      </c>
      <c r="S2510">
        <f t="shared" si="157"/>
        <v>0.67038796719251004</v>
      </c>
    </row>
    <row r="2511" spans="1:19" x14ac:dyDescent="0.3">
      <c r="A2511">
        <v>2.5089999999999999</v>
      </c>
      <c r="B2511">
        <f>Uo*COS(2*PI()*Wn*Sheet2!A2511) + (Vo/Wn - (Po*(w/Wn))/(K*(1-(w/Wn)^2)))*SIN(2*PI()*Wn*Sheet2!A2511) +(Po*SIN(2*PI()*w*Sheet2!A2511))/(K*(1-(w/Wn)^2))</f>
        <v>4.0522424635817345</v>
      </c>
      <c r="C2511">
        <f t="shared" si="158"/>
        <v>0.63423948356435222</v>
      </c>
      <c r="D2511">
        <f t="shared" si="159"/>
        <v>103.5997493428998</v>
      </c>
      <c r="R2511">
        <f t="shared" si="156"/>
        <v>2.5089999999999999</v>
      </c>
      <c r="S2511">
        <f t="shared" si="157"/>
        <v>0.63423948356435222</v>
      </c>
    </row>
    <row r="2512" spans="1:19" x14ac:dyDescent="0.3">
      <c r="A2512">
        <v>2.5099999999999998</v>
      </c>
      <c r="B2512">
        <f>Uo*COS(2*PI()*Wn*Sheet2!A2512) + (Vo/Wn - (Po*(w/Wn))/(K*(1-(w/Wn)^2)))*SIN(2*PI()*Wn*Sheet2!A2512) +(Po*SIN(2*PI()*w*Sheet2!A2512))/(K*(1-(w/Wn)^2))</f>
        <v>3.6976063233076806</v>
      </c>
      <c r="C2512">
        <f t="shared" si="158"/>
        <v>0.5979492709917249</v>
      </c>
      <c r="D2512">
        <f t="shared" si="159"/>
        <v>97.671930240569708</v>
      </c>
      <c r="R2512">
        <f t="shared" si="156"/>
        <v>2.5099999999999998</v>
      </c>
      <c r="S2512">
        <f t="shared" si="157"/>
        <v>0.5979492709917249</v>
      </c>
    </row>
    <row r="2513" spans="1:19" x14ac:dyDescent="0.3">
      <c r="A2513">
        <v>2.5110000000000001</v>
      </c>
      <c r="B2513">
        <f>Uo*COS(2*PI()*Wn*Sheet2!A2513) + (Vo/Wn - (Po*(w/Wn))/(K*(1-(w/Wn)^2)))*SIN(2*PI()*Wn*Sheet2!A2513) +(Po*SIN(2*PI()*w*Sheet2!A2513))/(K*(1-(w/Wn)^2))</f>
        <v>3.3417622460649499</v>
      </c>
      <c r="C2513">
        <f t="shared" si="158"/>
        <v>0.5615294300199849</v>
      </c>
      <c r="D2513">
        <f t="shared" si="159"/>
        <v>91.722937007640994</v>
      </c>
      <c r="R2513">
        <f t="shared" si="156"/>
        <v>2.5110000000000001</v>
      </c>
      <c r="S2513">
        <f t="shared" si="157"/>
        <v>0.5615294300199849</v>
      </c>
    </row>
    <row r="2514" spans="1:19" x14ac:dyDescent="0.3">
      <c r="A2514">
        <v>2.512</v>
      </c>
      <c r="B2514">
        <f>Uo*COS(2*PI()*Wn*Sheet2!A2514) + (Vo/Wn - (Po*(w/Wn))/(K*(1-(w/Wn)^2)))*SIN(2*PI()*Wn*Sheet2!A2514) +(Po*SIN(2*PI()*w*Sheet2!A2514))/(K*(1-(w/Wn)^2))</f>
        <v>2.9848264792791479</v>
      </c>
      <c r="C2514">
        <f t="shared" si="158"/>
        <v>0.52499208165194522</v>
      </c>
      <c r="D2514">
        <f t="shared" si="159"/>
        <v>85.754749547424225</v>
      </c>
      <c r="R2514">
        <f t="shared" si="156"/>
        <v>2.512</v>
      </c>
      <c r="S2514">
        <f t="shared" si="157"/>
        <v>0.52499208165194522</v>
      </c>
    </row>
    <row r="2515" spans="1:19" x14ac:dyDescent="0.3">
      <c r="A2515">
        <v>2.5129999999999999</v>
      </c>
      <c r="B2515">
        <f>Uo*COS(2*PI()*Wn*Sheet2!A2515) + (Vo/Wn - (Po*(w/Wn))/(K*(1-(w/Wn)^2)))*SIN(2*PI()*Wn*Sheet2!A2515) +(Po*SIN(2*PI()*w*Sheet2!A2515))/(K*(1-(w/Wn)^2))</f>
        <v>2.6269156270100273</v>
      </c>
      <c r="C2515">
        <f t="shared" si="158"/>
        <v>0.48834936335473794</v>
      </c>
      <c r="D2515">
        <f t="shared" si="159"/>
        <v>79.769350452591638</v>
      </c>
      <c r="R2515">
        <f t="shared" si="156"/>
        <v>2.5129999999999999</v>
      </c>
      <c r="S2515">
        <f t="shared" si="157"/>
        <v>0.48834936335473794</v>
      </c>
    </row>
    <row r="2516" spans="1:19" x14ac:dyDescent="0.3">
      <c r="A2516">
        <v>2.5139999999999998</v>
      </c>
      <c r="B2516">
        <f>Uo*COS(2*PI()*Wn*Sheet2!A2516) + (Vo/Wn - (Po*(w/Wn))/(K*(1-(w/Wn)^2)))*SIN(2*PI()*Wn*Sheet2!A2516) +(Po*SIN(2*PI()*w*Sheet2!A2516))/(K*(1-(w/Wn)^2))</f>
        <v>2.2681466118587585</v>
      </c>
      <c r="C2516">
        <f t="shared" si="158"/>
        <v>0.45161342506858615</v>
      </c>
      <c r="D2516">
        <f t="shared" si="159"/>
        <v>73.768724353230539</v>
      </c>
      <c r="R2516">
        <f t="shared" si="156"/>
        <v>2.5139999999999998</v>
      </c>
      <c r="S2516">
        <f t="shared" si="157"/>
        <v>0.45161342506858615</v>
      </c>
    </row>
    <row r="2517" spans="1:19" x14ac:dyDescent="0.3">
      <c r="A2517">
        <v>2.5150000000000001</v>
      </c>
      <c r="B2517">
        <f>Uo*COS(2*PI()*Wn*Sheet2!A2517) + (Vo/Wn - (Po*(w/Wn))/(K*(1-(w/Wn)^2)))*SIN(2*PI()*Wn*Sheet2!A2517) +(Po*SIN(2*PI()*w*Sheet2!A2517))/(K*(1-(w/Wn)^2))</f>
        <v>1.908636636771702</v>
      </c>
      <c r="C2517">
        <f t="shared" si="158"/>
        <v>0.41479642521876936</v>
      </c>
      <c r="D2517">
        <f t="shared" si="159"/>
        <v>67.754857265418437</v>
      </c>
      <c r="R2517">
        <f t="shared" si="156"/>
        <v>2.5150000000000001</v>
      </c>
      <c r="S2517">
        <f t="shared" si="157"/>
        <v>0.41479642521876936</v>
      </c>
    </row>
    <row r="2518" spans="1:19" x14ac:dyDescent="0.3">
      <c r="A2518">
        <v>2.516</v>
      </c>
      <c r="B2518">
        <f>Uo*COS(2*PI()*Wn*Sheet2!A2518) + (Vo/Wn - (Po*(w/Wn))/(K*(1-(w/Wn)^2)))*SIN(2*PI()*Wn*Sheet2!A2518) +(Po*SIN(2*PI()*w*Sheet2!A2518))/(K*(1-(w/Wn)^2))</f>
        <v>1.5485031467534458</v>
      </c>
      <c r="C2518">
        <f t="shared" si="158"/>
        <v>0.37791052673196551</v>
      </c>
      <c r="D2518">
        <f t="shared" si="159"/>
        <v>61.729735940513102</v>
      </c>
      <c r="R2518">
        <f t="shared" si="156"/>
        <v>2.516</v>
      </c>
      <c r="S2518">
        <f t="shared" si="157"/>
        <v>0.37791052673196551</v>
      </c>
    </row>
    <row r="2519" spans="1:19" x14ac:dyDescent="0.3">
      <c r="A2519">
        <v>2.5169999999999999</v>
      </c>
      <c r="B2519">
        <f>Uo*COS(2*PI()*Wn*Sheet2!A2519) + (Vo/Wn - (Po*(w/Wn))/(K*(1-(w/Wn)^2)))*SIN(2*PI()*Wn*Sheet2!A2519) +(Po*SIN(2*PI()*w*Sheet2!A2519))/(K*(1-(w/Wn)^2))</f>
        <v>1.1878637904980824</v>
      </c>
      <c r="C2519">
        <f t="shared" si="158"/>
        <v>0.34096789305824343</v>
      </c>
      <c r="D2519">
        <f t="shared" si="159"/>
        <v>55.69534721536548</v>
      </c>
      <c r="R2519">
        <f t="shared" si="156"/>
        <v>2.5169999999999999</v>
      </c>
      <c r="S2519">
        <f t="shared" si="157"/>
        <v>0.34096789305824343</v>
      </c>
    </row>
    <row r="2520" spans="1:19" x14ac:dyDescent="0.3">
      <c r="A2520">
        <v>2.5179999999999998</v>
      </c>
      <c r="B2520">
        <f>Uo*COS(2*PI()*Wn*Sheet2!A2520) + (Vo/Wn - (Po*(w/Wn))/(K*(1-(w/Wn)^2)))*SIN(2*PI()*Wn*Sheet2!A2520) +(Po*SIN(2*PI()*w*Sheet2!A2520))/(K*(1-(w/Wn)^2))</f>
        <v>0.82683638195662978</v>
      </c>
      <c r="C2520">
        <f t="shared" si="158"/>
        <v>0.30398068420019925</v>
      </c>
      <c r="D2520">
        <f t="shared" si="159"/>
        <v>49.653677363699636</v>
      </c>
      <c r="R2520">
        <f t="shared" si="156"/>
        <v>2.5179999999999998</v>
      </c>
      <c r="S2520">
        <f t="shared" si="157"/>
        <v>0.30398068420019925</v>
      </c>
    </row>
    <row r="2521" spans="1:19" x14ac:dyDescent="0.3">
      <c r="A2521">
        <v>2.5190000000000001</v>
      </c>
      <c r="B2521">
        <f>Uo*COS(2*PI()*Wn*Sheet2!A2521) + (Vo/Wn - (Po*(w/Wn))/(K*(1-(w/Wn)^2)))*SIN(2*PI()*Wn*Sheet2!A2521) +(Po*SIN(2*PI()*w*Sheet2!A2521))/(K*(1-(w/Wn)^2))</f>
        <v>0.46553886184961707</v>
      </c>
      <c r="C2521">
        <f t="shared" si="158"/>
        <v>0.26696105275030108</v>
      </c>
      <c r="D2521">
        <f t="shared" si="159"/>
        <v>43.606711448833437</v>
      </c>
      <c r="R2521">
        <f t="shared" si="156"/>
        <v>2.5190000000000001</v>
      </c>
      <c r="S2521">
        <f t="shared" si="157"/>
        <v>0.26696105275030108</v>
      </c>
    </row>
    <row r="2522" spans="1:19" x14ac:dyDescent="0.3">
      <c r="A2522">
        <v>2.52</v>
      </c>
      <c r="B2522">
        <f>Uo*COS(2*PI()*Wn*Sheet2!A2522) + (Vo/Wn - (Po*(w/Wn))/(K*(1-(w/Wn)^2)))*SIN(2*PI()*Wn*Sheet2!A2522) +(Po*SIN(2*PI()*w*Sheet2!A2522))/(K*(1-(w/Wn)^2))</f>
        <v>0.10408925913769357</v>
      </c>
      <c r="C2522">
        <f t="shared" si="158"/>
        <v>0.22992113993789651</v>
      </c>
      <c r="D2522">
        <f t="shared" si="159"/>
        <v>37.55643267797759</v>
      </c>
      <c r="R2522">
        <f t="shared" si="156"/>
        <v>2.52</v>
      </c>
      <c r="S2522">
        <f t="shared" si="157"/>
        <v>0.22992113993789651</v>
      </c>
    </row>
    <row r="2523" spans="1:19" x14ac:dyDescent="0.3">
      <c r="A2523">
        <v>2.5209999999999999</v>
      </c>
      <c r="B2523">
        <f>Uo*COS(2*PI()*Wn*Sheet2!A2523) + (Vo/Wn - (Po*(w/Wn))/(K*(1-(w/Wn)^2)))*SIN(2*PI()*Wn*Sheet2!A2523) +(Po*SIN(2*PI()*w*Sheet2!A2523))/(K*(1-(w/Wn)^2))</f>
        <v>-0.25739434753588392</v>
      </c>
      <c r="C2523">
        <f t="shared" si="158"/>
        <v>0.19287307168693399</v>
      </c>
      <c r="D2523">
        <f t="shared" si="159"/>
        <v>31.50482175828478</v>
      </c>
      <c r="R2523">
        <f t="shared" si="156"/>
        <v>2.5209999999999999</v>
      </c>
      <c r="S2523">
        <f t="shared" si="157"/>
        <v>0.19287307168693399</v>
      </c>
    </row>
    <row r="2524" spans="1:19" x14ac:dyDescent="0.3">
      <c r="A2524">
        <v>2.5219999999999998</v>
      </c>
      <c r="B2524">
        <f>Uo*COS(2*PI()*Wn*Sheet2!A2524) + (Vo/Wn - (Po*(w/Wn))/(K*(1-(w/Wn)^2)))*SIN(2*PI()*Wn*Sheet2!A2524) +(Po*SIN(2*PI()*w*Sheet2!A2524))/(K*(1-(w/Wn)^2))</f>
        <v>-0.61879386841970141</v>
      </c>
      <c r="C2524">
        <f t="shared" si="158"/>
        <v>0.15582895468587482</v>
      </c>
      <c r="D2524">
        <f t="shared" si="159"/>
        <v>25.453856254890052</v>
      </c>
      <c r="R2524">
        <f t="shared" si="156"/>
        <v>2.5219999999999998</v>
      </c>
      <c r="S2524">
        <f t="shared" si="157"/>
        <v>0.15582895468587482</v>
      </c>
    </row>
    <row r="2525" spans="1:19" x14ac:dyDescent="0.3">
      <c r="A2525">
        <v>2.5230000000000001</v>
      </c>
      <c r="B2525">
        <f>Uo*COS(2*PI()*Wn*Sheet2!A2525) + (Vo/Wn - (Po*(w/Wn))/(K*(1-(w/Wn)^2)))*SIN(2*PI()*Wn*Sheet2!A2525) +(Po*SIN(2*PI()*w*Sheet2!A2525))/(K*(1-(w/Wn)^2))</f>
        <v>-0.97999124123169934</v>
      </c>
      <c r="C2525">
        <f t="shared" si="158"/>
        <v>0.11880087247103543</v>
      </c>
      <c r="D2525">
        <f t="shared" si="159"/>
        <v>19.40550995114496</v>
      </c>
      <c r="R2525">
        <f t="shared" si="156"/>
        <v>2.5230000000000001</v>
      </c>
      <c r="S2525">
        <f t="shared" si="157"/>
        <v>0.11880087247103543</v>
      </c>
    </row>
    <row r="2526" spans="1:19" x14ac:dyDescent="0.3">
      <c r="A2526">
        <v>2.524</v>
      </c>
      <c r="B2526">
        <f>Uo*COS(2*PI()*Wn*Sheet2!A2526) + (Vo/Wn - (Po*(w/Wn))/(K*(1-(w/Wn)^2)))*SIN(2*PI()*Wn*Sheet2!A2526) +(Po*SIN(2*PI()*w*Sheet2!A2526))/(K*(1-(w/Wn)^2))</f>
        <v>-1.3408684697268591</v>
      </c>
      <c r="C2526">
        <f t="shared" si="158"/>
        <v>8.1800881524502544E-2</v>
      </c>
      <c r="D2526">
        <f t="shared" si="159"/>
        <v>13.36175221123213</v>
      </c>
      <c r="R2526">
        <f t="shared" si="156"/>
        <v>2.524</v>
      </c>
      <c r="S2526">
        <f t="shared" si="157"/>
        <v>8.1800881524502544E-2</v>
      </c>
    </row>
    <row r="2527" spans="1:19" x14ac:dyDescent="0.3">
      <c r="A2527">
        <v>2.5249999999999999</v>
      </c>
      <c r="B2527">
        <f>Uo*COS(2*PI()*Wn*Sheet2!A2527) + (Vo/Wn - (Po*(w/Wn))/(K*(1-(w/Wn)^2)))*SIN(2*PI()*Wn*Sheet2!A2527) +(Po*SIN(2*PI()*w*Sheet2!A2527))/(K*(1-(w/Wn)^2))</f>
        <v>-1.7013076622461545</v>
      </c>
      <c r="C2527">
        <f t="shared" si="158"/>
        <v>4.4841007387851912E-2</v>
      </c>
      <c r="D2527">
        <f t="shared" si="159"/>
        <v>7.3245473453612657</v>
      </c>
      <c r="R2527">
        <f t="shared" si="156"/>
        <v>2.5249999999999999</v>
      </c>
      <c r="S2527">
        <f t="shared" si="157"/>
        <v>4.4841007387851912E-2</v>
      </c>
    </row>
    <row r="2528" spans="1:19" x14ac:dyDescent="0.3">
      <c r="A2528">
        <v>2.5259999999999998</v>
      </c>
      <c r="B2528">
        <f>Uo*COS(2*PI()*Wn*Sheet2!A2528) + (Vo/Wn - (Po*(w/Wn))/(K*(1-(w/Wn)^2)))*SIN(2*PI()*Wn*Sheet2!A2528) +(Po*SIN(2*PI()*w*Sheet2!A2528))/(K*(1-(w/Wn)^2))</f>
        <v>-2.0611910702277916</v>
      </c>
      <c r="C2528">
        <f t="shared" si="158"/>
        <v>7.933240793114112E-3</v>
      </c>
      <c r="D2528">
        <f t="shared" si="159"/>
        <v>1.2958539777823506</v>
      </c>
      <c r="R2528">
        <f t="shared" si="156"/>
        <v>2.5259999999999998</v>
      </c>
      <c r="S2528">
        <f t="shared" si="157"/>
        <v>7.933240793114112E-3</v>
      </c>
    </row>
    <row r="2529" spans="1:19" x14ac:dyDescent="0.3">
      <c r="A2529">
        <v>2.5270000000000001</v>
      </c>
      <c r="B2529">
        <f>Uo*COS(2*PI()*Wn*Sheet2!A2529) + (Vo/Wn - (Po*(w/Wn))/(K*(1-(w/Wn)^2)))*SIN(2*PI()*Wn*Sheet2!A2529) +(Po*SIN(2*PI()*w*Sheet2!A2529))/(K*(1-(w/Wn)^2))</f>
        <v>-2.4204011266746757</v>
      </c>
      <c r="C2529">
        <f t="shared" si="158"/>
        <v>-2.8910466187998481E-2</v>
      </c>
      <c r="D2529">
        <f t="shared" si="159"/>
        <v>-4.7223755822182696</v>
      </c>
      <c r="R2529">
        <f t="shared" si="156"/>
        <v>2.5270000000000001</v>
      </c>
      <c r="S2529">
        <f t="shared" si="157"/>
        <v>-2.8910466187998481E-2</v>
      </c>
    </row>
    <row r="2530" spans="1:19" x14ac:dyDescent="0.3">
      <c r="A2530">
        <v>2.528</v>
      </c>
      <c r="B2530">
        <f>Uo*COS(2*PI()*Wn*Sheet2!A2530) + (Vo/Wn - (Po*(w/Wn))/(K*(1-(w/Wn)^2)))*SIN(2*PI()*Wn*Sheet2!A2530) +(Po*SIN(2*PI()*w*Sheet2!A2530))/(K*(1-(w/Wn)^2))</f>
        <v>-2.7788204845603026</v>
      </c>
      <c r="C2530">
        <f t="shared" si="158"/>
        <v>-6.5678203975205851E-2</v>
      </c>
      <c r="D2530">
        <f t="shared" si="159"/>
        <v>-10.728195966110629</v>
      </c>
      <c r="R2530">
        <f t="shared" si="156"/>
        <v>2.528</v>
      </c>
      <c r="S2530">
        <f t="shared" si="157"/>
        <v>-6.5678203975205851E-2</v>
      </c>
    </row>
    <row r="2531" spans="1:19" x14ac:dyDescent="0.3">
      <c r="A2531">
        <v>2.5289999999999999</v>
      </c>
      <c r="B2531">
        <f>Uo*COS(2*PI()*Wn*Sheet2!A2531) + (Vo/Wn - (Po*(w/Wn))/(K*(1-(w/Wn)^2)))*SIN(2*PI()*Wn*Sheet2!A2531) +(Po*SIN(2*PI()*w*Sheet2!A2531))/(K*(1-(w/Wn)^2))</f>
        <v>-3.1363320551642011</v>
      </c>
      <c r="C2531">
        <f t="shared" si="158"/>
        <v>-0.10235810929013248</v>
      </c>
      <c r="D2531">
        <f t="shared" si="159"/>
        <v>-16.719669368542114</v>
      </c>
      <c r="R2531">
        <f t="shared" si="156"/>
        <v>2.5289999999999999</v>
      </c>
      <c r="S2531">
        <f t="shared" si="157"/>
        <v>-0.10235810929013248</v>
      </c>
    </row>
    <row r="2532" spans="1:19" x14ac:dyDescent="0.3">
      <c r="A2532">
        <v>2.5299999999999998</v>
      </c>
      <c r="B2532">
        <f>Uo*COS(2*PI()*Wn*Sheet2!A2532) + (Vo/Wn - (Po*(w/Wn))/(K*(1-(w/Wn)^2)))*SIN(2*PI()*Wn*Sheet2!A2532) +(Po*SIN(2*PI()*w*Sheet2!A2532))/(K*(1-(w/Wn)^2))</f>
        <v>-3.4928190463228526</v>
      </c>
      <c r="C2532">
        <f t="shared" si="158"/>
        <v>-0.13893836894462655</v>
      </c>
      <c r="D2532">
        <f t="shared" si="159"/>
        <v>-22.694866166139875</v>
      </c>
      <c r="R2532">
        <f t="shared" si="156"/>
        <v>2.5299999999999998</v>
      </c>
      <c r="S2532">
        <f t="shared" si="157"/>
        <v>-0.13893836894462655</v>
      </c>
    </row>
    <row r="2533" spans="1:19" x14ac:dyDescent="0.3">
      <c r="A2533">
        <v>2.5310000000000001</v>
      </c>
      <c r="B2533">
        <f>Uo*COS(2*PI()*Wn*Sheet2!A2533) + (Vo/Wn - (Po*(w/Wn))/(K*(1-(w/Wn)^2)))*SIN(2*PI()*Wn*Sheet2!A2533) +(Po*SIN(2*PI()*w*Sheet2!A2533))/(K*(1-(w/Wn)^2))</f>
        <v>-3.848165000583303</v>
      </c>
      <c r="C2533">
        <f t="shared" si="158"/>
        <v>-0.17540722360604893</v>
      </c>
      <c r="D2533">
        <f t="shared" si="159"/>
        <v>-28.651865532551373</v>
      </c>
      <c r="R2533">
        <f t="shared" si="156"/>
        <v>2.5310000000000001</v>
      </c>
      <c r="S2533">
        <f t="shared" si="157"/>
        <v>-0.17540722360604893</v>
      </c>
    </row>
    <row r="2534" spans="1:19" x14ac:dyDescent="0.3">
      <c r="A2534">
        <v>2.532</v>
      </c>
      <c r="B2534">
        <f>Uo*COS(2*PI()*Wn*Sheet2!A2534) + (Vo/Wn - (Po*(w/Wn))/(K*(1-(w/Wn)^2)))*SIN(2*PI()*Wn*Sheet2!A2534) +(Po*SIN(2*PI()*w*Sheet2!A2534))/(K*(1-(w/Wn)^2))</f>
        <v>-4.2022538332465995</v>
      </c>
      <c r="C2534">
        <f t="shared" si="158"/>
        <v>-0.21175297153795392</v>
      </c>
      <c r="D2534">
        <f t="shared" si="159"/>
        <v>-34.588756049465282</v>
      </c>
      <c r="R2534">
        <f t="shared" si="156"/>
        <v>2.532</v>
      </c>
      <c r="S2534">
        <f t="shared" si="157"/>
        <v>-0.21175297153795392</v>
      </c>
    </row>
    <row r="2535" spans="1:19" x14ac:dyDescent="0.3">
      <c r="A2535">
        <v>2.5329999999999999</v>
      </c>
      <c r="B2535">
        <f>Uo*COS(2*PI()*Wn*Sheet2!A2535) + (Vo/Wn - (Po*(w/Wn))/(K*(1-(w/Wn)^2)))*SIN(2*PI()*Wn*Sheet2!A2535) +(Po*SIN(2*PI()*w*Sheet2!A2535))/(K*(1-(w/Wn)^2))</f>
        <v>-4.554969870292247</v>
      </c>
      <c r="C2535">
        <f t="shared" si="158"/>
        <v>-0.24796397231550441</v>
      </c>
      <c r="D2535">
        <f t="shared" si="159"/>
        <v>-40.503636313505389</v>
      </c>
      <c r="R2535">
        <f t="shared" si="156"/>
        <v>2.5329999999999999</v>
      </c>
      <c r="S2535">
        <f t="shared" si="157"/>
        <v>-0.24796397231550441</v>
      </c>
    </row>
    <row r="2536" spans="1:19" x14ac:dyDescent="0.3">
      <c r="A2536">
        <v>2.5339999999999998</v>
      </c>
      <c r="B2536">
        <f>Uo*COS(2*PI()*Wn*Sheet2!A2536) + (Vo/Wn - (Po*(w/Wn))/(K*(1-(w/Wn)^2)))*SIN(2*PI()*Wn*Sheet2!A2536) +(Po*SIN(2*PI()*w*Sheet2!A2536))/(K*(1-(w/Wn)^2))</f>
        <v>-4.9061978861650184</v>
      </c>
      <c r="C2536">
        <f t="shared" si="158"/>
        <v>-0.28402865051395099</v>
      </c>
      <c r="D2536">
        <f t="shared" si="159"/>
        <v>-46.394615538724679</v>
      </c>
      <c r="R2536">
        <f t="shared" si="156"/>
        <v>2.5339999999999998</v>
      </c>
      <c r="S2536">
        <f t="shared" si="157"/>
        <v>-0.28402865051395099</v>
      </c>
    </row>
    <row r="2537" spans="1:19" x14ac:dyDescent="0.3">
      <c r="A2537">
        <v>2.5350000000000001</v>
      </c>
      <c r="B2537">
        <f>Uo*COS(2*PI()*Wn*Sheet2!A2537) + (Vo/Wn - (Po*(w/Wn))/(K*(1-(w/Wn)^2)))*SIN(2*PI()*Wn*Sheet2!A2537) +(Po*SIN(2*PI()*w*Sheet2!A2537))/(K*(1-(w/Wn)^2))</f>
        <v>-5.2558231414181762</v>
      </c>
      <c r="C2537">
        <f t="shared" si="158"/>
        <v>-0.31993549936933496</v>
      </c>
      <c r="D2537">
        <f t="shared" si="159"/>
        <v>-52.259814154562243</v>
      </c>
      <c r="R2537">
        <f t="shared" si="156"/>
        <v>2.5350000000000001</v>
      </c>
      <c r="S2537">
        <f t="shared" si="157"/>
        <v>-0.31993549936933496</v>
      </c>
    </row>
    <row r="2538" spans="1:19" x14ac:dyDescent="0.3">
      <c r="A2538">
        <v>2.536</v>
      </c>
      <c r="B2538">
        <f>Uo*COS(2*PI()*Wn*Sheet2!A2538) + (Vo/Wn - (Po*(w/Wn))/(K*(1-(w/Wn)^2)))*SIN(2*PI()*Wn*Sheet2!A2538) +(Po*SIN(2*PI()*w*Sheet2!A2538))/(K*(1-(w/Wn)^2))</f>
        <v>-5.6037314201956807</v>
      </c>
      <c r="C2538">
        <f t="shared" si="158"/>
        <v>-0.3556730844100871</v>
      </c>
      <c r="D2538">
        <f t="shared" si="159"/>
        <v>-58.097364399046235</v>
      </c>
      <c r="R2538">
        <f t="shared" si="156"/>
        <v>2.536</v>
      </c>
      <c r="S2538">
        <f t="shared" si="157"/>
        <v>-0.3556730844100871</v>
      </c>
    </row>
    <row r="2539" spans="1:19" x14ac:dyDescent="0.3">
      <c r="A2539">
        <v>2.5369999999999999</v>
      </c>
      <c r="B2539">
        <f>Uo*COS(2*PI()*Wn*Sheet2!A2539) + (Vo/Wn - (Po*(w/Wn))/(K*(1-(w/Wn)^2)))*SIN(2*PI()*Wn*Sheet2!A2539) +(Po*SIN(2*PI()*w*Sheet2!A2539))/(K*(1-(w/Wn)^2))</f>
        <v>-5.9498090675447335</v>
      </c>
      <c r="C2539">
        <f t="shared" si="158"/>
        <v>-0.39123004705861214</v>
      </c>
      <c r="D2539">
        <f t="shared" si="159"/>
        <v>-63.905410907094144</v>
      </c>
      <c r="R2539">
        <f t="shared" si="156"/>
        <v>2.5369999999999999</v>
      </c>
      <c r="S2539">
        <f t="shared" si="157"/>
        <v>-0.39123004705861214</v>
      </c>
    </row>
    <row r="2540" spans="1:19" x14ac:dyDescent="0.3">
      <c r="A2540">
        <v>2.5379999999999998</v>
      </c>
      <c r="B2540">
        <f>Uo*COS(2*PI()*Wn*Sheet2!A2540) + (Vo/Wn - (Po*(w/Wn))/(K*(1-(w/Wn)^2)))*SIN(2*PI()*Wn*Sheet2!A2540) +(Po*SIN(2*PI()*w*Sheet2!A2540))/(K*(1-(w/Wn)^2))</f>
        <v>-6.2939430265449356</v>
      </c>
      <c r="C2540">
        <f t="shared" si="158"/>
        <v>-0.42659510820144619</v>
      </c>
      <c r="D2540">
        <f t="shared" si="159"/>
        <v>-69.682111293679569</v>
      </c>
      <c r="R2540">
        <f t="shared" si="156"/>
        <v>2.5379999999999998</v>
      </c>
      <c r="S2540">
        <f t="shared" si="157"/>
        <v>-0.42659510820144619</v>
      </c>
    </row>
    <row r="2541" spans="1:19" x14ac:dyDescent="0.3">
      <c r="A2541">
        <v>2.5390000000000001</v>
      </c>
      <c r="B2541">
        <f>Uo*COS(2*PI()*Wn*Sheet2!A2541) + (Vo/Wn - (Po*(w/Wn))/(K*(1-(w/Wn)^2)))*SIN(2*PI()*Wn*Sheet2!A2541) +(Po*SIN(2*PI()*w*Sheet2!A2541))/(K*(1-(w/Wn)^2))</f>
        <v>-6.6360208752416732</v>
      </c>
      <c r="C2541">
        <f t="shared" si="158"/>
        <v>-0.46175707172718433</v>
      </c>
      <c r="D2541">
        <f t="shared" si="159"/>
        <v>-75.425636731734471</v>
      </c>
      <c r="R2541">
        <f t="shared" si="156"/>
        <v>2.5390000000000001</v>
      </c>
      <c r="S2541">
        <f t="shared" si="157"/>
        <v>-0.46175707172718433</v>
      </c>
    </row>
    <row r="2542" spans="1:19" x14ac:dyDescent="0.3">
      <c r="A2542">
        <v>2.54</v>
      </c>
      <c r="B2542">
        <f>Uo*COS(2*PI()*Wn*Sheet2!A2542) + (Vo/Wn - (Po*(w/Wn))/(K*(1-(w/Wn)^2)))*SIN(2*PI()*Wn*Sheet2!A2542) +(Po*SIN(2*PI()*w*Sheet2!A2542))/(K*(1-(w/Wn)^2))</f>
        <v>-6.9759308633712696</v>
      </c>
      <c r="C2542">
        <f t="shared" si="158"/>
        <v>-0.49670482803070398</v>
      </c>
      <c r="D2542">
        <f t="shared" si="159"/>
        <v>-81.13417252454596</v>
      </c>
      <c r="R2542">
        <f t="shared" si="156"/>
        <v>2.54</v>
      </c>
      <c r="S2542">
        <f t="shared" si="157"/>
        <v>-0.49670482803070398</v>
      </c>
    </row>
    <row r="2543" spans="1:19" x14ac:dyDescent="0.3">
      <c r="A2543">
        <v>2.5409999999999999</v>
      </c>
      <c r="B2543">
        <f>Uo*COS(2*PI()*Wn*Sheet2!A2543) + (Vo/Wn - (Po*(w/Wn))/(K*(1-(w/Wn)^2)))*SIN(2*PI()*Wn*Sheet2!A2543) +(Po*SIN(2*PI()*w*Sheet2!A2543))/(K*(1-(w/Wn)^2))</f>
        <v>-7.3135619488694026</v>
      </c>
      <c r="C2543">
        <f t="shared" si="158"/>
        <v>-0.53142735748310688</v>
      </c>
      <c r="D2543">
        <f t="shared" si="159"/>
        <v>-86.805918672553489</v>
      </c>
      <c r="R2543">
        <f t="shared" si="156"/>
        <v>2.5409999999999999</v>
      </c>
      <c r="S2543">
        <f t="shared" si="157"/>
        <v>-0.53142735748310688</v>
      </c>
    </row>
    <row r="2544" spans="1:19" x14ac:dyDescent="0.3">
      <c r="A2544">
        <v>2.5419999999999998</v>
      </c>
      <c r="B2544">
        <f>Uo*COS(2*PI()*Wn*Sheet2!A2544) + (Vo/Wn - (Po*(w/Wn))/(K*(1-(w/Wn)^2)))*SIN(2*PI()*Wn*Sheet2!A2544) +(Po*SIN(2*PI()*w*Sheet2!A2544))/(K*(1-(w/Wn)^2))</f>
        <v>-7.6488038341448004</v>
      </c>
      <c r="C2544">
        <f t="shared" si="158"/>
        <v>-0.56591373386581834</v>
      </c>
      <c r="D2544">
        <f t="shared" si="159"/>
        <v>-92.439090434291174</v>
      </c>
      <c r="R2544">
        <f t="shared" si="156"/>
        <v>2.5419999999999998</v>
      </c>
      <c r="S2544">
        <f t="shared" si="157"/>
        <v>-0.56591373386581834</v>
      </c>
    </row>
    <row r="2545" spans="1:19" x14ac:dyDescent="0.3">
      <c r="A2545">
        <v>2.5430000000000001</v>
      </c>
      <c r="B2545">
        <f>Uo*COS(2*PI()*Wn*Sheet2!A2545) + (Vo/Wn - (Po*(w/Wn))/(K*(1-(w/Wn)^2)))*SIN(2*PI()*Wn*Sheet2!A2545) +(Po*SIN(2*PI()*w*Sheet2!A2545))/(K*(1-(w/Wn)^2))</f>
        <v>-7.9815470021125474</v>
      </c>
      <c r="C2545">
        <f t="shared" si="158"/>
        <v>-0.60015312776809249</v>
      </c>
      <c r="D2545">
        <f t="shared" si="159"/>
        <v>-98.031918881352851</v>
      </c>
      <c r="R2545">
        <f t="shared" si="156"/>
        <v>2.5430000000000001</v>
      </c>
      <c r="S2545">
        <f t="shared" si="157"/>
        <v>-0.60015312776809249</v>
      </c>
    </row>
    <row r="2546" spans="1:19" x14ac:dyDescent="0.3">
      <c r="A2546">
        <v>2.544</v>
      </c>
      <c r="B2546">
        <f>Uo*COS(2*PI()*Wn*Sheet2!A2546) + (Vo/Wn - (Po*(w/Wn))/(K*(1-(w/Wn)^2)))*SIN(2*PI()*Wn*Sheet2!A2546) +(Po*SIN(2*PI()*w*Sheet2!A2546))/(K*(1-(w/Wn)^2))</f>
        <v>-8.3116827519702845</v>
      </c>
      <c r="C2546">
        <f t="shared" si="158"/>
        <v>-0.63413480994670779</v>
      </c>
      <c r="D2546">
        <f t="shared" si="159"/>
        <v>-103.58265144718092</v>
      </c>
      <c r="R2546">
        <f t="shared" si="156"/>
        <v>2.544</v>
      </c>
      <c r="S2546">
        <f t="shared" si="157"/>
        <v>-0.63413480994670779</v>
      </c>
    </row>
    <row r="2547" spans="1:19" x14ac:dyDescent="0.3">
      <c r="A2547">
        <v>2.5449999999999999</v>
      </c>
      <c r="B2547">
        <f>Uo*COS(2*PI()*Wn*Sheet2!A2547) + (Vo/Wn - (Po*(w/Wn))/(K*(1-(w/Wn)^2)))*SIN(2*PI()*Wn*Sheet2!A2547) +(Po*SIN(2*PI()*w*Sheet2!A2547))/(K*(1-(w/Wn)^2))</f>
        <v>-8.6391032347090722</v>
      </c>
      <c r="C2547">
        <f t="shared" si="158"/>
        <v>-0.66784815464703307</v>
      </c>
      <c r="D2547">
        <f t="shared" si="159"/>
        <v>-109.08955246954545</v>
      </c>
      <c r="R2547">
        <f t="shared" si="156"/>
        <v>2.5449999999999999</v>
      </c>
      <c r="S2547">
        <f t="shared" si="157"/>
        <v>-0.66784815464703307</v>
      </c>
    </row>
    <row r="2548" spans="1:19" x14ac:dyDescent="0.3">
      <c r="A2548">
        <v>2.5459999999999998</v>
      </c>
      <c r="B2548">
        <f>Uo*COS(2*PI()*Wn*Sheet2!A2548) + (Vo/Wn - (Po*(w/Wn))/(K*(1-(w/Wn)^2)))*SIN(2*PI()*Wn*Sheet2!A2548) +(Po*SIN(2*PI()*w*Sheet2!A2548))/(K*(1-(w/Wn)^2))</f>
        <v>-8.9637014883459791</v>
      </c>
      <c r="C2548">
        <f t="shared" si="158"/>
        <v>-0.70128264288418796</v>
      </c>
      <c r="D2548">
        <f t="shared" si="159"/>
        <v>-114.55090372650473</v>
      </c>
      <c r="R2548">
        <f t="shared" si="156"/>
        <v>2.5459999999999998</v>
      </c>
      <c r="S2548">
        <f t="shared" si="157"/>
        <v>-0.70128264288418796</v>
      </c>
    </row>
    <row r="2549" spans="1:19" x14ac:dyDescent="0.3">
      <c r="A2549">
        <v>2.5470000000000002</v>
      </c>
      <c r="B2549">
        <f>Uo*COS(2*PI()*Wn*Sheet2!A2549) + (Vo/Wn - (Po*(w/Wn))/(K*(1-(w/Wn)^2)))*SIN(2*PI()*Wn*Sheet2!A2549) +(Po*SIN(2*PI()*w*Sheet2!A2549))/(K*(1-(w/Wn)^2))</f>
        <v>-9.2853714728657248</v>
      </c>
      <c r="C2549">
        <f t="shared" si="158"/>
        <v>-0.73442786568349405</v>
      </c>
      <c r="D2549">
        <f t="shared" si="159"/>
        <v>-119.96500496571632</v>
      </c>
      <c r="R2549">
        <f t="shared" si="156"/>
        <v>2.5470000000000002</v>
      </c>
      <c r="S2549">
        <f t="shared" si="157"/>
        <v>-0.73442786568349405</v>
      </c>
    </row>
    <row r="2550" spans="1:19" x14ac:dyDescent="0.3">
      <c r="A2550">
        <v>2.548</v>
      </c>
      <c r="B2550">
        <f>Uo*COS(2*PI()*Wn*Sheet2!A2550) + (Vo/Wn - (Po*(w/Wn))/(K*(1-(w/Wn)^2)))*SIN(2*PI()*Wn*Sheet2!A2550) +(Po*SIN(2*PI()*w*Sheet2!A2550))/(K*(1-(w/Wn)^2))</f>
        <v>-9.60400810486232</v>
      </c>
      <c r="C2550">
        <f t="shared" si="158"/>
        <v>-0.76727352727915954</v>
      </c>
      <c r="D2550">
        <f t="shared" si="159"/>
        <v>-125.33017442692568</v>
      </c>
      <c r="R2550">
        <f t="shared" si="156"/>
        <v>2.548</v>
      </c>
      <c r="S2550">
        <f t="shared" si="157"/>
        <v>-0.76727352727915954</v>
      </c>
    </row>
    <row r="2551" spans="1:19" x14ac:dyDescent="0.3">
      <c r="A2551">
        <v>2.5489999999999999</v>
      </c>
      <c r="B2551">
        <f>Uo*COS(2*PI()*Wn*Sheet2!A2551) + (Vo/Wn - (Po*(w/Wn))/(K*(1-(w/Wn)^2)))*SIN(2*PI()*Wn*Sheet2!A2551) +(Po*SIN(2*PI()*w*Sheet2!A2551))/(K*(1-(w/Wn)^2))</f>
        <v>-9.9195072918681522</v>
      </c>
      <c r="C2551">
        <f t="shared" si="158"/>
        <v>-0.79980944827023137</v>
      </c>
      <c r="D2551">
        <f t="shared" si="159"/>
        <v>-130.64474935747464</v>
      </c>
      <c r="R2551">
        <f t="shared" si="156"/>
        <v>2.5489999999999999</v>
      </c>
      <c r="S2551">
        <f t="shared" si="157"/>
        <v>-0.79980944827023137</v>
      </c>
    </row>
    <row r="2552" spans="1:19" x14ac:dyDescent="0.3">
      <c r="A2552">
        <v>2.5499999999999998</v>
      </c>
      <c r="B2552">
        <f>Uo*COS(2*PI()*Wn*Sheet2!A2552) + (Vo/Wn - (Po*(w/Wn))/(K*(1-(w/Wn)^2)))*SIN(2*PI()*Wn*Sheet2!A2552) +(Po*SIN(2*PI()*w*Sheet2!A2552))/(K*(1-(w/Wn)^2))</f>
        <v>-10.231765966358138</v>
      </c>
      <c r="C2552">
        <f t="shared" si="158"/>
        <v>-0.83202556873287503</v>
      </c>
      <c r="D2552">
        <f t="shared" si="159"/>
        <v>-135.90708652067636</v>
      </c>
      <c r="R2552">
        <f t="shared" si="156"/>
        <v>2.5499999999999998</v>
      </c>
      <c r="S2552">
        <f t="shared" si="157"/>
        <v>-0.83202556873287503</v>
      </c>
    </row>
    <row r="2553" spans="1:19" x14ac:dyDescent="0.3">
      <c r="A2553">
        <v>2.5510000000000002</v>
      </c>
      <c r="B2553">
        <f>Uo*COS(2*PI()*Wn*Sheet2!A2553) + (Vo/Wn - (Po*(w/Wn))/(K*(1-(w/Wn)^2)))*SIN(2*PI()*Wn*Sheet2!A2553) +(Po*SIN(2*PI()*w*Sheet2!A2553))/(K*(1-(w/Wn)^2))</f>
        <v>-10.540682119421001</v>
      </c>
      <c r="C2553">
        <f t="shared" si="158"/>
        <v>-0.86391195128804732</v>
      </c>
      <c r="D2553">
        <f t="shared" si="159"/>
        <v>-141.11556269690371</v>
      </c>
      <c r="R2553">
        <f t="shared" si="156"/>
        <v>2.5510000000000002</v>
      </c>
      <c r="S2553">
        <f t="shared" si="157"/>
        <v>-0.86391195128804732</v>
      </c>
    </row>
    <row r="2554" spans="1:19" x14ac:dyDescent="0.3">
      <c r="A2554">
        <v>2.552</v>
      </c>
      <c r="B2554">
        <f>Uo*COS(2*PI()*Wn*Sheet2!A2554) + (Vo/Wn - (Po*(w/Wn))/(K*(1-(w/Wn)^2)))*SIN(2*PI()*Wn*Sheet2!A2554) +(Po*SIN(2*PI()*w*Sheet2!A2554))/(K*(1-(w/Wn)^2))</f>
        <v>-10.846154834082176</v>
      </c>
      <c r="C2554">
        <f t="shared" si="158"/>
        <v>-0.89545878412357072</v>
      </c>
      <c r="D2554">
        <f t="shared" si="159"/>
        <v>-146.26857517722962</v>
      </c>
      <c r="R2554">
        <f t="shared" si="156"/>
        <v>2.552</v>
      </c>
      <c r="S2554">
        <f t="shared" si="157"/>
        <v>-0.89545878412357072</v>
      </c>
    </row>
    <row r="2555" spans="1:19" x14ac:dyDescent="0.3">
      <c r="A2555">
        <v>2.5529999999999999</v>
      </c>
      <c r="B2555">
        <f>Uo*COS(2*PI()*Wn*Sheet2!A2555) + (Vo/Wn - (Po*(w/Wn))/(K*(1-(w/Wn)^2)))*SIN(2*PI()*Wn*Sheet2!A2555) +(Po*SIN(2*PI()*w*Sheet2!A2555))/(K*(1-(w/Wn)^2))</f>
        <v>-11.14808431827301</v>
      </c>
      <c r="C2555">
        <f t="shared" si="158"/>
        <v>-0.92665638396989236</v>
      </c>
      <c r="D2555">
        <f t="shared" si="159"/>
        <v>-151.36454224950208</v>
      </c>
      <c r="R2555">
        <f t="shared" si="156"/>
        <v>2.5529999999999999</v>
      </c>
      <c r="S2555">
        <f t="shared" si="157"/>
        <v>-0.92665638396989236</v>
      </c>
    </row>
    <row r="2556" spans="1:19" x14ac:dyDescent="0.3">
      <c r="A2556">
        <v>2.5539999999999998</v>
      </c>
      <c r="B2556">
        <f>Uo*COS(2*PI()*Wn*Sheet2!A2556) + (Vo/Wn - (Po*(w/Wn))/(K*(1-(w/Wn)^2)))*SIN(2*PI()*Wn*Sheet2!A2556) +(Po*SIN(2*PI()*w*Sheet2!A2556))/(K*(1-(w/Wn)^2))</f>
        <v>-11.446371937430069</v>
      </c>
      <c r="C2556">
        <f t="shared" si="158"/>
        <v>-0.95749519902839064</v>
      </c>
      <c r="D2556">
        <f t="shared" si="159"/>
        <v>-156.40190367666762</v>
      </c>
      <c r="R2556">
        <f t="shared" si="156"/>
        <v>2.5539999999999998</v>
      </c>
      <c r="S2556">
        <f t="shared" si="157"/>
        <v>-0.95749519902839064</v>
      </c>
    </row>
    <row r="2557" spans="1:19" x14ac:dyDescent="0.3">
      <c r="A2557">
        <v>2.5550000000000002</v>
      </c>
      <c r="B2557">
        <f>Uo*COS(2*PI()*Wn*Sheet2!A2557) + (Vo/Wn - (Po*(w/Wn))/(K*(1-(w/Wn)^2)))*SIN(2*PI()*Wn*Sheet2!A2557) +(Po*SIN(2*PI()*w*Sheet2!A2557))/(K*(1-(w/Wn)^2))</f>
        <v>-11.740920246717037</v>
      </c>
      <c r="C2557">
        <f t="shared" si="158"/>
        <v>-0.98796581185155585</v>
      </c>
      <c r="D2557">
        <f t="shared" si="159"/>
        <v>-161.37912116723427</v>
      </c>
      <c r="R2557">
        <f t="shared" si="156"/>
        <v>2.5550000000000002</v>
      </c>
      <c r="S2557">
        <f t="shared" si="157"/>
        <v>-0.98796581185155585</v>
      </c>
    </row>
    <row r="2558" spans="1:19" x14ac:dyDescent="0.3">
      <c r="A2558">
        <v>2.556</v>
      </c>
      <c r="B2558">
        <f>Uo*COS(2*PI()*Wn*Sheet2!A2558) + (Vo/Wn - (Po*(w/Wn))/(K*(1-(w/Wn)^2)))*SIN(2*PI()*Wn*Sheet2!A2558) +(Po*SIN(2*PI()*w*Sheet2!A2558))/(K*(1-(w/Wn)^2))</f>
        <v>-12.031633022858328</v>
      </c>
      <c r="C2558">
        <f t="shared" si="158"/>
        <v>-1.0180589421740383</v>
      </c>
      <c r="D2558">
        <f t="shared" si="159"/>
        <v>-166.29467883770855</v>
      </c>
      <c r="R2558">
        <f t="shared" si="156"/>
        <v>2.556</v>
      </c>
      <c r="S2558">
        <f t="shared" si="157"/>
        <v>-1.0180589421740383</v>
      </c>
    </row>
    <row r="2559" spans="1:19" x14ac:dyDescent="0.3">
      <c r="A2559">
        <v>2.5569999999999999</v>
      </c>
      <c r="B2559">
        <f>Uo*COS(2*PI()*Wn*Sheet2!A2559) + (Vo/Wn - (Po*(w/Wn))/(K*(1-(w/Wn)^2)))*SIN(2*PI()*Wn*Sheet2!A2559) +(Po*SIN(2*PI()*w*Sheet2!A2559))/(K*(1-(w/Wn)^2))</f>
        <v>-12.318415295573708</v>
      </c>
      <c r="C2559">
        <f t="shared" si="158"/>
        <v>-1.0477654496939854</v>
      </c>
      <c r="D2559">
        <f t="shared" si="159"/>
        <v>-171.14708366691252</v>
      </c>
      <c r="R2559">
        <f t="shared" si="156"/>
        <v>2.5569999999999999</v>
      </c>
      <c r="S2559">
        <f t="shared" si="157"/>
        <v>-1.0477654496939854</v>
      </c>
    </row>
    <row r="2560" spans="1:19" x14ac:dyDescent="0.3">
      <c r="A2560">
        <v>2.5579999999999998</v>
      </c>
      <c r="B2560">
        <f>Uo*COS(2*PI()*Wn*Sheet2!A2560) + (Vo/Wn - (Po*(w/Wn))/(K*(1-(w/Wn)^2)))*SIN(2*PI()*Wn*Sheet2!A2560) +(Po*SIN(2*PI()*w*Sheet2!A2560))/(K*(1-(w/Wn)^2))</f>
        <v>-12.601173378602464</v>
      </c>
      <c r="C2560">
        <f t="shared" si="158"/>
        <v>-1.0770763368034395</v>
      </c>
      <c r="D2560">
        <f t="shared" si="159"/>
        <v>-175.93486594198021</v>
      </c>
      <c r="R2560">
        <f t="shared" si="156"/>
        <v>2.5579999999999998</v>
      </c>
      <c r="S2560">
        <f t="shared" si="157"/>
        <v>-1.0770763368034395</v>
      </c>
    </row>
    <row r="2561" spans="1:19" x14ac:dyDescent="0.3">
      <c r="A2561">
        <v>2.5590000000000002</v>
      </c>
      <c r="B2561">
        <f>Uo*COS(2*PI()*Wn*Sheet2!A2561) + (Vo/Wn - (Po*(w/Wn))/(K*(1-(w/Wn)^2)))*SIN(2*PI()*Wn*Sheet2!A2561) +(Po*SIN(2*PI()*w*Sheet2!A2561))/(K*(1-(w/Wn)^2))</f>
        <v>-12.879814900309924</v>
      </c>
      <c r="C2561">
        <f t="shared" si="158"/>
        <v>-1.1059827512674174</v>
      </c>
      <c r="D2561">
        <f t="shared" si="159"/>
        <v>-180.6565796959714</v>
      </c>
      <c r="R2561">
        <f t="shared" ref="R2561:R2624" si="160">A2561</f>
        <v>2.5590000000000002</v>
      </c>
      <c r="S2561">
        <f t="shared" ref="S2561:S2624" si="161">C2561</f>
        <v>-1.1059827512674174</v>
      </c>
    </row>
    <row r="2562" spans="1:19" x14ac:dyDescent="0.3">
      <c r="A2562">
        <v>2.56</v>
      </c>
      <c r="B2562">
        <f>Uo*COS(2*PI()*Wn*Sheet2!A2562) + (Vo/Wn - (Po*(w/Wn))/(K*(1-(w/Wn)^2)))*SIN(2*PI()*Wn*Sheet2!A2562) +(Po*SIN(2*PI()*w*Sheet2!A2562))/(K*(1-(w/Wn)^2))</f>
        <v>-13.154248833862173</v>
      </c>
      <c r="C2562">
        <f t="shared" ref="C2562:C2625" si="162">EXP(-zeta*Wn*A2562*2*PI())*($H$1*COS(wnD*2*PI()*A2562) + $H$2*SIN(wnD*2*PI()*A2562)) + $H$3*SIN(w*2*PI()*A2562) + $H$4*COS(w*2*PI()*A2562)</f>
        <v>-1.1344759888505787</v>
      </c>
      <c r="D2562">
        <f t="shared" ref="D2562:D2625" si="163">K*C2562</f>
        <v>-185.31080313692451</v>
      </c>
      <c r="R2562">
        <f t="shared" si="160"/>
        <v>2.56</v>
      </c>
      <c r="S2562">
        <f t="shared" si="161"/>
        <v>-1.1344759888505787</v>
      </c>
    </row>
    <row r="2563" spans="1:19" x14ac:dyDescent="0.3">
      <c r="A2563">
        <v>2.5609999999999999</v>
      </c>
      <c r="B2563">
        <f>Uo*COS(2*PI()*Wn*Sheet2!A2563) + (Vo/Wn - (Po*(w/Wn))/(K*(1-(w/Wn)^2)))*SIN(2*PI()*Wn*Sheet2!A2563) +(Po*SIN(2*PI()*w*Sheet2!A2563))/(K*(1-(w/Wn)^2))</f>
        <v>-13.424385526964178</v>
      </c>
      <c r="C2563">
        <f t="shared" si="162"/>
        <v>-1.1625474958909738</v>
      </c>
      <c r="D2563">
        <f t="shared" si="163"/>
        <v>-189.89613906826489</v>
      </c>
      <c r="R2563">
        <f t="shared" si="160"/>
        <v>2.5609999999999999</v>
      </c>
      <c r="S2563">
        <f t="shared" si="161"/>
        <v>-1.1625474958909738</v>
      </c>
    </row>
    <row r="2564" spans="1:19" x14ac:dyDescent="0.3">
      <c r="A2564">
        <v>2.5619999999999998</v>
      </c>
      <c r="B2564">
        <f>Uo*COS(2*PI()*Wn*Sheet2!A2564) + (Vo/Wn - (Po*(w/Wn))/(K*(1-(w/Wn)^2)))*SIN(2*PI()*Wn*Sheet2!A2564) +(Po*SIN(2*PI()*w*Sheet2!A2564))/(K*(1-(w/Wn)^2))</f>
        <v>-13.690136731146723</v>
      </c>
      <c r="C2564">
        <f t="shared" si="162"/>
        <v>-1.1901888718198801</v>
      </c>
      <c r="D2564">
        <f t="shared" si="163"/>
        <v>-194.41121530040709</v>
      </c>
      <c r="R2564">
        <f t="shared" si="160"/>
        <v>2.5619999999999998</v>
      </c>
      <c r="S2564">
        <f t="shared" si="161"/>
        <v>-1.1901888718198801</v>
      </c>
    </row>
    <row r="2565" spans="1:19" x14ac:dyDescent="0.3">
      <c r="A2565">
        <v>2.5630000000000002</v>
      </c>
      <c r="B2565">
        <f>Uo*COS(2*PI()*Wn*Sheet2!A2565) + (Vo/Wn - (Po*(w/Wn))/(K*(1-(w/Wn)^2)))*SIN(2*PI()*Wn*Sheet2!A2565) +(Po*SIN(2*PI()*w*Sheet2!A2565))/(K*(1-(w/Wn)^2))</f>
        <v>-13.951415630595378</v>
      </c>
      <c r="C2565">
        <f t="shared" si="162"/>
        <v>-1.2173918716271888</v>
      </c>
      <c r="D2565">
        <f t="shared" si="163"/>
        <v>-198.85468505346321</v>
      </c>
      <c r="R2565">
        <f t="shared" si="160"/>
        <v>2.5630000000000002</v>
      </c>
      <c r="S2565">
        <f t="shared" si="161"/>
        <v>-1.2173918716271888</v>
      </c>
    </row>
    <row r="2566" spans="1:19" x14ac:dyDescent="0.3">
      <c r="A2566">
        <v>2.5640000000000001</v>
      </c>
      <c r="B2566">
        <f>Uo*COS(2*PI()*Wn*Sheet2!A2566) + (Vo/Wn - (Po*(w/Wn))/(K*(1-(w/Wn)^2)))*SIN(2*PI()*Wn*Sheet2!A2566) +(Po*SIN(2*PI()*w*Sheet2!A2566))/(K*(1-(w/Wn)^2))</f>
        <v>-14.20813687051178</v>
      </c>
      <c r="C2566">
        <f t="shared" si="162"/>
        <v>-1.2441484082714995</v>
      </c>
      <c r="D2566">
        <f t="shared" si="163"/>
        <v>-203.22522735091928</v>
      </c>
      <c r="R2566">
        <f t="shared" si="160"/>
        <v>2.5640000000000001</v>
      </c>
      <c r="S2566">
        <f t="shared" si="161"/>
        <v>-1.2441484082714995</v>
      </c>
    </row>
    <row r="2567" spans="1:19" x14ac:dyDescent="0.3">
      <c r="A2567">
        <v>2.5649999999999999</v>
      </c>
      <c r="B2567">
        <f>Uo*COS(2*PI()*Wn*Sheet2!A2567) + (Vo/Wn - (Po*(w/Wn))/(K*(1-(w/Wn)^2)))*SIN(2*PI()*Wn*Sheet2!A2567) +(Po*SIN(2*PI()*w*Sheet2!A2567))/(K*(1-(w/Wn)^2))</f>
        <v>-14.460216584997704</v>
      </c>
      <c r="C2567">
        <f t="shared" si="162"/>
        <v>-1.2704505550344543</v>
      </c>
      <c r="D2567">
        <f t="shared" si="163"/>
        <v>-207.52154740420369</v>
      </c>
      <c r="R2567">
        <f t="shared" si="160"/>
        <v>2.5649999999999999</v>
      </c>
      <c r="S2567">
        <f t="shared" si="161"/>
        <v>-1.2704505550344543</v>
      </c>
    </row>
    <row r="2568" spans="1:19" x14ac:dyDescent="0.3">
      <c r="A2568">
        <v>2.5659999999999998</v>
      </c>
      <c r="B2568">
        <f>Uo*COS(2*PI()*Wn*Sheet2!A2568) + (Vo/Wn - (Po*(w/Wn))/(K*(1-(w/Wn)^2)))*SIN(2*PI()*Wn*Sheet2!A2568) +(Po*SIN(2*PI()*w*Sheet2!A2568))/(K*(1-(w/Wn)^2))</f>
        <v>-14.707572424451737</v>
      </c>
      <c r="C2568">
        <f t="shared" si="162"/>
        <v>-1.2962905478182836</v>
      </c>
      <c r="D2568">
        <f t="shared" si="163"/>
        <v>-211.74237698797944</v>
      </c>
      <c r="R2568">
        <f t="shared" si="160"/>
        <v>2.5659999999999998</v>
      </c>
      <c r="S2568">
        <f t="shared" si="161"/>
        <v>-1.2962905478182836</v>
      </c>
    </row>
    <row r="2569" spans="1:19" x14ac:dyDescent="0.3">
      <c r="A2569">
        <v>2.5670000000000002</v>
      </c>
      <c r="B2569">
        <f>Uo*COS(2*PI()*Wn*Sheet2!A2569) + (Vo/Wn - (Po*(w/Wn))/(K*(1-(w/Wn)^2)))*SIN(2*PI()*Wn*Sheet2!A2569) +(Po*SIN(2*PI()*w*Sheet2!A2569))/(K*(1-(w/Wn)^2))</f>
        <v>-14.950123582472187</v>
      </c>
      <c r="C2569">
        <f t="shared" si="162"/>
        <v>-1.3216607873862971</v>
      </c>
      <c r="D2569">
        <f t="shared" si="163"/>
        <v>-215.88647480611667</v>
      </c>
      <c r="R2569">
        <f t="shared" si="160"/>
        <v>2.5670000000000002</v>
      </c>
      <c r="S2569">
        <f t="shared" si="161"/>
        <v>-1.3216607873862971</v>
      </c>
    </row>
    <row r="2570" spans="1:19" x14ac:dyDescent="0.3">
      <c r="A2570">
        <v>2.5680000000000001</v>
      </c>
      <c r="B2570">
        <f>Uo*COS(2*PI()*Wn*Sheet2!A2570) + (Vo/Wn - (Po*(w/Wn))/(K*(1-(w/Wn)^2)))*SIN(2*PI()*Wn*Sheet2!A2570) +(Po*SIN(2*PI()*w*Sheet2!A2570))/(K*(1-(w/Wn)^2))</f>
        <v>-15.187790822253856</v>
      </c>
      <c r="C2570">
        <f t="shared" si="162"/>
        <v>-1.3465538415454072</v>
      </c>
      <c r="D2570">
        <f t="shared" si="163"/>
        <v>-219.95262684819679</v>
      </c>
      <c r="R2570">
        <f t="shared" si="160"/>
        <v>2.5680000000000001</v>
      </c>
      <c r="S2570">
        <f t="shared" si="161"/>
        <v>-1.3465538415454072</v>
      </c>
    </row>
    <row r="2571" spans="1:19" x14ac:dyDescent="0.3">
      <c r="A2571">
        <v>2.569</v>
      </c>
      <c r="B2571">
        <f>Uo*COS(2*PI()*Wn*Sheet2!A2571) + (Vo/Wn - (Po*(w/Wn))/(K*(1-(w/Wn)^2)))*SIN(2*PI()*Wn*Sheet2!A2571) +(Po*SIN(2*PI()*w*Sheet2!A2571))/(K*(1-(w/Wn)^2))</f>
        <v>-15.420496502474389</v>
      </c>
      <c r="C2571">
        <f t="shared" si="162"/>
        <v>-1.370962447270297</v>
      </c>
      <c r="D2571">
        <f t="shared" si="163"/>
        <v>-223.93964673648426</v>
      </c>
      <c r="R2571">
        <f t="shared" si="160"/>
        <v>2.569</v>
      </c>
      <c r="S2571">
        <f t="shared" si="161"/>
        <v>-1.370962447270297</v>
      </c>
    </row>
    <row r="2572" spans="1:19" x14ac:dyDescent="0.3">
      <c r="A2572">
        <v>2.57</v>
      </c>
      <c r="B2572">
        <f>Uo*COS(2*PI()*Wn*Sheet2!A2572) + (Vo/Wn - (Po*(w/Wn))/(K*(1-(w/Wn)^2)))*SIN(2*PI()*Wn*Sheet2!A2572) +(Po*SIN(2*PI()*w*Sheet2!A2572))/(K*(1-(w/Wn)^2))</f>
        <v>-15.648164602657552</v>
      </c>
      <c r="C2572">
        <f t="shared" si="162"/>
        <v>-1.3948795127684421</v>
      </c>
      <c r="D2572">
        <f t="shared" si="163"/>
        <v>-227.8463760632373</v>
      </c>
      <c r="R2572">
        <f t="shared" si="160"/>
        <v>2.57</v>
      </c>
      <c r="S2572">
        <f t="shared" si="161"/>
        <v>-1.3948795127684421</v>
      </c>
    </row>
    <row r="2573" spans="1:19" x14ac:dyDescent="0.3">
      <c r="A2573">
        <v>2.5710000000000002</v>
      </c>
      <c r="B2573">
        <f>Uo*COS(2*PI()*Wn*Sheet2!A2573) + (Vo/Wn - (Po*(w/Wn))/(K*(1-(w/Wn)^2)))*SIN(2*PI()*Wn*Sheet2!A2573) +(Po*SIN(2*PI()*w*Sheet2!A2573))/(K*(1-(w/Wn)^2))</f>
        <v>-15.870720748007576</v>
      </c>
      <c r="C2573">
        <f t="shared" si="162"/>
        <v>-1.4182981194855739</v>
      </c>
      <c r="D2573">
        <f t="shared" si="163"/>
        <v>-231.6716847182899</v>
      </c>
      <c r="R2573">
        <f t="shared" si="160"/>
        <v>2.5710000000000002</v>
      </c>
      <c r="S2573">
        <f t="shared" si="161"/>
        <v>-1.4182981194855739</v>
      </c>
    </row>
    <row r="2574" spans="1:19" x14ac:dyDescent="0.3">
      <c r="A2574">
        <v>2.5720000000000001</v>
      </c>
      <c r="B2574">
        <f>Uo*COS(2*PI()*Wn*Sheet2!A2574) + (Vo/Wn - (Po*(w/Wn))/(K*(1-(w/Wn)^2)))*SIN(2*PI()*Wn*Sheet2!A2574) +(Po*SIN(2*PI()*w*Sheet2!A2574))/(K*(1-(w/Wn)^2))</f>
        <v>-16.088092233706238</v>
      </c>
      <c r="C2574">
        <f t="shared" si="162"/>
        <v>-1.4412115240509229</v>
      </c>
      <c r="D2574">
        <f t="shared" si="163"/>
        <v>-235.41447120679737</v>
      </c>
      <c r="R2574">
        <f t="shared" si="160"/>
        <v>2.5720000000000001</v>
      </c>
      <c r="S2574">
        <f t="shared" si="161"/>
        <v>-1.4412115240509229</v>
      </c>
    </row>
    <row r="2575" spans="1:19" x14ac:dyDescent="0.3">
      <c r="A2575">
        <v>2.573</v>
      </c>
      <c r="B2575">
        <f>Uo*COS(2*PI()*Wn*Sheet2!A2575) + (Vo/Wn - (Po*(w/Wn))/(K*(1-(w/Wn)^2)))*SIN(2*PI()*Wn*Sheet2!A2575) +(Po*SIN(2*PI()*w*Sheet2!A2575))/(K*(1-(w/Wn)^2))</f>
        <v>-16.300208048663976</v>
      </c>
      <c r="C2575">
        <f t="shared" si="162"/>
        <v>-1.4636131601618523</v>
      </c>
      <c r="D2575">
        <f t="shared" si="163"/>
        <v>-239.07366295708147</v>
      </c>
      <c r="R2575">
        <f t="shared" si="160"/>
        <v>2.573</v>
      </c>
      <c r="S2575">
        <f t="shared" si="161"/>
        <v>-1.4636131601618523</v>
      </c>
    </row>
    <row r="2576" spans="1:19" x14ac:dyDescent="0.3">
      <c r="A2576">
        <v>2.5739999999999998</v>
      </c>
      <c r="B2576">
        <f>Uo*COS(2*PI()*Wn*Sheet2!A2576) + (Vo/Wn - (Po*(w/Wn))/(K*(1-(w/Wn)^2)))*SIN(2*PI()*Wn*Sheet2!A2576) +(Po*SIN(2*PI()*w*Sheet2!A2576))/(K*(1-(w/Wn)^2))</f>
        <v>-16.506998898718074</v>
      </c>
      <c r="C2576">
        <f t="shared" si="162"/>
        <v>-1.4854966404072558</v>
      </c>
      <c r="D2576">
        <f t="shared" si="163"/>
        <v>-242.64821661847313</v>
      </c>
      <c r="R2576">
        <f t="shared" si="160"/>
        <v>2.5739999999999998</v>
      </c>
      <c r="S2576">
        <f t="shared" si="161"/>
        <v>-1.4854966404072558</v>
      </c>
    </row>
    <row r="2577" spans="1:19" x14ac:dyDescent="0.3">
      <c r="A2577">
        <v>2.5750000000000002</v>
      </c>
      <c r="B2577">
        <f>Uo*COS(2*PI()*Wn*Sheet2!A2577) + (Vo/Wn - (Po*(w/Wn))/(K*(1-(w/Wn)^2)))*SIN(2*PI()*Wn*Sheet2!A2577) +(Po*SIN(2*PI()*w*Sheet2!A2577))/(K*(1-(w/Wn)^2))</f>
        <v>-16.70839722926965</v>
      </c>
      <c r="C2577">
        <f t="shared" si="162"/>
        <v>-1.5068557580292279</v>
      </c>
      <c r="D2577">
        <f t="shared" si="163"/>
        <v>-246.13711834907204</v>
      </c>
      <c r="R2577">
        <f t="shared" si="160"/>
        <v>2.5750000000000002</v>
      </c>
      <c r="S2577">
        <f t="shared" si="161"/>
        <v>-1.5068557580292279</v>
      </c>
    </row>
    <row r="2578" spans="1:19" x14ac:dyDescent="0.3">
      <c r="A2578">
        <v>2.5760000000000001</v>
      </c>
      <c r="B2578">
        <f>Uo*COS(2*PI()*Wn*Sheet2!A2578) + (Vo/Wn - (Po*(w/Wn))/(K*(1-(w/Wn)^2)))*SIN(2*PI()*Wn*Sheet2!A2578) +(Po*SIN(2*PI()*w*Sheet2!A2578))/(K*(1-(w/Wn)^2))</f>
        <v>-16.904337247351908</v>
      </c>
      <c r="C2578">
        <f t="shared" si="162"/>
        <v>-1.5276844886226393</v>
      </c>
      <c r="D2578">
        <f t="shared" si="163"/>
        <v>-249.53938409336365</v>
      </c>
      <c r="R2578">
        <f t="shared" si="160"/>
        <v>2.5760000000000001</v>
      </c>
      <c r="S2578">
        <f t="shared" si="161"/>
        <v>-1.5276844886226393</v>
      </c>
    </row>
    <row r="2579" spans="1:19" x14ac:dyDescent="0.3">
      <c r="A2579">
        <v>2.577</v>
      </c>
      <c r="B2579">
        <f>Uo*COS(2*PI()*Wn*Sheet2!A2579) + (Vo/Wn - (Po*(w/Wn))/(K*(1-(w/Wn)^2)))*SIN(2*PI()*Wn*Sheet2!A2579) +(Po*SIN(2*PI()*w*Sheet2!A2579))/(K*(1-(w/Wn)^2))</f>
        <v>-17.094754943124371</v>
      </c>
      <c r="C2579">
        <f t="shared" si="162"/>
        <v>-1.5479769917721646</v>
      </c>
      <c r="D2579">
        <f t="shared" si="163"/>
        <v>-252.85405984961926</v>
      </c>
      <c r="R2579">
        <f t="shared" si="160"/>
        <v>2.577</v>
      </c>
      <c r="S2579">
        <f t="shared" si="161"/>
        <v>-1.5479769917721646</v>
      </c>
    </row>
    <row r="2580" spans="1:19" x14ac:dyDescent="0.3">
      <c r="A2580">
        <v>2.5779999999999998</v>
      </c>
      <c r="B2580">
        <f>Uo*COS(2*PI()*Wn*Sheet2!A2580) + (Vo/Wn - (Po*(w/Wn))/(K*(1-(w/Wn)^2)))*SIN(2*PI()*Wn*Sheet2!A2580) +(Po*SIN(2*PI()*w*Sheet2!A2580))/(K*(1-(w/Wn)^2))</f>
        <v>-17.279588110783109</v>
      </c>
      <c r="C2580">
        <f t="shared" si="162"/>
        <v>-1.5677276126262185</v>
      </c>
      <c r="D2580">
        <f t="shared" si="163"/>
        <v>-256.08022192699019</v>
      </c>
      <c r="R2580">
        <f t="shared" si="160"/>
        <v>2.5779999999999998</v>
      </c>
      <c r="S2580">
        <f t="shared" si="161"/>
        <v>-1.5677276126262185</v>
      </c>
    </row>
    <row r="2581" spans="1:19" x14ac:dyDescent="0.3">
      <c r="A2581">
        <v>2.5790000000000002</v>
      </c>
      <c r="B2581">
        <f>Uo*COS(2*PI()*Wn*Sheet2!A2581) + (Vo/Wn - (Po*(w/Wn))/(K*(1-(w/Wn)^2)))*SIN(2*PI()*Wn*Sheet2!A2581) +(Po*SIN(2*PI()*w*Sheet2!A2581))/(K*(1-(w/Wn)^2))</f>
        <v>-17.45877636888213</v>
      </c>
      <c r="C2581">
        <f t="shared" si="162"/>
        <v>-1.5869308834075391</v>
      </c>
      <c r="D2581">
        <f t="shared" si="163"/>
        <v>-259.21697719225392</v>
      </c>
      <c r="R2581">
        <f t="shared" si="160"/>
        <v>2.5790000000000002</v>
      </c>
      <c r="S2581">
        <f t="shared" si="161"/>
        <v>-1.5869308834075391</v>
      </c>
    </row>
    <row r="2582" spans="1:19" x14ac:dyDescent="0.3">
      <c r="A2582">
        <v>2.58</v>
      </c>
      <c r="B2582">
        <f>Uo*COS(2*PI()*Wn*Sheet2!A2582) + (Vo/Wn - (Po*(w/Wn))/(K*(1-(w/Wn)^2)))*SIN(2*PI()*Wn*Sheet2!A2582) +(Po*SIN(2*PI()*w*Sheet2!A2582))/(K*(1-(w/Wn)^2))</f>
        <v>-17.632261180059047</v>
      </c>
      <c r="C2582">
        <f t="shared" si="162"/>
        <v>-1.605581524859945</v>
      </c>
      <c r="D2582">
        <f t="shared" si="163"/>
        <v>-262.26346330613444</v>
      </c>
      <c r="R2582">
        <f t="shared" si="160"/>
        <v>2.58</v>
      </c>
      <c r="S2582">
        <f t="shared" si="161"/>
        <v>-1.605581524859945</v>
      </c>
    </row>
    <row r="2583" spans="1:19" x14ac:dyDescent="0.3">
      <c r="A2583">
        <v>2.581</v>
      </c>
      <c r="B2583">
        <f>Uo*COS(2*PI()*Wn*Sheet2!A2583) + (Vo/Wn - (Po*(w/Wn))/(K*(1-(w/Wn)^2)))*SIN(2*PI()*Wn*Sheet2!A2583) +(Po*SIN(2*PI()*w*Sheet2!A2583))/(K*(1-(w/Wn)^2))</f>
        <v>-17.799985870157972</v>
      </c>
      <c r="C2583">
        <f t="shared" si="162"/>
        <v>-1.6236744476310068</v>
      </c>
      <c r="D2583">
        <f t="shared" si="163"/>
        <v>-265.21884894915434</v>
      </c>
      <c r="R2583">
        <f t="shared" si="160"/>
        <v>2.581</v>
      </c>
      <c r="S2583">
        <f t="shared" si="161"/>
        <v>-1.6236744476310068</v>
      </c>
    </row>
    <row r="2584" spans="1:19" x14ac:dyDescent="0.3">
      <c r="A2584">
        <v>2.5819999999999999</v>
      </c>
      <c r="B2584">
        <f>Uo*COS(2*PI()*Wn*Sheet2!A2584) + (Vo/Wn - (Po*(w/Wn))/(K*(1-(w/Wn)^2)))*SIN(2*PI()*Wn*Sheet2!A2584) +(Po*SIN(2*PI()*w*Sheet2!A2584))/(K*(1-(w/Wn)^2))</f>
        <v>-17.961895646744079</v>
      </c>
      <c r="C2584">
        <f t="shared" si="162"/>
        <v>-1.6412047535902052</v>
      </c>
      <c r="D2584">
        <f t="shared" si="163"/>
        <v>-268.08233403694931</v>
      </c>
      <c r="R2584">
        <f t="shared" si="160"/>
        <v>2.5819999999999999</v>
      </c>
      <c r="S2584">
        <f t="shared" si="161"/>
        <v>-1.6412047535902052</v>
      </c>
    </row>
    <row r="2585" spans="1:19" x14ac:dyDescent="0.3">
      <c r="A2585">
        <v>2.5830000000000002</v>
      </c>
      <c r="B2585">
        <f>Uo*COS(2*PI()*Wn*Sheet2!A2585) + (Vo/Wn - (Po*(w/Wn))/(K*(1-(w/Wn)^2)))*SIN(2*PI()*Wn*Sheet2!A2585) +(Po*SIN(2*PI()*w*Sheet2!A2585))/(K*(1-(w/Wn)^2))</f>
        <v>-18.117937617003165</v>
      </c>
      <c r="C2585">
        <f t="shared" si="162"/>
        <v>-1.6581677370822703</v>
      </c>
      <c r="D2585">
        <f t="shared" si="163"/>
        <v>-270.85314992499451</v>
      </c>
      <c r="R2585">
        <f t="shared" si="160"/>
        <v>2.5830000000000002</v>
      </c>
      <c r="S2585">
        <f t="shared" si="161"/>
        <v>-1.6581677370822703</v>
      </c>
    </row>
    <row r="2586" spans="1:19" x14ac:dyDescent="0.3">
      <c r="A2586">
        <v>2.5840000000000001</v>
      </c>
      <c r="B2586">
        <f>Uo*COS(2*PI()*Wn*Sheet2!A2586) + (Vo/Wn - (Po*(w/Wn))/(K*(1-(w/Wn)^2)))*SIN(2*PI()*Wn*Sheet2!A2586) +(Po*SIN(2*PI()*w*Sheet2!A2586))/(K*(1-(w/Wn)^2))</f>
        <v>-18.268060805020276</v>
      </c>
      <c r="C2586">
        <f t="shared" si="162"/>
        <v>-1.6745588861154668</v>
      </c>
      <c r="D2586">
        <f t="shared" si="163"/>
        <v>-273.53055960270495</v>
      </c>
      <c r="R2586">
        <f t="shared" si="160"/>
        <v>2.5840000000000001</v>
      </c>
      <c r="S2586">
        <f t="shared" si="161"/>
        <v>-1.6745588861154668</v>
      </c>
    </row>
    <row r="2587" spans="1:19" x14ac:dyDescent="0.3">
      <c r="A2587">
        <v>2.585</v>
      </c>
      <c r="B2587">
        <f>Uo*COS(2*PI()*Wn*Sheet2!A2587) + (Vo/Wn - (Po*(w/Wn))/(K*(1-(w/Wn)^2)))*SIN(2*PI()*Wn*Sheet2!A2587) +(Po*SIN(2*PI()*w*Sheet2!A2587))/(K*(1-(w/Wn)^2))</f>
        <v>-18.412216168433318</v>
      </c>
      <c r="C2587">
        <f t="shared" si="162"/>
        <v>-1.6903738834845516</v>
      </c>
      <c r="D2587">
        <f t="shared" si="163"/>
        <v>-276.11385787686481</v>
      </c>
      <c r="R2587">
        <f t="shared" si="160"/>
        <v>2.585</v>
      </c>
      <c r="S2587">
        <f t="shared" si="161"/>
        <v>-1.6903738834845516</v>
      </c>
    </row>
    <row r="2588" spans="1:19" x14ac:dyDescent="0.3">
      <c r="A2588">
        <v>2.5859999999999999</v>
      </c>
      <c r="B2588">
        <f>Uo*COS(2*PI()*Wn*Sheet2!A2588) + (Vo/Wn - (Po*(w/Wn))/(K*(1-(w/Wn)^2)))*SIN(2*PI()*Wn*Sheet2!A2588) +(Po*SIN(2*PI()*w*Sheet2!A2588))/(K*(1-(w/Wn)^2))</f>
        <v>-18.550356614453797</v>
      </c>
      <c r="C2588">
        <f t="shared" si="162"/>
        <v>-1.7056086078280752</v>
      </c>
      <c r="D2588">
        <f t="shared" si="163"/>
        <v>-278.60237154433196</v>
      </c>
      <c r="R2588">
        <f t="shared" si="160"/>
        <v>2.5859999999999999</v>
      </c>
      <c r="S2588">
        <f t="shared" si="161"/>
        <v>-1.7056086078280752</v>
      </c>
    </row>
    <row r="2589" spans="1:19" x14ac:dyDescent="0.3">
      <c r="A2589">
        <v>2.5870000000000002</v>
      </c>
      <c r="B2589">
        <f>Uo*COS(2*PI()*Wn*Sheet2!A2589) + (Vo/Wn - (Po*(w/Wn))/(K*(1-(w/Wn)^2)))*SIN(2*PI()*Wn*Sheet2!A2589) +(Po*SIN(2*PI()*w*Sheet2!A2589))/(K*(1-(w/Wn)^2))</f>
        <v>-18.682437015251104</v>
      </c>
      <c r="C2589">
        <f t="shared" si="162"/>
        <v>-1.7202591346198843</v>
      </c>
      <c r="D2589">
        <f t="shared" si="163"/>
        <v>-280.9954595539952</v>
      </c>
      <c r="R2589">
        <f t="shared" si="160"/>
        <v>2.5870000000000002</v>
      </c>
      <c r="S2589">
        <f t="shared" si="161"/>
        <v>-1.7202591346198843</v>
      </c>
    </row>
    <row r="2590" spans="1:19" x14ac:dyDescent="0.3">
      <c r="A2590">
        <v>2.5880000000000001</v>
      </c>
      <c r="B2590">
        <f>Uo*COS(2*PI()*Wn*Sheet2!A2590) + (Vo/Wn - (Po*(w/Wn))/(K*(1-(w/Wn)^2)))*SIN(2*PI()*Wn*Sheet2!A2590) +(Po*SIN(2*PI()*w*Sheet2!A2590))/(K*(1-(w/Wn)^2))</f>
        <v>-18.80841422269507</v>
      </c>
      <c r="C2590">
        <f t="shared" si="162"/>
        <v>-1.7343217370945627</v>
      </c>
      <c r="D2590">
        <f t="shared" si="163"/>
        <v>-283.29251315793994</v>
      </c>
      <c r="R2590">
        <f t="shared" si="160"/>
        <v>2.5880000000000001</v>
      </c>
      <c r="S2590">
        <f t="shared" si="161"/>
        <v>-1.7343217370945627</v>
      </c>
    </row>
    <row r="2591" spans="1:19" x14ac:dyDescent="0.3">
      <c r="A2591">
        <v>2.589</v>
      </c>
      <c r="B2591">
        <f>Uo*COS(2*PI()*Wn*Sheet2!A2591) + (Vo/Wn - (Po*(w/Wn))/(K*(1-(w/Wn)^2)))*SIN(2*PI()*Wn*Sheet2!A2591) +(Po*SIN(2*PI()*w*Sheet2!A2591))/(K*(1-(w/Wn)^2))</f>
        <v>-18.92824708245152</v>
      </c>
      <c r="C2591">
        <f t="shared" si="162"/>
        <v>-1.7477928871066979</v>
      </c>
      <c r="D2591">
        <f t="shared" si="163"/>
        <v>-285.49295605180492</v>
      </c>
      <c r="R2591">
        <f t="shared" si="160"/>
        <v>2.589</v>
      </c>
      <c r="S2591">
        <f t="shared" si="161"/>
        <v>-1.7477928871066979</v>
      </c>
    </row>
    <row r="2592" spans="1:19" x14ac:dyDescent="0.3">
      <c r="A2592">
        <v>2.59</v>
      </c>
      <c r="B2592">
        <f>Uo*COS(2*PI()*Wn*Sheet2!A2592) + (Vo/Wn - (Po*(w/Wn))/(K*(1-(w/Wn)^2)))*SIN(2*PI()*Wn*Sheet2!A2592) +(Po*SIN(2*PI()*w*Sheet2!A2592))/(K*(1-(w/Wn)^2))</f>
        <v>-19.041896447426765</v>
      </c>
      <c r="C2592">
        <f t="shared" si="162"/>
        <v>-1.76066925592375</v>
      </c>
      <c r="D2592">
        <f t="shared" si="163"/>
        <v>-287.59624450429368</v>
      </c>
      <c r="R2592">
        <f t="shared" si="160"/>
        <v>2.59</v>
      </c>
      <c r="S2592">
        <f t="shared" si="161"/>
        <v>-1.76066925592375</v>
      </c>
    </row>
    <row r="2593" spans="1:19" x14ac:dyDescent="0.3">
      <c r="A2593">
        <v>2.5910000000000002</v>
      </c>
      <c r="B2593">
        <f>Uo*COS(2*PI()*Wn*Sheet2!A2593) + (Vo/Wn - (Po*(w/Wn))/(K*(1-(w/Wn)^2)))*SIN(2*PI()*Wn*Sheet2!A2593) +(Po*SIN(2*PI()*w*Sheet2!A2593))/(K*(1-(w/Wn)^2))</f>
        <v>-19.149325190556134</v>
      </c>
      <c r="C2593">
        <f t="shared" si="162"/>
        <v>-1.7729477149523665</v>
      </c>
      <c r="D2593">
        <f t="shared" si="163"/>
        <v>-289.60186747581383</v>
      </c>
      <c r="R2593">
        <f t="shared" si="160"/>
        <v>2.5910000000000002</v>
      </c>
      <c r="S2593">
        <f t="shared" si="161"/>
        <v>-1.7729477149523665</v>
      </c>
    </row>
    <row r="2594" spans="1:19" x14ac:dyDescent="0.3">
      <c r="A2594">
        <v>2.5920000000000001</v>
      </c>
      <c r="B2594">
        <f>Uo*COS(2*PI()*Wn*Sheet2!A2594) + (Vo/Wn - (Po*(w/Wn))/(K*(1-(w/Wn)^2)))*SIN(2*PI()*Wn*Sheet2!A2594) +(Po*SIN(2*PI()*w*Sheet2!A2594))/(K*(1-(w/Wn)^2))</f>
        <v>-19.250498216932368</v>
      </c>
      <c r="C2594">
        <f t="shared" si="162"/>
        <v>-1.7846253363981055</v>
      </c>
      <c r="D2594">
        <f t="shared" si="163"/>
        <v>-291.5093467262397</v>
      </c>
      <c r="R2594">
        <f t="shared" si="160"/>
        <v>2.5920000000000001</v>
      </c>
      <c r="S2594">
        <f t="shared" si="161"/>
        <v>-1.7846253363981055</v>
      </c>
    </row>
    <row r="2595" spans="1:19" x14ac:dyDescent="0.3">
      <c r="A2595">
        <v>2.593</v>
      </c>
      <c r="B2595">
        <f>Uo*COS(2*PI()*Wn*Sheet2!A2595) + (Vo/Wn - (Po*(w/Wn))/(K*(1-(w/Wn)^2)))*SIN(2*PI()*Wn*Sheet2!A2595) +(Po*SIN(2*PI()*w*Sheet2!A2595))/(K*(1-(w/Wn)^2))</f>
        <v>-19.345382475271037</v>
      </c>
      <c r="C2595">
        <f t="shared" si="162"/>
        <v>-1.7956993938584394</v>
      </c>
      <c r="D2595">
        <f t="shared" si="163"/>
        <v>-293.31823691177647</v>
      </c>
      <c r="R2595">
        <f t="shared" si="160"/>
        <v>2.593</v>
      </c>
      <c r="S2595">
        <f t="shared" si="161"/>
        <v>-1.7956993938584394</v>
      </c>
    </row>
    <row r="2596" spans="1:19" x14ac:dyDescent="0.3">
      <c r="A2596">
        <v>2.5939999999999999</v>
      </c>
      <c r="B2596">
        <f>Uo*COS(2*PI()*Wn*Sheet2!A2596) + (Vo/Wn - (Po*(w/Wn))/(K*(1-(w/Wn)^2)))*SIN(2*PI()*Wn*Sheet2!A2596) +(Po*SIN(2*PI()*w*Sheet2!A2596))/(K*(1-(w/Wn)^2))</f>
        <v>-19.433946968707232</v>
      </c>
      <c r="C2596">
        <f t="shared" si="162"/>
        <v>-1.806167362848917</v>
      </c>
      <c r="D2596">
        <f t="shared" si="163"/>
        <v>-295.02812567090587</v>
      </c>
      <c r="R2596">
        <f t="shared" si="160"/>
        <v>2.5939999999999999</v>
      </c>
      <c r="S2596">
        <f t="shared" si="161"/>
        <v>-1.806167362848917</v>
      </c>
    </row>
    <row r="2597" spans="1:19" x14ac:dyDescent="0.3">
      <c r="A2597">
        <v>2.5950000000000002</v>
      </c>
      <c r="B2597">
        <f>Uo*COS(2*PI()*Wn*Sheet2!A2597) + (Vo/Wn - (Po*(w/Wn))/(K*(1-(w/Wn)^2)))*SIN(2*PI()*Wn*Sheet2!A2597) +(Po*SIN(2*PI()*w*Sheet2!A2597))/(K*(1-(w/Wn)^2))</f>
        <v>-19.516162764922019</v>
      </c>
      <c r="C2597">
        <f t="shared" si="162"/>
        <v>-1.8160269212624929</v>
      </c>
      <c r="D2597">
        <f t="shared" si="163"/>
        <v>-296.63863369941544</v>
      </c>
      <c r="R2597">
        <f t="shared" si="160"/>
        <v>2.5950000000000002</v>
      </c>
      <c r="S2597">
        <f t="shared" si="161"/>
        <v>-1.8160269212624929</v>
      </c>
    </row>
    <row r="2598" spans="1:19" x14ac:dyDescent="0.3">
      <c r="A2598">
        <v>2.5960000000000001</v>
      </c>
      <c r="B2598">
        <f>Uo*COS(2*PI()*Wn*Sheet2!A2598) + (Vo/Wn - (Po*(w/Wn))/(K*(1-(w/Wn)^2)))*SIN(2*PI()*Wn*Sheet2!A2598) +(Po*SIN(2*PI()*w*Sheet2!A2598))/(K*(1-(w/Wn)^2))</f>
        <v>-19.592003005593781</v>
      </c>
      <c r="C2598">
        <f t="shared" si="162"/>
        <v>-1.8252759497619695</v>
      </c>
      <c r="D2598">
        <f t="shared" si="163"/>
        <v>-298.14941481450177</v>
      </c>
      <c r="R2598">
        <f t="shared" si="160"/>
        <v>2.5960000000000001</v>
      </c>
      <c r="S2598">
        <f t="shared" si="161"/>
        <v>-1.8252759497619695</v>
      </c>
    </row>
    <row r="2599" spans="1:19" x14ac:dyDescent="0.3">
      <c r="A2599">
        <v>2.597</v>
      </c>
      <c r="B2599">
        <f>Uo*COS(2*PI()*Wn*Sheet2!A2599) + (Vo/Wn - (Po*(w/Wn))/(K*(1-(w/Wn)^2)))*SIN(2*PI()*Wn*Sheet2!A2599) +(Po*SIN(2*PI()*w*Sheet2!A2599))/(K*(1-(w/Wn)^2))</f>
        <v>-19.661442915172486</v>
      </c>
      <c r="C2599">
        <f t="shared" si="162"/>
        <v>-1.8339125321055652</v>
      </c>
      <c r="D2599">
        <f t="shared" si="163"/>
        <v>-299.56015600795041</v>
      </c>
      <c r="R2599">
        <f t="shared" si="160"/>
        <v>2.597</v>
      </c>
      <c r="S2599">
        <f t="shared" si="161"/>
        <v>-1.8339125321055652</v>
      </c>
    </row>
    <row r="2600" spans="1:19" x14ac:dyDescent="0.3">
      <c r="A2600">
        <v>2.5979999999999999</v>
      </c>
      <c r="B2600">
        <f>Uo*COS(2*PI()*Wn*Sheet2!A2600) + (Vo/Wn - (Po*(w/Wn))/(K*(1-(w/Wn)^2)))*SIN(2*PI()*Wn*Sheet2!A2600) +(Po*SIN(2*PI()*w*Sheet2!A2600))/(K*(1-(w/Wn)^2))</f>
        <v>-19.724459808973371</v>
      </c>
      <c r="C2600">
        <f t="shared" si="162"/>
        <v>-1.8419349554055735</v>
      </c>
      <c r="D2600">
        <f t="shared" si="163"/>
        <v>-300.87057748838663</v>
      </c>
      <c r="R2600">
        <f t="shared" si="160"/>
        <v>2.5979999999999999</v>
      </c>
      <c r="S2600">
        <f t="shared" si="161"/>
        <v>-1.8419349554055735</v>
      </c>
    </row>
    <row r="2601" spans="1:19" x14ac:dyDescent="0.3">
      <c r="A2601">
        <v>2.5990000000000002</v>
      </c>
      <c r="B2601">
        <f>Uo*COS(2*PI()*Wn*Sheet2!A2601) + (Vo/Wn - (Po*(w/Wn))/(K*(1-(w/Wn)^2)))*SIN(2*PI()*Wn*Sheet2!A2601) +(Po*SIN(2*PI()*w*Sheet2!A2601))/(K*(1-(w/Wn)^2))</f>
        <v>-19.781033100587603</v>
      </c>
      <c r="C2601">
        <f t="shared" si="162"/>
        <v>-1.849341710320237</v>
      </c>
      <c r="D2601">
        <f t="shared" si="163"/>
        <v>-302.08043271261687</v>
      </c>
      <c r="R2601">
        <f t="shared" si="160"/>
        <v>2.5990000000000002</v>
      </c>
      <c r="S2601">
        <f t="shared" si="161"/>
        <v>-1.849341710320237</v>
      </c>
    </row>
    <row r="2602" spans="1:19" x14ac:dyDescent="0.3">
      <c r="A2602">
        <v>2.6</v>
      </c>
      <c r="B2602">
        <f>Uo*COS(2*PI()*Wn*Sheet2!A2602) + (Vo/Wn - (Po*(w/Wn))/(K*(1-(w/Wn)^2)))*SIN(2*PI()*Wn*Sheet2!A2602) +(Po*SIN(2*PI()*w*Sheet2!A2602))/(K*(1-(w/Wn)^2))</f>
        <v>-19.831144308607279</v>
      </c>
      <c r="C2602">
        <f t="shared" si="162"/>
        <v>-1.8561314911787588</v>
      </c>
      <c r="D2602">
        <f t="shared" si="163"/>
        <v>-303.18950840604884</v>
      </c>
      <c r="R2602">
        <f t="shared" si="160"/>
        <v>2.6</v>
      </c>
      <c r="S2602">
        <f t="shared" si="161"/>
        <v>-1.8561314911787588</v>
      </c>
    </row>
    <row r="2603" spans="1:19" x14ac:dyDescent="0.3">
      <c r="A2603">
        <v>2.601</v>
      </c>
      <c r="B2603">
        <f>Uo*COS(2*PI()*Wn*Sheet2!A2603) + (Vo/Wn - (Po*(w/Wn))/(K*(1-(w/Wn)^2)))*SIN(2*PI()*Wn*Sheet2!A2603) +(Po*SIN(2*PI()*w*Sheet2!A2603))/(K*(1-(w/Wn)^2))</f>
        <v>-19.874777062663249</v>
      </c>
      <c r="C2603">
        <f t="shared" si="162"/>
        <v>-1.8623031960397038</v>
      </c>
      <c r="D2603">
        <f t="shared" si="163"/>
        <v>-304.19762457223101</v>
      </c>
      <c r="R2603">
        <f t="shared" si="160"/>
        <v>2.601</v>
      </c>
      <c r="S2603">
        <f t="shared" si="161"/>
        <v>-1.8623031960397038</v>
      </c>
    </row>
    <row r="2604" spans="1:19" x14ac:dyDescent="0.3">
      <c r="A2604">
        <v>2.6019999999999999</v>
      </c>
      <c r="B2604">
        <f>Uo*COS(2*PI()*Wn*Sheet2!A2604) + (Vo/Wn - (Po*(w/Wn))/(K*(1-(w/Wn)^2)))*SIN(2*PI()*Wn*Sheet2!A2604) +(Po*SIN(2*PI()*w*Sheet2!A2604))/(K*(1-(w/Wn)^2))</f>
        <v>-19.911917108772755</v>
      </c>
      <c r="C2604">
        <f t="shared" si="162"/>
        <v>-1.8678559266827364</v>
      </c>
      <c r="D2604">
        <f t="shared" si="163"/>
        <v>-305.10463449150302</v>
      </c>
      <c r="R2604">
        <f t="shared" si="160"/>
        <v>2.6019999999999999</v>
      </c>
      <c r="S2604">
        <f t="shared" si="161"/>
        <v>-1.8678559266827364</v>
      </c>
    </row>
    <row r="2605" spans="1:19" x14ac:dyDescent="0.3">
      <c r="A2605">
        <v>2.6030000000000002</v>
      </c>
      <c r="B2605">
        <f>Uo*COS(2*PI()*Wn*Sheet2!A2605) + (Vo/Wn - (Po*(w/Wn))/(K*(1-(w/Wn)^2)))*SIN(2*PI()*Wn*Sheet2!A2605) +(Po*SIN(2*PI()*w*Sheet2!A2605))/(K*(1-(w/Wn)^2))</f>
        <v>-19.942552313996075</v>
      </c>
      <c r="C2605">
        <f t="shared" si="162"/>
        <v>-1.8727889885339088</v>
      </c>
      <c r="D2605">
        <f t="shared" si="163"/>
        <v>-305.91042470879188</v>
      </c>
      <c r="R2605">
        <f t="shared" si="160"/>
        <v>2.6030000000000002</v>
      </c>
      <c r="S2605">
        <f t="shared" si="161"/>
        <v>-1.8727889885339088</v>
      </c>
    </row>
    <row r="2606" spans="1:19" x14ac:dyDescent="0.3">
      <c r="A2606">
        <v>2.6040000000000001</v>
      </c>
      <c r="B2606">
        <f>Uo*COS(2*PI()*Wn*Sheet2!A2606) + (Vo/Wn - (Po*(w/Wn))/(K*(1-(w/Wn)^2)))*SIN(2*PI()*Wn*Sheet2!A2606) +(Po*SIN(2*PI()*w*Sheet2!A2606))/(K*(1-(w/Wn)^2))</f>
        <v>-19.96667267040004</v>
      </c>
      <c r="C2606">
        <f t="shared" si="162"/>
        <v>-1.877101890524604</v>
      </c>
      <c r="D2606">
        <f t="shared" si="163"/>
        <v>-306.61491501057105</v>
      </c>
      <c r="R2606">
        <f t="shared" si="160"/>
        <v>2.6040000000000001</v>
      </c>
      <c r="S2606">
        <f t="shared" si="161"/>
        <v>-1.877101890524604</v>
      </c>
    </row>
    <row r="2607" spans="1:19" x14ac:dyDescent="0.3">
      <c r="A2607">
        <v>2.605</v>
      </c>
      <c r="B2607">
        <f>Uo*COS(2*PI()*Wn*Sheet2!A2607) + (Vo/Wn - (Po*(w/Wn))/(K*(1-(w/Wn)^2)))*SIN(2*PI()*Wn*Sheet2!A2607) +(Po*SIN(2*PI()*w*Sheet2!A2607))/(K*(1-(w/Wn)^2))</f>
        <v>-19.98427029832747</v>
      </c>
      <c r="C2607">
        <f t="shared" si="162"/>
        <v>-1.8807943448843285</v>
      </c>
      <c r="D2607">
        <f t="shared" si="163"/>
        <v>-307.21805839101427</v>
      </c>
      <c r="R2607">
        <f t="shared" si="160"/>
        <v>2.605</v>
      </c>
      <c r="S2607">
        <f t="shared" si="161"/>
        <v>-1.8807943448843285</v>
      </c>
    </row>
    <row r="2608" spans="1:19" x14ac:dyDescent="0.3">
      <c r="A2608">
        <v>2.6059999999999999</v>
      </c>
      <c r="B2608">
        <f>Uo*COS(2*PI()*Wn*Sheet2!A2608) + (Vo/Wn - (Po*(w/Wn))/(K*(1-(w/Wn)^2)))*SIN(2*PI()*Wn*Sheet2!A2608) +(Po*SIN(2*PI()*w*Sheet2!A2608))/(K*(1-(w/Wn)^2))</f>
        <v>-19.995339448971315</v>
      </c>
      <c r="C2608">
        <f t="shared" si="162"/>
        <v>-1.8838662668675095</v>
      </c>
      <c r="D2608">
        <f t="shared" si="163"/>
        <v>-307.71984100736915</v>
      </c>
      <c r="R2608">
        <f t="shared" si="160"/>
        <v>2.6059999999999999</v>
      </c>
      <c r="S2608">
        <f t="shared" si="161"/>
        <v>-1.8838662668675095</v>
      </c>
    </row>
    <row r="2609" spans="1:19" x14ac:dyDescent="0.3">
      <c r="A2609">
        <v>2.6070000000000002</v>
      </c>
      <c r="B2609">
        <f>Uo*COS(2*PI()*Wn*Sheet2!A2609) + (Vo/Wn - (Po*(w/Wn))/(K*(1-(w/Wn)^2)))*SIN(2*PI()*Wn*Sheet2!A2609) +(Po*SIN(2*PI()*w*Sheet2!A2609))/(K*(1-(w/Wn)^2))</f>
        <v>-19.999876506252651</v>
      </c>
      <c r="C2609">
        <f t="shared" si="162"/>
        <v>-1.8863177744145336</v>
      </c>
      <c r="D2609">
        <f t="shared" si="163"/>
        <v>-308.12028212458972</v>
      </c>
      <c r="R2609">
        <f t="shared" si="160"/>
        <v>2.6070000000000002</v>
      </c>
      <c r="S2609">
        <f t="shared" si="161"/>
        <v>-1.8863177744145336</v>
      </c>
    </row>
    <row r="2610" spans="1:19" x14ac:dyDescent="0.3">
      <c r="A2610">
        <v>2.6080000000000001</v>
      </c>
      <c r="B2610">
        <f>Uo*COS(2*PI()*Wn*Sheet2!A2610) + (Vo/Wn - (Po*(w/Wn))/(K*(1-(w/Wn)^2)))*SIN(2*PI()*Wn*Sheet2!A2610) +(Po*SIN(2*PI()*w*Sheet2!A2610))/(K*(1-(w/Wn)^2))</f>
        <v>-19.997879988002008</v>
      </c>
      <c r="C2610">
        <f t="shared" si="162"/>
        <v>-1.8881491877472256</v>
      </c>
      <c r="D2610">
        <f t="shared" si="163"/>
        <v>-308.41943404925996</v>
      </c>
      <c r="R2610">
        <f t="shared" si="160"/>
        <v>2.6080000000000001</v>
      </c>
      <c r="S2610">
        <f t="shared" si="161"/>
        <v>-1.8881491877472256</v>
      </c>
    </row>
    <row r="2611" spans="1:19" x14ac:dyDescent="0.3">
      <c r="A2611">
        <v>2.609</v>
      </c>
      <c r="B2611">
        <f>Uo*COS(2*PI()*Wn*Sheet2!A2611) + (Vo/Wn - (Po*(w/Wn))/(K*(1-(w/Wn)^2)))*SIN(2*PI()*Wn*Sheet2!A2611) +(Po*SIN(2*PI()*w*Sheet2!A2611))/(K*(1-(w/Wn)^2))</f>
        <v>-19.989350546443546</v>
      </c>
      <c r="C2611">
        <f t="shared" si="162"/>
        <v>-1.8893610288990628</v>
      </c>
      <c r="D2611">
        <f t="shared" si="163"/>
        <v>-308.61738205285661</v>
      </c>
      <c r="R2611">
        <f t="shared" si="160"/>
        <v>2.609</v>
      </c>
      <c r="S2611">
        <f t="shared" si="161"/>
        <v>-1.8893610288990628</v>
      </c>
    </row>
    <row r="2612" spans="1:19" x14ac:dyDescent="0.3">
      <c r="A2612">
        <v>2.61</v>
      </c>
      <c r="B2612">
        <f>Uo*COS(2*PI()*Wn*Sheet2!A2612) + (Vo/Wn - (Po*(w/Wn))/(K*(1-(w/Wn)^2)))*SIN(2*PI()*Wn*Sheet2!A2612) +(Po*SIN(2*PI()*w*Sheet2!A2612))/(K*(1-(w/Wn)^2))</f>
        <v>-19.974290967982014</v>
      </c>
      <c r="C2612">
        <f t="shared" si="162"/>
        <v>-1.8899540211803421</v>
      </c>
      <c r="D2612">
        <f t="shared" si="163"/>
        <v>-308.71424428438718</v>
      </c>
      <c r="R2612">
        <f t="shared" si="160"/>
        <v>2.61</v>
      </c>
      <c r="S2612">
        <f t="shared" si="161"/>
        <v>-1.8899540211803421</v>
      </c>
    </row>
    <row r="2613" spans="1:19" x14ac:dyDescent="0.3">
      <c r="A2613">
        <v>2.6110000000000002</v>
      </c>
      <c r="B2613">
        <f>Uo*COS(2*PI()*Wn*Sheet2!A2613) + (Vo/Wn - (Po*(w/Wn))/(K*(1-(w/Wn)^2)))*SIN(2*PI()*Wn*Sheet2!A2613) +(Po*SIN(2*PI()*w*Sheet2!A2613))/(K*(1-(w/Wn)^2))</f>
        <v>-19.952706172292444</v>
      </c>
      <c r="C2613">
        <f t="shared" si="162"/>
        <v>-1.8899290885786391</v>
      </c>
      <c r="D2613">
        <f t="shared" si="163"/>
        <v>-308.7101716724577</v>
      </c>
      <c r="R2613">
        <f t="shared" si="160"/>
        <v>2.6110000000000002</v>
      </c>
      <c r="S2613">
        <f t="shared" si="161"/>
        <v>-1.8899290885786391</v>
      </c>
    </row>
    <row r="2614" spans="1:19" x14ac:dyDescent="0.3">
      <c r="A2614">
        <v>2.6120000000000001</v>
      </c>
      <c r="B2614">
        <f>Uo*COS(2*PI()*Wn*Sheet2!A2614) + (Vo/Wn - (Po*(w/Wn))/(K*(1-(w/Wn)^2)))*SIN(2*PI()*Wn*Sheet2!A2614) +(Po*SIN(2*PI()*w*Sheet2!A2614))/(K*(1-(w/Wn)^2))</f>
        <v>-19.924603210713027</v>
      </c>
      <c r="C2614">
        <f t="shared" si="162"/>
        <v>-1.8892873550948448</v>
      </c>
      <c r="D2614">
        <f t="shared" si="163"/>
        <v>-308.60534781681821</v>
      </c>
      <c r="R2614">
        <f t="shared" si="160"/>
        <v>2.6120000000000001</v>
      </c>
      <c r="S2614">
        <f t="shared" si="161"/>
        <v>-1.8892873550948448</v>
      </c>
    </row>
    <row r="2615" spans="1:19" x14ac:dyDescent="0.3">
      <c r="A2615">
        <v>2.613</v>
      </c>
      <c r="B2615">
        <f>Uo*COS(2*PI()*Wn*Sheet2!A2615) + (Vo/Wn - (Po*(w/Wn))/(K*(1-(w/Wn)^2)))*SIN(2*PI()*Wn*Sheet2!A2615) +(Po*SIN(2*PI()*w*Sheet2!A2615))/(K*(1-(w/Wn)^2))</f>
        <v>-19.889991263941582</v>
      </c>
      <c r="C2615">
        <f t="shared" si="162"/>
        <v>-1.8880301440151108</v>
      </c>
      <c r="D2615">
        <f t="shared" si="163"/>
        <v>-308.39998886943829</v>
      </c>
      <c r="R2615">
        <f t="shared" si="160"/>
        <v>2.613</v>
      </c>
      <c r="S2615">
        <f t="shared" si="161"/>
        <v>-1.8880301440151108</v>
      </c>
    </row>
    <row r="2616" spans="1:19" x14ac:dyDescent="0.3">
      <c r="A2616">
        <v>2.6139999999999999</v>
      </c>
      <c r="B2616">
        <f>Uo*COS(2*PI()*Wn*Sheet2!A2616) + (Vo/Wn - (Po*(w/Wn))/(K*(1-(w/Wn)^2)))*SIN(2*PI()*Wn*Sheet2!A2616) +(Po*SIN(2*PI()*w*Sheet2!A2616))/(K*(1-(w/Wn)^2))</f>
        <v>-19.848881639036318</v>
      </c>
      <c r="C2616">
        <f t="shared" si="162"/>
        <v>-1.886158977119081</v>
      </c>
      <c r="D2616">
        <f t="shared" si="163"/>
        <v>-308.09434340517612</v>
      </c>
      <c r="R2616">
        <f t="shared" si="160"/>
        <v>2.6139999999999999</v>
      </c>
      <c r="S2616">
        <f t="shared" si="161"/>
        <v>-1.886158977119081</v>
      </c>
    </row>
    <row r="2617" spans="1:19" x14ac:dyDescent="0.3">
      <c r="A2617">
        <v>2.6150000000000002</v>
      </c>
      <c r="B2617">
        <f>Uo*COS(2*PI()*Wn*Sheet2!A2617) + (Vo/Wn - (Po*(w/Wn))/(K*(1-(w/Wn)^2)))*SIN(2*PI()*Wn*Sheet2!A2617) +(Po*SIN(2*PI()*w*Sheet2!A2617))/(K*(1-(w/Wn)^2))</f>
        <v>-19.801287765722144</v>
      </c>
      <c r="C2617">
        <f t="shared" si="162"/>
        <v>-1.8836755738247599</v>
      </c>
      <c r="D2617">
        <f t="shared" si="163"/>
        <v>-307.68869228209701</v>
      </c>
      <c r="R2617">
        <f t="shared" si="160"/>
        <v>2.6150000000000002</v>
      </c>
      <c r="S2617">
        <f t="shared" si="161"/>
        <v>-1.8836755738247599</v>
      </c>
    </row>
    <row r="2618" spans="1:19" x14ac:dyDescent="0.3">
      <c r="A2618">
        <v>2.6160000000000001</v>
      </c>
      <c r="B2618">
        <f>Uo*COS(2*PI()*Wn*Sheet2!A2618) + (Vo/Wn - (Po*(w/Wn))/(K*(1-(w/Wn)^2)))*SIN(2*PI()*Wn*Sheet2!A2618) +(Po*SIN(2*PI()*w*Sheet2!A2618))/(K*(1-(w/Wn)^2))</f>
        <v>-19.747225192003398</v>
      </c>
      <c r="C2618">
        <f t="shared" si="162"/>
        <v>-1.8805818502704137</v>
      </c>
      <c r="D2618">
        <f t="shared" si="163"/>
        <v>-307.18334849150659</v>
      </c>
      <c r="R2618">
        <f t="shared" si="160"/>
        <v>2.6160000000000001</v>
      </c>
      <c r="S2618">
        <f t="shared" si="161"/>
        <v>-1.8805818502704137</v>
      </c>
    </row>
    <row r="2619" spans="1:19" x14ac:dyDescent="0.3">
      <c r="A2619">
        <v>2.617</v>
      </c>
      <c r="B2619">
        <f>Uo*COS(2*PI()*Wn*Sheet2!A2619) + (Vo/Wn - (Po*(w/Wn))/(K*(1-(w/Wn)^2)))*SIN(2*PI()*Wn*Sheet2!A2619) +(Po*SIN(2*PI()*w*Sheet2!A2619))/(K*(1-(w/Wn)^2))</f>
        <v>-19.686711579084527</v>
      </c>
      <c r="C2619">
        <f t="shared" si="162"/>
        <v>-1.8768799183339346</v>
      </c>
      <c r="D2619">
        <f t="shared" si="163"/>
        <v>-306.57865699776931</v>
      </c>
      <c r="R2619">
        <f t="shared" si="160"/>
        <v>2.617</v>
      </c>
      <c r="S2619">
        <f t="shared" si="161"/>
        <v>-1.8768799183339346</v>
      </c>
    </row>
    <row r="2620" spans="1:19" x14ac:dyDescent="0.3">
      <c r="A2620">
        <v>2.6179999999999999</v>
      </c>
      <c r="B2620">
        <f>Uo*COS(2*PI()*Wn*Sheet2!A2620) + (Vo/Wn - (Po*(w/Wn))/(K*(1-(w/Wn)^2)))*SIN(2*PI()*Wn*Sheet2!A2620) +(Po*SIN(2*PI()*w*Sheet2!A2620))/(K*(1-(w/Wn)^2))</f>
        <v>-19.619766695600681</v>
      </c>
      <c r="C2620">
        <f t="shared" si="162"/>
        <v>-1.8725720845900775</v>
      </c>
      <c r="D2620">
        <f t="shared" si="163"/>
        <v>-305.87499456797798</v>
      </c>
      <c r="R2620">
        <f t="shared" si="160"/>
        <v>2.6179999999999999</v>
      </c>
      <c r="S2620">
        <f t="shared" si="161"/>
        <v>-1.8725720845900775</v>
      </c>
    </row>
    <row r="2621" spans="1:19" x14ac:dyDescent="0.3">
      <c r="A2621">
        <v>2.6190000000000002</v>
      </c>
      <c r="B2621">
        <f>Uo*COS(2*PI()*Wn*Sheet2!A2621) + (Vo/Wn - (Po*(w/Wn))/(K*(1-(w/Wn)^2)))*SIN(2*PI()*Wn*Sheet2!A2621) +(Po*SIN(2*PI()*w*Sheet2!A2621))/(K*(1-(w/Wn)^2))</f>
        <v>-19.546412411159455</v>
      </c>
      <c r="C2621">
        <f t="shared" si="162"/>
        <v>-1.8676608492060391</v>
      </c>
      <c r="D2621">
        <f t="shared" si="163"/>
        <v>-305.07276959155274</v>
      </c>
      <c r="R2621">
        <f t="shared" si="160"/>
        <v>2.6190000000000002</v>
      </c>
      <c r="S2621">
        <f t="shared" si="161"/>
        <v>-1.8676608492060391</v>
      </c>
    </row>
    <row r="2622" spans="1:19" x14ac:dyDescent="0.3">
      <c r="A2622">
        <v>2.62</v>
      </c>
      <c r="B2622">
        <f>Uo*COS(2*PI()*Wn*Sheet2!A2622) + (Vo/Wn - (Po*(w/Wn))/(K*(1-(w/Wn)^2)))*SIN(2*PI()*Wn*Sheet2!A2622) +(Po*SIN(2*PI()*w*Sheet2!A2622))/(K*(1-(w/Wn)^2))</f>
        <v>-19.46667268919683</v>
      </c>
      <c r="C2622">
        <f t="shared" si="162"/>
        <v>-1.8621489047758537</v>
      </c>
      <c r="D2622">
        <f t="shared" si="163"/>
        <v>-304.17242188984545</v>
      </c>
      <c r="R2622">
        <f t="shared" si="160"/>
        <v>2.62</v>
      </c>
      <c r="S2622">
        <f t="shared" si="161"/>
        <v>-1.8621489047758537</v>
      </c>
    </row>
    <row r="2623" spans="1:19" x14ac:dyDescent="0.3">
      <c r="A2623">
        <v>2.621</v>
      </c>
      <c r="B2623">
        <f>Uo*COS(2*PI()*Wn*Sheet2!A2623) + (Vo/Wn - (Po*(w/Wn))/(K*(1-(w/Wn)^2)))*SIN(2*PI()*Wn*Sheet2!A2623) +(Po*SIN(2*PI()*w*Sheet2!A2623))/(K*(1-(w/Wn)^2))</f>
        <v>-19.380573579148411</v>
      </c>
      <c r="C2623">
        <f t="shared" si="162"/>
        <v>-1.8560391350940677</v>
      </c>
      <c r="D2623">
        <f t="shared" si="163"/>
        <v>-303.1744225158256</v>
      </c>
      <c r="R2623">
        <f t="shared" si="160"/>
        <v>2.621</v>
      </c>
      <c r="S2623">
        <f t="shared" si="161"/>
        <v>-1.8560391350940677</v>
      </c>
    </row>
    <row r="2624" spans="1:19" x14ac:dyDescent="0.3">
      <c r="A2624">
        <v>2.6219999999999999</v>
      </c>
      <c r="B2624">
        <f>Uo*COS(2*PI()*Wn*Sheet2!A2624) + (Vo/Wn - (Po*(w/Wn))/(K*(1-(w/Wn)^2)))*SIN(2*PI()*Wn*Sheet2!A2624) +(Po*SIN(2*PI()*w*Sheet2!A2624))/(K*(1-(w/Wn)^2))</f>
        <v>-19.288143207939772</v>
      </c>
      <c r="C2624">
        <f t="shared" si="162"/>
        <v>-1.8493346138692424</v>
      </c>
      <c r="D2624">
        <f t="shared" si="163"/>
        <v>-302.07927354393797</v>
      </c>
      <c r="R2624">
        <f t="shared" si="160"/>
        <v>2.6219999999999999</v>
      </c>
      <c r="S2624">
        <f t="shared" si="161"/>
        <v>-1.8493346138692424</v>
      </c>
    </row>
    <row r="2625" spans="1:19" x14ac:dyDescent="0.3">
      <c r="A2625">
        <v>2.6230000000000002</v>
      </c>
      <c r="B2625">
        <f>Uo*COS(2*PI()*Wn*Sheet2!A2625) + (Vo/Wn - (Po*(w/Wn))/(K*(1-(w/Wn)^2)))*SIN(2*PI()*Wn*Sheet2!A2625) +(Po*SIN(2*PI()*w*Sheet2!A2625))/(K*(1-(w/Wn)^2))</f>
        <v>-19.189411770797985</v>
      </c>
      <c r="C2625">
        <f t="shared" si="162"/>
        <v>-1.8420386033777845</v>
      </c>
      <c r="D2625">
        <f t="shared" si="163"/>
        <v>-300.88750785021244</v>
      </c>
      <c r="R2625">
        <f t="shared" ref="R2625:R2688" si="164">A2625</f>
        <v>2.6230000000000002</v>
      </c>
      <c r="S2625">
        <f t="shared" ref="S2625:S2688" si="165">C2625</f>
        <v>-1.8420386033777845</v>
      </c>
    </row>
    <row r="2626" spans="1:19" x14ac:dyDescent="0.3">
      <c r="A2626">
        <v>2.6240000000000001</v>
      </c>
      <c r="B2626">
        <f>Uo*COS(2*PI()*Wn*Sheet2!A2626) + (Vo/Wn - (Po*(w/Wn))/(K*(1-(w/Wn)^2)))*SIN(2*PI()*Wn*Sheet2!A2626) +(Po*SIN(2*PI()*w*Sheet2!A2626))/(K*(1-(w/Wn)^2))</f>
        <v>-19.084411521387342</v>
      </c>
      <c r="C2626">
        <f t="shared" ref="C2626:C2689" si="166">EXP(-zeta*Wn*A2626*2*PI())*($H$1*COS(wnD*2*PI()*A2626) + $H$2*SIN(wnD*2*PI()*A2626)) + $H$3*SIN(w*2*PI()*A2626) + $H$4*COS(w*2*PI()*A2626)</f>
        <v>-1.8341545530586785</v>
      </c>
      <c r="D2626">
        <f t="shared" ref="D2626:D2689" si="167">K*C2626</f>
        <v>-299.5996888827209</v>
      </c>
      <c r="R2626">
        <f t="shared" si="164"/>
        <v>2.6240000000000001</v>
      </c>
      <c r="S2626">
        <f t="shared" si="165"/>
        <v>-1.8341545530586785</v>
      </c>
    </row>
    <row r="2627" spans="1:19" x14ac:dyDescent="0.3">
      <c r="A2627">
        <v>2.625</v>
      </c>
      <c r="B2627">
        <f>Uo*COS(2*PI()*Wn*Sheet2!A2627) + (Vo/Wn - (Po*(w/Wn))/(K*(1-(w/Wn)^2)))*SIN(2*PI()*Wn*Sheet2!A2627) +(Po*SIN(2*PI()*w*Sheet2!A2627))/(K*(1-(w/Wn)^2))</f>
        <v>-18.97317676127258</v>
      </c>
      <c r="C2627">
        <f t="shared" si="166"/>
        <v>-1.8256860980496339</v>
      </c>
      <c r="D2627">
        <f t="shared" si="167"/>
        <v>-298.21641042246461</v>
      </c>
      <c r="R2627">
        <f t="shared" si="164"/>
        <v>2.625</v>
      </c>
      <c r="S2627">
        <f t="shared" si="165"/>
        <v>-1.8256860980496339</v>
      </c>
    </row>
    <row r="2628" spans="1:19" x14ac:dyDescent="0.3">
      <c r="A2628">
        <v>2.6259999999999999</v>
      </c>
      <c r="B2628">
        <f>Uo*COS(2*PI()*Wn*Sheet2!A2628) + (Vo/Wn - (Po*(w/Wn))/(K*(1-(w/Wn)^2)))*SIN(2*PI()*Wn*Sheet2!A2628) +(Po*SIN(2*PI()*w*Sheet2!A2628))/(K*(1-(w/Wn)^2))</f>
        <v>-18.855743828713514</v>
      </c>
      <c r="C2628">
        <f t="shared" si="166"/>
        <v>-1.8166370576653048</v>
      </c>
      <c r="D2628">
        <f t="shared" si="167"/>
        <v>-296.73829633479892</v>
      </c>
      <c r="R2628">
        <f t="shared" si="164"/>
        <v>2.6259999999999999</v>
      </c>
      <c r="S2628">
        <f t="shared" si="165"/>
        <v>-1.8166370576653048</v>
      </c>
    </row>
    <row r="2629" spans="1:19" x14ac:dyDescent="0.3">
      <c r="A2629">
        <v>2.6269999999999998</v>
      </c>
      <c r="B2629">
        <f>Uo*COS(2*PI()*Wn*Sheet2!A2629) + (Vo/Wn - (Po*(w/Wn))/(K*(1-(w/Wn)^2)))*SIN(2*PI()*Wn*Sheet2!A2629) +(Po*SIN(2*PI()*w*Sheet2!A2629))/(K*(1-(w/Wn)^2))</f>
        <v>-18.732151086793728</v>
      </c>
      <c r="C2629">
        <f t="shared" si="166"/>
        <v>-1.8070114338181262</v>
      </c>
      <c r="D2629">
        <f t="shared" si="167"/>
        <v>-295.16600031148528</v>
      </c>
      <c r="R2629">
        <f t="shared" si="164"/>
        <v>2.6269999999999998</v>
      </c>
      <c r="S2629">
        <f t="shared" si="165"/>
        <v>-1.8070114338181262</v>
      </c>
    </row>
    <row r="2630" spans="1:19" x14ac:dyDescent="0.3">
      <c r="A2630">
        <v>2.6280000000000001</v>
      </c>
      <c r="B2630">
        <f>Uo*COS(2*PI()*Wn*Sheet2!A2630) + (Vo/Wn - (Po*(w/Wn))/(K*(1-(w/Wn)^2)))*SIN(2*PI()*Wn*Sheet2!A2630) +(Po*SIN(2*PI()*w*Sheet2!A2630))/(K*(1-(w/Wn)^2))</f>
        <v>-18.602438910888146</v>
      </c>
      <c r="C2630">
        <f t="shared" si="166"/>
        <v>-1.7968134093824057</v>
      </c>
      <c r="D2630">
        <f t="shared" si="167"/>
        <v>-293.50020560347383</v>
      </c>
      <c r="R2630">
        <f t="shared" si="164"/>
        <v>2.6280000000000001</v>
      </c>
      <c r="S2630">
        <f t="shared" si="165"/>
        <v>-1.7968134093824057</v>
      </c>
    </row>
    <row r="2631" spans="1:19" x14ac:dyDescent="0.3">
      <c r="A2631">
        <v>2.629</v>
      </c>
      <c r="B2631">
        <f>Uo*COS(2*PI()*Wn*Sheet2!A2631) + (Vo/Wn - (Po*(w/Wn))/(K*(1-(w/Wn)^2)))*SIN(2*PI()*Wn*Sheet2!A2631) +(Po*SIN(2*PI()*w*Sheet2!A2631))/(K*(1-(w/Wn)^2))</f>
        <v>-18.466649675473555</v>
      </c>
      <c r="C2631">
        <f t="shared" si="166"/>
        <v>-1.7860473465023143</v>
      </c>
      <c r="D2631">
        <f t="shared" si="167"/>
        <v>-291.74162474452265</v>
      </c>
      <c r="R2631">
        <f t="shared" si="164"/>
        <v>2.629</v>
      </c>
      <c r="S2631">
        <f t="shared" si="165"/>
        <v>-1.7860473465023143</v>
      </c>
    </row>
    <row r="2632" spans="1:19" x14ac:dyDescent="0.3">
      <c r="A2632">
        <v>2.63</v>
      </c>
      <c r="B2632">
        <f>Uo*COS(2*PI()*Wn*Sheet2!A2632) + (Vo/Wn - (Po*(w/Wn))/(K*(1-(w/Wn)^2)))*SIN(2*PI()*Wn*Sheet2!A2632) +(Po*SIN(2*PI()*w*Sheet2!A2632))/(K*(1-(w/Wn)^2))</f>
        <v>-18.324827740285009</v>
      </c>
      <c r="C2632">
        <f t="shared" si="166"/>
        <v>-1.7747177848444016</v>
      </c>
      <c r="D2632">
        <f t="shared" si="167"/>
        <v>-289.89099926575489</v>
      </c>
      <c r="R2632">
        <f t="shared" si="164"/>
        <v>2.63</v>
      </c>
      <c r="S2632">
        <f t="shared" si="165"/>
        <v>-1.7747177848444016</v>
      </c>
    </row>
    <row r="2633" spans="1:19" x14ac:dyDescent="0.3">
      <c r="A2633">
        <v>2.6309999999999998</v>
      </c>
      <c r="B2633">
        <f>Uo*COS(2*PI()*Wn*Sheet2!A2633) + (Vo/Wn - (Po*(w/Wn))/(K*(1-(w/Wn)^2)))*SIN(2*PI()*Wn*Sheet2!A2633) +(Po*SIN(2*PI()*w*Sheet2!A2633))/(K*(1-(w/Wn)^2))</f>
        <v>-18.177019435824974</v>
      </c>
      <c r="C2633">
        <f t="shared" si="166"/>
        <v>-1.7628294397953546</v>
      </c>
      <c r="D2633">
        <f t="shared" si="167"/>
        <v>-287.94909940127224</v>
      </c>
      <c r="R2633">
        <f t="shared" si="164"/>
        <v>2.6309999999999998</v>
      </c>
      <c r="S2633">
        <f t="shared" si="165"/>
        <v>-1.7628294397953546</v>
      </c>
    </row>
    <row r="2634" spans="1:19" x14ac:dyDescent="0.3">
      <c r="A2634">
        <v>2.6320000000000001</v>
      </c>
      <c r="B2634">
        <f>Uo*COS(2*PI()*Wn*Sheet2!A2634) + (Vo/Wn - (Po*(w/Wn))/(K*(1-(w/Wn)^2)))*SIN(2*PI()*Wn*Sheet2!A2634) +(Po*SIN(2*PI()*w*Sheet2!A2634))/(K*(1-(w/Wn)^2))</f>
        <v>-18.023273048227558</v>
      </c>
      <c r="C2634">
        <f t="shared" si="166"/>
        <v>-1.7503872006056169</v>
      </c>
      <c r="D2634">
        <f t="shared" si="167"/>
        <v>-285.91672378492439</v>
      </c>
      <c r="R2634">
        <f t="shared" si="164"/>
        <v>2.6320000000000001</v>
      </c>
      <c r="S2634">
        <f t="shared" si="165"/>
        <v>-1.7503872006056169</v>
      </c>
    </row>
    <row r="2635" spans="1:19" x14ac:dyDescent="0.3">
      <c r="A2635">
        <v>2.633</v>
      </c>
      <c r="B2635">
        <f>Uo*COS(2*PI()*Wn*Sheet2!A2635) + (Vo/Wn - (Po*(w/Wn))/(K*(1-(w/Wn)^2)))*SIN(2*PI()*Wn*Sheet2!A2635) +(Po*SIN(2*PI()*w*Sheet2!A2635))/(K*(1-(w/Wn)^2))</f>
        <v>-17.863638803484761</v>
      </c>
      <c r="C2635">
        <f t="shared" si="166"/>
        <v>-1.7373961284796871</v>
      </c>
      <c r="D2635">
        <f t="shared" si="167"/>
        <v>-283.79469913836942</v>
      </c>
      <c r="R2635">
        <f t="shared" si="164"/>
        <v>2.633</v>
      </c>
      <c r="S2635">
        <f t="shared" si="165"/>
        <v>-1.7373961284796871</v>
      </c>
    </row>
    <row r="2636" spans="1:19" x14ac:dyDescent="0.3">
      <c r="A2636">
        <v>2.6339999999999999</v>
      </c>
      <c r="B2636">
        <f>Uo*COS(2*PI()*Wn*Sheet2!A2636) + (Vo/Wn - (Po*(w/Wn))/(K*(1-(w/Wn)^2)))*SIN(2*PI()*Wn*Sheet2!A2636) +(Po*SIN(2*PI()*w*Sheet2!A2636))/(K*(1-(w/Wn)^2))</f>
        <v>-17.698168851038428</v>
      </c>
      <c r="C2636">
        <f t="shared" si="166"/>
        <v>-1.7238614546136473</v>
      </c>
      <c r="D2636">
        <f t="shared" si="167"/>
        <v>-281.5838799505139</v>
      </c>
      <c r="R2636">
        <f t="shared" si="164"/>
        <v>2.6339999999999999</v>
      </c>
      <c r="S2636">
        <f t="shared" si="165"/>
        <v>-1.7238614546136473</v>
      </c>
    </row>
    <row r="2637" spans="1:19" x14ac:dyDescent="0.3">
      <c r="A2637">
        <v>2.6349999999999998</v>
      </c>
      <c r="B2637">
        <f>Uo*COS(2*PI()*Wn*Sheet2!A2637) + (Vo/Wn - (Po*(w/Wn))/(K*(1-(w/Wn)^2)))*SIN(2*PI()*Wn*Sheet2!A2637) +(Po*SIN(2*PI()*w*Sheet2!A2637))/(K*(1-(w/Wn)^2))</f>
        <v>-17.526917246743832</v>
      </c>
      <c r="C2637">
        <f t="shared" si="166"/>
        <v>-1.7097885781808242</v>
      </c>
      <c r="D2637">
        <f t="shared" si="167"/>
        <v>-279.28514814848137</v>
      </c>
      <c r="R2637">
        <f t="shared" si="164"/>
        <v>2.6349999999999998</v>
      </c>
      <c r="S2637">
        <f t="shared" si="165"/>
        <v>-1.7097885781808242</v>
      </c>
    </row>
    <row r="2638" spans="1:19" x14ac:dyDescent="0.3">
      <c r="A2638">
        <v>2.6360000000000001</v>
      </c>
      <c r="B2638">
        <f>Uo*COS(2*PI()*Wn*Sheet2!A2638) + (Vo/Wn - (Po*(w/Wn))/(K*(1-(w/Wn)^2)))*SIN(2*PI()*Wn*Sheet2!A2638) +(Po*SIN(2*PI()*w*Sheet2!A2638))/(K*(1-(w/Wn)^2))</f>
        <v>-17.349939935211065</v>
      </c>
      <c r="C2638">
        <f t="shared" si="166"/>
        <v>-1.6951830642662282</v>
      </c>
      <c r="D2638">
        <f t="shared" si="167"/>
        <v>-276.89941276021324</v>
      </c>
      <c r="R2638">
        <f t="shared" si="164"/>
        <v>2.6360000000000001</v>
      </c>
      <c r="S2638">
        <f t="shared" si="165"/>
        <v>-1.6951830642662282</v>
      </c>
    </row>
    <row r="2639" spans="1:19" x14ac:dyDescent="0.3">
      <c r="A2639">
        <v>2.637</v>
      </c>
      <c r="B2639">
        <f>Uo*COS(2*PI()*Wn*Sheet2!A2639) + (Vo/Wn - (Po*(w/Wn))/(K*(1-(w/Wn)^2)))*SIN(2*PI()*Wn*Sheet2!A2639) +(Po*SIN(2*PI()*w*Sheet2!A2639))/(K*(1-(w/Wn)^2))</f>
        <v>-17.167294731528806</v>
      </c>
      <c r="C2639">
        <f t="shared" si="166"/>
        <v>-1.6800506417506071</v>
      </c>
      <c r="D2639">
        <f t="shared" si="167"/>
        <v>-274.42760956884013</v>
      </c>
      <c r="R2639">
        <f t="shared" si="164"/>
        <v>2.637</v>
      </c>
      <c r="S2639">
        <f t="shared" si="165"/>
        <v>-1.6800506417506071</v>
      </c>
    </row>
    <row r="2640" spans="1:19" x14ac:dyDescent="0.3">
      <c r="A2640">
        <v>2.6379999999999999</v>
      </c>
      <c r="B2640">
        <f>Uo*COS(2*PI()*Wn*Sheet2!A2640) + (Vo/Wn - (Po*(w/Wn))/(K*(1-(w/Wn)^2)))*SIN(2*PI()*Wn*Sheet2!A2640) +(Po*SIN(2*PI()*w*Sheet2!A2640))/(K*(1-(w/Wn)^2))</f>
        <v>-16.97904130237702</v>
      </c>
      <c r="C2640">
        <f t="shared" si="166"/>
        <v>-1.6643972011447967</v>
      </c>
      <c r="D2640">
        <f t="shared" si="167"/>
        <v>-271.87070075893411</v>
      </c>
      <c r="R2640">
        <f t="shared" si="164"/>
        <v>2.6379999999999999</v>
      </c>
      <c r="S2640">
        <f t="shared" si="165"/>
        <v>-1.6643972011447967</v>
      </c>
    </row>
    <row r="2641" spans="1:19" x14ac:dyDescent="0.3">
      <c r="A2641">
        <v>2.6389999999999998</v>
      </c>
      <c r="B2641">
        <f>Uo*COS(2*PI()*Wn*Sheet2!A2641) + (Vo/Wn - (Po*(w/Wn))/(K*(1-(w/Wn)^2)))*SIN(2*PI()*Wn*Sheet2!A2641) +(Po*SIN(2*PI()*w*Sheet2!A2641))/(K*(1-(w/Wn)^2))</f>
        <v>-16.785241146535522</v>
      </c>
      <c r="C2641">
        <f t="shared" si="166"/>
        <v>-1.6482287923752921</v>
      </c>
      <c r="D2641">
        <f t="shared" si="167"/>
        <v>-269.22967455479329</v>
      </c>
      <c r="R2641">
        <f t="shared" si="164"/>
        <v>2.6389999999999998</v>
      </c>
      <c r="S2641">
        <f t="shared" si="165"/>
        <v>-1.6482287923752921</v>
      </c>
    </row>
    <row r="2642" spans="1:19" x14ac:dyDescent="0.3">
      <c r="A2642">
        <v>2.64</v>
      </c>
      <c r="B2642">
        <f>Uo*COS(2*PI()*Wn*Sheet2!A2642) + (Vo/Wn - (Po*(w/Wn))/(K*(1-(w/Wn)^2)))*SIN(2*PI()*Wn*Sheet2!A2642) +(Po*SIN(2*PI()*w*Sheet2!A2642))/(K*(1-(w/Wn)^2))</f>
        <v>-16.585957574792822</v>
      </c>
      <c r="C2642">
        <f t="shared" si="166"/>
        <v>-1.631551622521747</v>
      </c>
      <c r="D2642">
        <f t="shared" si="167"/>
        <v>-266.50554485087372</v>
      </c>
      <c r="R2642">
        <f t="shared" si="164"/>
        <v>2.64</v>
      </c>
      <c r="S2642">
        <f t="shared" si="165"/>
        <v>-1.631551622521747</v>
      </c>
    </row>
    <row r="2643" spans="1:19" x14ac:dyDescent="0.3">
      <c r="A2643">
        <v>2.641</v>
      </c>
      <c r="B2643">
        <f>Uo*COS(2*PI()*Wn*Sheet2!A2643) + (Vo/Wn - (Po*(w/Wn))/(K*(1-(w/Wn)^2)))*SIN(2*PI()*Wn*Sheet2!A2643) +(Po*SIN(2*PI()*w*Sheet2!A2643))/(K*(1-(w/Wn)^2))</f>
        <v>-16.381255689264623</v>
      </c>
      <c r="C2643">
        <f t="shared" si="166"/>
        <v>-1.6143720535073167</v>
      </c>
      <c r="D2643">
        <f t="shared" si="167"/>
        <v>-263.69935083451929</v>
      </c>
      <c r="R2643">
        <f t="shared" si="164"/>
        <v>2.641</v>
      </c>
      <c r="S2643">
        <f t="shared" si="165"/>
        <v>-1.6143720535073167</v>
      </c>
    </row>
    <row r="2644" spans="1:19" x14ac:dyDescent="0.3">
      <c r="A2644">
        <v>2.6419999999999999</v>
      </c>
      <c r="B2644">
        <f>Uo*COS(2*PI()*Wn*Sheet2!A2644) + (Vo/Wn - (Po*(w/Wn))/(K*(1-(w/Wn)^2)))*SIN(2*PI()*Wn*Sheet2!A2644) +(Po*SIN(2*PI()*w*Sheet2!A2644))/(K*(1-(w/Wn)^2))</f>
        <v>-16.171202362125221</v>
      </c>
      <c r="C2644">
        <f t="shared" si="166"/>
        <v>-1.5966965997425291</v>
      </c>
      <c r="D2644">
        <f t="shared" si="167"/>
        <v>-260.81215660109967</v>
      </c>
      <c r="R2644">
        <f t="shared" si="164"/>
        <v>2.6419999999999999</v>
      </c>
      <c r="S2644">
        <f t="shared" si="165"/>
        <v>-1.5966965997425291</v>
      </c>
    </row>
    <row r="2645" spans="1:19" x14ac:dyDescent="0.3">
      <c r="A2645">
        <v>2.6429999999999998</v>
      </c>
      <c r="B2645">
        <f>Uo*COS(2*PI()*Wn*Sheet2!A2645) + (Vo/Wn - (Po*(w/Wn))/(K*(1-(w/Wn)^2)))*SIN(2*PI()*Wn*Sheet2!A2645) +(Po*SIN(2*PI()*w*Sheet2!A2645))/(K*(1-(w/Wn)^2))</f>
        <v>-15.955866213762175</v>
      </c>
      <c r="C2645">
        <f t="shared" si="166"/>
        <v>-1.5785319257237744</v>
      </c>
      <c r="D2645">
        <f t="shared" si="167"/>
        <v>-257.84505076173656</v>
      </c>
      <c r="R2645">
        <f t="shared" si="164"/>
        <v>2.6429999999999998</v>
      </c>
      <c r="S2645">
        <f t="shared" si="165"/>
        <v>-1.5785319257237744</v>
      </c>
    </row>
    <row r="2646" spans="1:19" x14ac:dyDescent="0.3">
      <c r="A2646">
        <v>2.6440000000000001</v>
      </c>
      <c r="B2646">
        <f>Uo*COS(2*PI()*Wn*Sheet2!A2646) + (Vo/Wn - (Po*(w/Wn))/(K*(1-(w/Wn)^2)))*SIN(2*PI()*Wn*Sheet2!A2646) +(Po*SIN(2*PI()*w*Sheet2!A2646))/(K*(1-(w/Wn)^2))</f>
        <v>-15.735317590359433</v>
      </c>
      <c r="C2646">
        <f t="shared" si="166"/>
        <v>-1.5598848435870389</v>
      </c>
      <c r="D2646">
        <f t="shared" si="167"/>
        <v>-254.79914604371805</v>
      </c>
      <c r="R2646">
        <f t="shared" si="164"/>
        <v>2.6440000000000001</v>
      </c>
      <c r="S2646">
        <f t="shared" si="165"/>
        <v>-1.5598848435870389</v>
      </c>
    </row>
    <row r="2647" spans="1:19" x14ac:dyDescent="0.3">
      <c r="A2647">
        <v>2.645</v>
      </c>
      <c r="B2647">
        <f>Uo*COS(2*PI()*Wn*Sheet2!A2647) + (Vo/Wn - (Po*(w/Wn))/(K*(1-(w/Wn)^2)))*SIN(2*PI()*Wn*Sheet2!A2647) +(Po*SIN(2*PI()*w*Sheet2!A2647))/(K*(1-(w/Wn)^2))</f>
        <v>-15.509628540916436</v>
      </c>
      <c r="C2647">
        <f t="shared" si="166"/>
        <v>-1.5407623106179495</v>
      </c>
      <c r="D2647">
        <f t="shared" si="167"/>
        <v>-251.67557888377792</v>
      </c>
      <c r="R2647">
        <f t="shared" si="164"/>
        <v>2.645</v>
      </c>
      <c r="S2647">
        <f t="shared" si="165"/>
        <v>-1.5407623106179495</v>
      </c>
    </row>
    <row r="2648" spans="1:19" x14ac:dyDescent="0.3">
      <c r="A2648">
        <v>2.6459999999999999</v>
      </c>
      <c r="B2648">
        <f>Uo*COS(2*PI()*Wn*Sheet2!A2648) + (Vo/Wn - (Po*(w/Wn))/(K*(1-(w/Wn)^2)))*SIN(2*PI()*Wn*Sheet2!A2648) +(Po*SIN(2*PI()*w*Sheet2!A2648))/(K*(1-(w/Wn)^2))</f>
        <v>-15.278872793710825</v>
      </c>
      <c r="C2648">
        <f t="shared" si="166"/>
        <v>-1.5211714267188516</v>
      </c>
      <c r="D2648">
        <f t="shared" si="167"/>
        <v>-248.4755090143554</v>
      </c>
      <c r="R2648">
        <f t="shared" si="164"/>
        <v>2.6459999999999999</v>
      </c>
      <c r="S2648">
        <f t="shared" si="165"/>
        <v>-1.5211714267188516</v>
      </c>
    </row>
    <row r="2649" spans="1:19" x14ac:dyDescent="0.3">
      <c r="A2649">
        <v>2.6469999999999998</v>
      </c>
      <c r="B2649">
        <f>Uo*COS(2*PI()*Wn*Sheet2!A2649) + (Vo/Wn - (Po*(w/Wn))/(K*(1-(w/Wn)^2)))*SIN(2*PI()*Wn*Sheet2!A2649) +(Po*SIN(2*PI()*w*Sheet2!A2649))/(K*(1-(w/Wn)^2))</f>
        <v>-15.043125732213436</v>
      </c>
      <c r="C2649">
        <f t="shared" si="166"/>
        <v>-1.5011194318339953</v>
      </c>
      <c r="D2649">
        <f t="shared" si="167"/>
        <v>-245.20011904301273</v>
      </c>
      <c r="R2649">
        <f t="shared" si="164"/>
        <v>2.6469999999999998</v>
      </c>
      <c r="S2649">
        <f t="shared" si="165"/>
        <v>-1.5011194318339953</v>
      </c>
    </row>
    <row r="2650" spans="1:19" x14ac:dyDescent="0.3">
      <c r="A2650">
        <v>2.6480000000000001</v>
      </c>
      <c r="B2650">
        <f>Uo*COS(2*PI()*Wn*Sheet2!A2650) + (Vo/Wn - (Po*(w/Wn))/(K*(1-(w/Wn)^2)))*SIN(2*PI()*Wn*Sheet2!A2650) +(Po*SIN(2*PI()*w*Sheet2!A2650))/(K*(1-(w/Wn)^2))</f>
        <v>-14.802464370461166</v>
      </c>
      <c r="C2650">
        <f t="shared" si="166"/>
        <v>-1.4806137033336109</v>
      </c>
      <c r="D2650">
        <f t="shared" si="167"/>
        <v>-241.8506140251375</v>
      </c>
      <c r="R2650">
        <f t="shared" si="164"/>
        <v>2.6480000000000001</v>
      </c>
      <c r="S2650">
        <f t="shared" si="165"/>
        <v>-1.4806137033336109</v>
      </c>
    </row>
    <row r="2651" spans="1:19" x14ac:dyDescent="0.3">
      <c r="A2651">
        <v>2.649</v>
      </c>
      <c r="B2651">
        <f>Uo*COS(2*PI()*Wn*Sheet2!A2651) + (Vo/Wn - (Po*(w/Wn))/(K*(1-(w/Wn)^2)))*SIN(2*PI()*Wn*Sheet2!A2651) +(Po*SIN(2*PI()*w*Sheet2!A2651))/(K*(1-(w/Wn)^2))</f>
        <v>-14.556967327899075</v>
      </c>
      <c r="C2651">
        <f t="shared" si="166"/>
        <v>-1.4596617533579135</v>
      </c>
      <c r="D2651">
        <f t="shared" si="167"/>
        <v>-238.42822103009942</v>
      </c>
      <c r="R2651">
        <f t="shared" si="164"/>
        <v>2.649</v>
      </c>
      <c r="S2651">
        <f t="shared" si="165"/>
        <v>-1.4596617533579135</v>
      </c>
    </row>
    <row r="2652" spans="1:19" x14ac:dyDescent="0.3">
      <c r="A2652">
        <v>2.65</v>
      </c>
      <c r="B2652">
        <f>Uo*COS(2*PI()*Wn*Sheet2!A2652) + (Vo/Wn - (Po*(w/Wn))/(K*(1-(w/Wn)^2)))*SIN(2*PI()*Wn*Sheet2!A2652) +(Po*SIN(2*PI()*w*Sheet2!A2652))/(K*(1-(w/Wn)^2))</f>
        <v>-14.306714803695701</v>
      </c>
      <c r="C2652">
        <f t="shared" si="166"/>
        <v>-1.438271226121802</v>
      </c>
      <c r="D2652">
        <f t="shared" si="167"/>
        <v>-234.93418870098665</v>
      </c>
      <c r="R2652">
        <f t="shared" si="164"/>
        <v>2.65</v>
      </c>
      <c r="S2652">
        <f t="shared" si="165"/>
        <v>-1.438271226121802</v>
      </c>
    </row>
    <row r="2653" spans="1:19" x14ac:dyDescent="0.3">
      <c r="A2653">
        <v>2.6509999999999998</v>
      </c>
      <c r="B2653">
        <f>Uo*COS(2*PI()*Wn*Sheet2!A2653) + (Vo/Wn - (Po*(w/Wn))/(K*(1-(w/Wn)^2)))*SIN(2*PI()*Wn*Sheet2!A2653) +(Po*SIN(2*PI()*w*Sheet2!A2653))/(K*(1-(w/Wn)^2))</f>
        <v>-14.051788550544194</v>
      </c>
      <c r="C2653">
        <f t="shared" si="166"/>
        <v>-1.4164498951814664</v>
      </c>
      <c r="D2653">
        <f t="shared" si="167"/>
        <v>-231.36978680812049</v>
      </c>
      <c r="R2653">
        <f t="shared" si="164"/>
        <v>2.6509999999999998</v>
      </c>
      <c r="S2653">
        <f t="shared" si="165"/>
        <v>-1.4164498951814664</v>
      </c>
    </row>
    <row r="2654" spans="1:19" x14ac:dyDescent="0.3">
      <c r="A2654">
        <v>2.6520000000000001</v>
      </c>
      <c r="B2654">
        <f>Uo*COS(2*PI()*Wn*Sheet2!A2654) + (Vo/Wn - (Po*(w/Wn))/(K*(1-(w/Wn)^2)))*SIN(2*PI()*Wn*Sheet2!A2654) +(Po*SIN(2*PI()*w*Sheet2!A2654))/(K*(1-(w/Wn)^2))</f>
        <v>-13.792271847955371</v>
      </c>
      <c r="C2654">
        <f t="shared" si="166"/>
        <v>-1.3942056606635944</v>
      </c>
      <c r="D2654">
        <f t="shared" si="167"/>
        <v>-227.73630579646036</v>
      </c>
      <c r="R2654">
        <f t="shared" si="164"/>
        <v>2.6520000000000001</v>
      </c>
      <c r="S2654">
        <f t="shared" si="165"/>
        <v>-1.3942056606635944</v>
      </c>
    </row>
    <row r="2655" spans="1:19" x14ac:dyDescent="0.3">
      <c r="A2655">
        <v>2.653</v>
      </c>
      <c r="B2655">
        <f>Uo*COS(2*PI()*Wn*Sheet2!A2655) + (Vo/Wn - (Po*(w/Wn))/(K*(1-(w/Wn)^2)))*SIN(2*PI()*Wn*Sheet2!A2655) +(Po*SIN(2*PI()*w*Sheet2!A2655))/(K*(1-(w/Wn)^2))</f>
        <v>-13.528249475051734</v>
      </c>
      <c r="C2655">
        <f t="shared" si="166"/>
        <v>-1.3715465464583674</v>
      </c>
      <c r="D2655">
        <f t="shared" si="167"/>
        <v>-224.03505632709414</v>
      </c>
      <c r="R2655">
        <f t="shared" si="164"/>
        <v>2.653</v>
      </c>
      <c r="S2655">
        <f t="shared" si="165"/>
        <v>-1.3715465464583674</v>
      </c>
    </row>
    <row r="2656" spans="1:19" x14ac:dyDescent="0.3">
      <c r="A2656">
        <v>2.6539999999999999</v>
      </c>
      <c r="B2656">
        <f>Uo*COS(2*PI()*Wn*Sheet2!A2656) + (Vo/Wn - (Po*(w/Wn))/(K*(1-(w/Wn)^2)))*SIN(2*PI()*Wn*Sheet2!A2656) +(Po*SIN(2*PI()*w*Sheet2!A2656))/(K*(1-(w/Wn)^2))</f>
        <v>-13.259807682871426</v>
      </c>
      <c r="C2656">
        <f t="shared" si="166"/>
        <v>-1.3484806973770231</v>
      </c>
      <c r="D2656">
        <f t="shared" si="167"/>
        <v>-220.26736881294087</v>
      </c>
      <c r="R2656">
        <f t="shared" si="164"/>
        <v>2.6539999999999999</v>
      </c>
      <c r="S2656">
        <f t="shared" si="165"/>
        <v>-1.3484806973770231</v>
      </c>
    </row>
    <row r="2657" spans="1:19" x14ac:dyDescent="0.3">
      <c r="A2657">
        <v>2.6549999999999998</v>
      </c>
      <c r="B2657">
        <f>Uo*COS(2*PI()*Wn*Sheet2!A2657) + (Vo/Wn - (Po*(w/Wn))/(K*(1-(w/Wn)^2)))*SIN(2*PI()*Wn*Sheet2!A2657) +(Po*SIN(2*PI()*w*Sheet2!A2657))/(K*(1-(w/Wn)^2))</f>
        <v>-12.987034166192398</v>
      </c>
      <c r="C2657">
        <f t="shared" si="166"/>
        <v>-1.3250163762751817</v>
      </c>
      <c r="D2657">
        <f t="shared" si="167"/>
        <v>-216.43459294886074</v>
      </c>
      <c r="R2657">
        <f t="shared" si="164"/>
        <v>2.6549999999999998</v>
      </c>
      <c r="S2657">
        <f t="shared" si="165"/>
        <v>-1.3250163762751817</v>
      </c>
    </row>
    <row r="2658" spans="1:19" x14ac:dyDescent="0.3">
      <c r="A2658">
        <v>2.6560000000000001</v>
      </c>
      <c r="B2658">
        <f>Uo*COS(2*PI()*Wn*Sheet2!A2658) + (Vo/Wn - (Po*(w/Wn))/(K*(1-(w/Wn)^2)))*SIN(2*PI()*Wn*Sheet2!A2658) +(Po*SIN(2*PI()*w*Sheet2!A2658))/(K*(1-(w/Wn)^2))</f>
        <v>-12.710018034883273</v>
      </c>
      <c r="C2658">
        <f t="shared" si="166"/>
        <v>-1.3011619611427805</v>
      </c>
      <c r="D2658">
        <f t="shared" si="167"/>
        <v>-212.53809723631105</v>
      </c>
      <c r="R2658">
        <f t="shared" si="164"/>
        <v>2.6560000000000001</v>
      </c>
      <c r="S2658">
        <f t="shared" si="165"/>
        <v>-1.3011619611427805</v>
      </c>
    </row>
    <row r="2659" spans="1:19" x14ac:dyDescent="0.3">
      <c r="A2659">
        <v>2.657</v>
      </c>
      <c r="B2659">
        <f>Uo*COS(2*PI()*Wn*Sheet2!A2659) + (Vo/Wn - (Po*(w/Wn))/(K*(1-(w/Wn)^2)))*SIN(2*PI()*Wn*Sheet2!A2659) +(Po*SIN(2*PI()*w*Sheet2!A2659))/(K*(1-(w/Wn)^2))</f>
        <v>-12.42884978479414</v>
      </c>
      <c r="C2659">
        <f t="shared" si="166"/>
        <v>-1.2769259421617529</v>
      </c>
      <c r="D2659">
        <f t="shared" si="167"/>
        <v>-208.57926850273307</v>
      </c>
      <c r="R2659">
        <f t="shared" si="164"/>
        <v>2.657</v>
      </c>
      <c r="S2659">
        <f t="shared" si="165"/>
        <v>-1.2769259421617529</v>
      </c>
    </row>
    <row r="2660" spans="1:19" x14ac:dyDescent="0.3">
      <c r="A2660">
        <v>2.6579999999999999</v>
      </c>
      <c r="B2660">
        <f>Uo*COS(2*PI()*Wn*Sheet2!A2660) + (Vo/Wn - (Po*(w/Wn))/(K*(1-(w/Wn)^2)))*SIN(2*PI()*Wn*Sheet2!A2660) +(Po*SIN(2*PI()*w*Sheet2!A2660))/(K*(1-(w/Wn)^2))</f>
        <v>-12.143621268191907</v>
      </c>
      <c r="C2660">
        <f t="shared" si="166"/>
        <v>-1.2523169187322636</v>
      </c>
      <c r="D2660">
        <f t="shared" si="167"/>
        <v>-204.55951141580303</v>
      </c>
      <c r="R2660">
        <f t="shared" si="164"/>
        <v>2.6579999999999999</v>
      </c>
      <c r="S2660">
        <f t="shared" si="165"/>
        <v>-1.2523169187322636</v>
      </c>
    </row>
    <row r="2661" spans="1:19" x14ac:dyDescent="0.3">
      <c r="A2661">
        <v>2.6589999999999998</v>
      </c>
      <c r="B2661">
        <f>Uo*COS(2*PI()*Wn*Sheet2!A2661) + (Vo/Wn - (Po*(w/Wn))/(K*(1-(w/Wn)^2)))*SIN(2*PI()*Wn*Sheet2!A2661) +(Po*SIN(2*PI()*w*Sheet2!A2661))/(K*(1-(w/Wn)^2))</f>
        <v>-11.854425663754656</v>
      </c>
      <c r="C2661">
        <f t="shared" si="166"/>
        <v>-1.2273435964688462</v>
      </c>
      <c r="D2661">
        <f t="shared" si="167"/>
        <v>-200.48024799276672</v>
      </c>
      <c r="R2661">
        <f t="shared" si="164"/>
        <v>2.6589999999999998</v>
      </c>
      <c r="S2661">
        <f t="shared" si="165"/>
        <v>-1.2273435964688462</v>
      </c>
    </row>
    <row r="2662" spans="1:19" x14ac:dyDescent="0.3">
      <c r="A2662">
        <v>2.66</v>
      </c>
      <c r="B2662">
        <f>Uo*COS(2*PI()*Wn*Sheet2!A2662) + (Vo/Wn - (Po*(w/Wn))/(K*(1-(w/Wn)^2)))*SIN(2*PI()*Wn*Sheet2!A2662) +(Po*SIN(2*PI()*w*Sheet2!A2662))/(K*(1-(w/Wn)^2))</f>
        <v>-11.561357446132106</v>
      </c>
      <c r="C2662">
        <f t="shared" si="166"/>
        <v>-1.2020147841671589</v>
      </c>
      <c r="D2662">
        <f t="shared" si="167"/>
        <v>-196.34291710497453</v>
      </c>
      <c r="R2662">
        <f t="shared" si="164"/>
        <v>2.66</v>
      </c>
      <c r="S2662">
        <f t="shared" si="165"/>
        <v>-1.2020147841671589</v>
      </c>
    </row>
    <row r="2663" spans="1:19" x14ac:dyDescent="0.3">
      <c r="A2663">
        <v>2.661</v>
      </c>
      <c r="B2663">
        <f>Uo*COS(2*PI()*Wn*Sheet2!A2663) + (Vo/Wn - (Po*(w/Wn))/(K*(1-(w/Wn)^2)))*SIN(2*PI()*Wn*Sheet2!A2663) +(Po*SIN(2*PI()*w*Sheet2!A2663))/(K*(1-(w/Wn)^2))</f>
        <v>-11.264512355082218</v>
      </c>
      <c r="C2663">
        <f t="shared" si="166"/>
        <v>-1.1763393907426396</v>
      </c>
      <c r="D2663">
        <f t="shared" si="167"/>
        <v>-192.14897397782664</v>
      </c>
      <c r="R2663">
        <f t="shared" si="164"/>
        <v>2.661</v>
      </c>
      <c r="S2663">
        <f t="shared" si="165"/>
        <v>-1.1763393907426396</v>
      </c>
    </row>
    <row r="2664" spans="1:19" x14ac:dyDescent="0.3">
      <c r="A2664">
        <v>2.6619999999999999</v>
      </c>
      <c r="B2664">
        <f>Uo*COS(2*PI()*Wn*Sheet2!A2664) + (Vo/Wn - (Po*(w/Wn))/(K*(1-(w/Wn)^2)))*SIN(2*PI()*Wn*Sheet2!A2664) +(Po*SIN(2*PI()*w*Sheet2!A2664))/(K*(1-(w/Wn)^2))</f>
        <v>-10.963987364195072</v>
      </c>
      <c r="C2664">
        <f t="shared" si="166"/>
        <v>-1.1503264221419036</v>
      </c>
      <c r="D2664">
        <f t="shared" si="167"/>
        <v>-187.89988968626579</v>
      </c>
      <c r="R2664">
        <f t="shared" si="164"/>
        <v>2.6619999999999999</v>
      </c>
      <c r="S2664">
        <f t="shared" si="165"/>
        <v>-1.1503264221419036</v>
      </c>
    </row>
    <row r="2665" spans="1:19" x14ac:dyDescent="0.3">
      <c r="A2665">
        <v>2.6629999999999998</v>
      </c>
      <c r="B2665">
        <f>Uo*COS(2*PI()*Wn*Sheet2!A2665) + (Vo/Wn - (Po*(w/Wn))/(K*(1-(w/Wn)^2)))*SIN(2*PI()*Wn*Sheet2!A2665) +(Po*SIN(2*PI()*w*Sheet2!A2665))/(K*(1-(w/Wn)^2))</f>
        <v>-10.659880649213118</v>
      </c>
      <c r="C2665">
        <f t="shared" si="166"/>
        <v>-1.1239849782281517</v>
      </c>
      <c r="D2665">
        <f t="shared" si="167"/>
        <v>-183.59715064602457</v>
      </c>
      <c r="R2665">
        <f t="shared" si="164"/>
        <v>2.6629999999999998</v>
      </c>
      <c r="S2665">
        <f t="shared" si="165"/>
        <v>-1.1239849782281517</v>
      </c>
    </row>
    <row r="2666" spans="1:19" x14ac:dyDescent="0.3">
      <c r="A2666">
        <v>2.6640000000000001</v>
      </c>
      <c r="B2666">
        <f>Uo*COS(2*PI()*Wn*Sheet2!A2666) + (Vo/Wn - (Po*(w/Wn))/(K*(1-(w/Wn)^2)))*SIN(2*PI()*Wn*Sheet2!A2666) +(Po*SIN(2*PI()*w*Sheet2!A2666))/(K*(1-(w/Wn)^2))</f>
        <v>-10.35229155595915</v>
      </c>
      <c r="C2666">
        <f t="shared" si="166"/>
        <v>-1.0973242496414861</v>
      </c>
      <c r="D2666">
        <f t="shared" si="167"/>
        <v>-179.24225810077454</v>
      </c>
      <c r="R2666">
        <f t="shared" si="164"/>
        <v>2.6640000000000001</v>
      </c>
      <c r="S2666">
        <f t="shared" si="165"/>
        <v>-1.0973242496414861</v>
      </c>
    </row>
    <row r="2667" spans="1:19" x14ac:dyDescent="0.3">
      <c r="A2667">
        <v>2.665</v>
      </c>
      <c r="B2667">
        <f>Uo*COS(2*PI()*Wn*Sheet2!A2667) + (Vo/Wn - (Po*(w/Wn))/(K*(1-(w/Wn)^2)))*SIN(2*PI()*Wn*Sheet2!A2667) +(Po*SIN(2*PI()*w*Sheet2!A2667))/(K*(1-(w/Wn)^2))</f>
        <v>-10.041320567882781</v>
      </c>
      <c r="C2667">
        <f t="shared" si="166"/>
        <v>-1.07035351463533</v>
      </c>
      <c r="D2667">
        <f t="shared" si="167"/>
        <v>-174.83672760537132</v>
      </c>
      <c r="R2667">
        <f t="shared" si="164"/>
        <v>2.665</v>
      </c>
      <c r="S2667">
        <f t="shared" si="165"/>
        <v>-1.07035351463533</v>
      </c>
    </row>
    <row r="2668" spans="1:19" x14ac:dyDescent="0.3">
      <c r="A2668">
        <v>2.6659999999999999</v>
      </c>
      <c r="B2668">
        <f>Uo*COS(2*PI()*Wn*Sheet2!A2668) + (Vo/Wn - (Po*(w/Wn))/(K*(1-(w/Wn)^2)))*SIN(2*PI()*Wn*Sheet2!A2668) +(Po*SIN(2*PI()*w*Sheet2!A2668))/(K*(1-(w/Wn)^2))</f>
        <v>-9.727069273232992</v>
      </c>
      <c r="C2668">
        <f t="shared" si="166"/>
        <v>-1.0430821358898759</v>
      </c>
      <c r="D2668">
        <f t="shared" si="167"/>
        <v>-170.38208850534804</v>
      </c>
      <c r="R2668">
        <f t="shared" si="164"/>
        <v>2.6659999999999999</v>
      </c>
      <c r="S2668">
        <f t="shared" si="165"/>
        <v>-1.0430821358898759</v>
      </c>
    </row>
    <row r="2669" spans="1:19" x14ac:dyDescent="0.3">
      <c r="A2669">
        <v>2.6669999999999998</v>
      </c>
      <c r="B2669">
        <f>Uo*COS(2*PI()*Wn*Sheet2!A2669) + (Vo/Wn - (Po*(w/Wn))/(K*(1-(w/Wn)^2)))*SIN(2*PI()*Wn*Sheet2!A2669) +(Po*SIN(2*PI()*w*Sheet2!A2669))/(K*(1-(w/Wn)^2))</f>
        <v>-9.4096403318720299</v>
      </c>
      <c r="C2669">
        <f t="shared" si="166"/>
        <v>-1.0155195573037754</v>
      </c>
      <c r="D2669">
        <f t="shared" si="167"/>
        <v>-165.87988341285435</v>
      </c>
      <c r="R2669">
        <f t="shared" si="164"/>
        <v>2.6669999999999998</v>
      </c>
      <c r="S2669">
        <f t="shared" si="165"/>
        <v>-1.0155195573037754</v>
      </c>
    </row>
    <row r="2670" spans="1:19" x14ac:dyDescent="0.3">
      <c r="A2670">
        <v>2.6680000000000001</v>
      </c>
      <c r="B2670">
        <f>Uo*COS(2*PI()*Wn*Sheet2!A2670) + (Vo/Wn - (Po*(w/Wn))/(K*(1-(w/Wn)^2)))*SIN(2*PI()*Wn*Sheet2!A2670) +(Po*SIN(2*PI()*w*Sheet2!A2670))/(K*(1-(w/Wn)^2))</f>
        <v>-9.08913744173854</v>
      </c>
      <c r="C2670">
        <f t="shared" si="166"/>
        <v>-0.9876753007651623</v>
      </c>
      <c r="D2670">
        <f t="shared" si="167"/>
        <v>-161.33166767921969</v>
      </c>
      <c r="R2670">
        <f t="shared" si="164"/>
        <v>2.6680000000000001</v>
      </c>
      <c r="S2670">
        <f t="shared" si="165"/>
        <v>-0.9876753007651623</v>
      </c>
    </row>
    <row r="2671" spans="1:19" x14ac:dyDescent="0.3">
      <c r="A2671">
        <v>2.669</v>
      </c>
      <c r="B2671">
        <f>Uo*COS(2*PI()*Wn*Sheet2!A2671) + (Vo/Wn - (Po*(w/Wn))/(K*(1-(w/Wn)^2)))*SIN(2*PI()*Wn*Sheet2!A2671) +(Po*SIN(2*PI()*w*Sheet2!A2671))/(K*(1-(w/Wn)^2))</f>
        <v>-8.7656653049710727</v>
      </c>
      <c r="C2671">
        <f t="shared" si="166"/>
        <v>-0.95955896290301324</v>
      </c>
      <c r="D2671">
        <f t="shared" si="167"/>
        <v>-156.73900886430474</v>
      </c>
      <c r="R2671">
        <f t="shared" si="164"/>
        <v>2.669</v>
      </c>
      <c r="S2671">
        <f t="shared" si="165"/>
        <v>-0.95955896290301324</v>
      </c>
    </row>
    <row r="2672" spans="1:19" x14ac:dyDescent="0.3">
      <c r="A2672">
        <v>2.67</v>
      </c>
      <c r="B2672">
        <f>Uo*COS(2*PI()*Wn*Sheet2!A2672) + (Vo/Wn - (Po*(w/Wn))/(K*(1-(w/Wn)^2)))*SIN(2*PI()*Wn*Sheet2!A2672) +(Po*SIN(2*PI()*w*Sheet2!A2672))/(K*(1-(w/Wn)^2))</f>
        <v>-8.4393295937041497</v>
      </c>
      <c r="C2672">
        <f t="shared" si="166"/>
        <v>-0.93118021181991717</v>
      </c>
      <c r="D2672">
        <f t="shared" si="167"/>
        <v>-152.10348620281627</v>
      </c>
      <c r="R2672">
        <f t="shared" si="164"/>
        <v>2.67</v>
      </c>
      <c r="S2672">
        <f t="shared" si="165"/>
        <v>-0.93118021181991717</v>
      </c>
    </row>
    <row r="2673" spans="1:19" x14ac:dyDescent="0.3">
      <c r="A2673">
        <v>2.6709999999999998</v>
      </c>
      <c r="B2673">
        <f>Uo*COS(2*PI()*Wn*Sheet2!A2673) + (Vo/Wn - (Po*(w/Wn))/(K*(1-(w/Wn)^2)))*SIN(2*PI()*Wn*Sheet2!A2673) +(Po*SIN(2*PI()*w*Sheet2!A2673))/(K*(1-(w/Wn)^2))</f>
        <v>-8.1102369155468317</v>
      </c>
      <c r="C2673">
        <f t="shared" si="166"/>
        <v>-0.9025487838075219</v>
      </c>
      <c r="D2673">
        <f t="shared" si="167"/>
        <v>-147.42669006779218</v>
      </c>
      <c r="R2673">
        <f t="shared" si="164"/>
        <v>2.6709999999999998</v>
      </c>
      <c r="S2673">
        <f t="shared" si="165"/>
        <v>-0.9025487838075219</v>
      </c>
    </row>
    <row r="2674" spans="1:19" x14ac:dyDescent="0.3">
      <c r="A2674">
        <v>2.6720000000000002</v>
      </c>
      <c r="B2674">
        <f>Uo*COS(2*PI()*Wn*Sheet2!A2674) + (Vo/Wn - (Po*(w/Wn))/(K*(1-(w/Wn)^2)))*SIN(2*PI()*Wn*Sheet2!A2674) +(Po*SIN(2*PI()*w*Sheet2!A2674))/(K*(1-(w/Wn)^2))</f>
        <v>-7.7784947787561762</v>
      </c>
      <c r="C2674">
        <f t="shared" si="166"/>
        <v>-0.87367448004558645</v>
      </c>
      <c r="D2674">
        <f t="shared" si="167"/>
        <v>-142.7102214314088</v>
      </c>
      <c r="R2674">
        <f t="shared" si="164"/>
        <v>2.6720000000000002</v>
      </c>
      <c r="S2674">
        <f t="shared" si="165"/>
        <v>-0.87367448004558645</v>
      </c>
    </row>
    <row r="2675" spans="1:19" x14ac:dyDescent="0.3">
      <c r="A2675">
        <v>2.673</v>
      </c>
      <c r="B2675">
        <f>Uo*COS(2*PI()*Wn*Sheet2!A2675) + (Vo/Wn - (Po*(w/Wn))/(K*(1-(w/Wn)^2)))*SIN(2*PI()*Wn*Sheet2!A2675) +(Po*SIN(2*PI()*w*Sheet2!A2675))/(K*(1-(w/Wn)^2))</f>
        <v>-7.4442115571172707</v>
      </c>
      <c r="C2675">
        <f t="shared" si="166"/>
        <v>-0.84456716328588555</v>
      </c>
      <c r="D2675">
        <f t="shared" si="167"/>
        <v>-137.95569132331372</v>
      </c>
      <c r="R2675">
        <f t="shared" si="164"/>
        <v>2.673</v>
      </c>
      <c r="S2675">
        <f t="shared" si="165"/>
        <v>-0.84456716328588555</v>
      </c>
    </row>
    <row r="2676" spans="1:19" x14ac:dyDescent="0.3">
      <c r="A2676">
        <v>2.6739999999999999</v>
      </c>
      <c r="B2676">
        <f>Uo*COS(2*PI()*Wn*Sheet2!A2676) + (Vo/Wn - (Po*(w/Wn))/(K*(1-(w/Wn)^2)))*SIN(2*PI()*Wn*Sheet2!A2676) +(Po*SIN(2*PI()*w*Sheet2!A2676))/(K*(1-(w/Wn)^2))</f>
        <v>-7.1074964545380368</v>
      </c>
      <c r="C2676">
        <f t="shared" si="166"/>
        <v>-0.81523675452190292</v>
      </c>
      <c r="D2676">
        <f t="shared" si="167"/>
        <v>-133.16472028663733</v>
      </c>
      <c r="R2676">
        <f t="shared" si="164"/>
        <v>2.6739999999999999</v>
      </c>
      <c r="S2676">
        <f t="shared" si="165"/>
        <v>-0.81523675452190292</v>
      </c>
    </row>
    <row r="2677" spans="1:19" x14ac:dyDescent="0.3">
      <c r="A2677">
        <v>2.6749999999999998</v>
      </c>
      <c r="B2677">
        <f>Uo*COS(2*PI()*Wn*Sheet2!A2677) + (Vo/Wn - (Po*(w/Wn))/(K*(1-(w/Wn)^2)))*SIN(2*PI()*Wn*Sheet2!A2677) +(Po*SIN(2*PI()*w*Sheet2!A2677))/(K*(1-(w/Wn)^2))</f>
        <v>-6.7684594693753208</v>
      </c>
      <c r="C2677">
        <f t="shared" si="166"/>
        <v>-0.78569322964558541</v>
      </c>
      <c r="D2677">
        <f t="shared" si="167"/>
        <v>-128.338937831891</v>
      </c>
      <c r="R2677">
        <f t="shared" si="164"/>
        <v>2.6749999999999998</v>
      </c>
      <c r="S2677">
        <f t="shared" si="165"/>
        <v>-0.78569322964558541</v>
      </c>
    </row>
    <row r="2678" spans="1:19" x14ac:dyDescent="0.3">
      <c r="A2678">
        <v>2.6760000000000002</v>
      </c>
      <c r="B2678">
        <f>Uo*COS(2*PI()*Wn*Sheet2!A2678) + (Vo/Wn - (Po*(w/Wn))/(K*(1-(w/Wn)^2)))*SIN(2*PI()*Wn*Sheet2!A2678) +(Po*SIN(2*PI()*w*Sheet2!A2678))/(K*(1-(w/Wn)^2))</f>
        <v>-6.4272113585006787</v>
      </c>
      <c r="C2678">
        <f t="shared" si="166"/>
        <v>-0.75594661609226321</v>
      </c>
      <c r="D2678">
        <f t="shared" si="167"/>
        <v>-123.47998188893196</v>
      </c>
      <c r="R2678">
        <f t="shared" si="164"/>
        <v>2.6760000000000002</v>
      </c>
      <c r="S2678">
        <f t="shared" si="165"/>
        <v>-0.75594661609226321</v>
      </c>
    </row>
    <row r="2679" spans="1:19" x14ac:dyDescent="0.3">
      <c r="A2679">
        <v>2.677</v>
      </c>
      <c r="B2679">
        <f>Uo*COS(2*PI()*Wn*Sheet2!A2679) + (Vo/Wn - (Po*(w/Wn))/(K*(1-(w/Wn)^2)))*SIN(2*PI()*Wn*Sheet2!A2679) +(Po*SIN(2*PI()*w*Sheet2!A2679))/(K*(1-(w/Wn)^2))</f>
        <v>-6.0838636011178355</v>
      </c>
      <c r="C2679">
        <f t="shared" si="166"/>
        <v>-0.72600698947476106</v>
      </c>
      <c r="D2679">
        <f t="shared" si="167"/>
        <v>-118.58949825716273</v>
      </c>
      <c r="R2679">
        <f t="shared" si="164"/>
        <v>2.677</v>
      </c>
      <c r="S2679">
        <f t="shared" si="165"/>
        <v>-0.72600698947476106</v>
      </c>
    </row>
    <row r="2680" spans="1:19" x14ac:dyDescent="0.3">
      <c r="A2680">
        <v>2.6779999999999999</v>
      </c>
      <c r="B2680">
        <f>Uo*COS(2*PI()*Wn*Sheet2!A2680) + (Vo/Wn - (Po*(w/Wn))/(K*(1-(w/Wn)^2)))*SIN(2*PI()*Wn*Sheet2!A2680) +(Po*SIN(2*PI()*w*Sheet2!A2680))/(K*(1-(w/Wn)^2))</f>
        <v>-5.7385283623448444</v>
      </c>
      <c r="C2680">
        <f t="shared" si="166"/>
        <v>-0.69588447020780164</v>
      </c>
      <c r="D2680">
        <f t="shared" si="167"/>
        <v>-113.66914005414489</v>
      </c>
      <c r="R2680">
        <f t="shared" si="164"/>
        <v>2.6779999999999999</v>
      </c>
      <c r="S2680">
        <f t="shared" si="165"/>
        <v>-0.69588447020780164</v>
      </c>
    </row>
    <row r="2681" spans="1:19" x14ac:dyDescent="0.3">
      <c r="A2681">
        <v>2.6789999999999998</v>
      </c>
      <c r="B2681">
        <f>Uo*COS(2*PI()*Wn*Sheet2!A2681) + (Vo/Wn - (Po*(w/Wn))/(K*(1-(w/Wn)^2)))*SIN(2*PI()*Wn*Sheet2!A2681) +(Po*SIN(2*PI()*w*Sheet2!A2681))/(K*(1-(w/Wn)^2))</f>
        <v>-5.3913184565714802</v>
      </c>
      <c r="C2681">
        <f t="shared" si="166"/>
        <v>-0.66558922012399191</v>
      </c>
      <c r="D2681">
        <f t="shared" si="167"/>
        <v>-108.72056716283781</v>
      </c>
      <c r="R2681">
        <f t="shared" si="164"/>
        <v>2.6789999999999998</v>
      </c>
      <c r="S2681">
        <f t="shared" si="165"/>
        <v>-0.66558922012399191</v>
      </c>
    </row>
    <row r="2682" spans="1:19" x14ac:dyDescent="0.3">
      <c r="A2682">
        <v>2.68</v>
      </c>
      <c r="B2682">
        <f>Uo*COS(2*PI()*Wn*Sheet2!A2682) + (Vo/Wn - (Po*(w/Wn))/(K*(1-(w/Wn)^2)))*SIN(2*PI()*Wn*Sheet2!A2682) +(Po*SIN(2*PI()*w*Sheet2!A2682))/(K*(1-(w/Wn)^2))</f>
        <v>-5.042347310605086</v>
      </c>
      <c r="C2682">
        <f t="shared" si="166"/>
        <v>-0.63513143908232483</v>
      </c>
      <c r="D2682">
        <f t="shared" si="167"/>
        <v>-103.745445677615</v>
      </c>
      <c r="R2682">
        <f t="shared" si="164"/>
        <v>2.68</v>
      </c>
      <c r="S2682">
        <f t="shared" si="165"/>
        <v>-0.63513143908232483</v>
      </c>
    </row>
    <row r="2683" spans="1:19" x14ac:dyDescent="0.3">
      <c r="A2683">
        <v>2.681</v>
      </c>
      <c r="B2683">
        <f>Uo*COS(2*PI()*Wn*Sheet2!A2683) + (Vo/Wn - (Po*(w/Wn))/(K*(1-(w/Wn)^2)))*SIN(2*PI()*Wn*Sheet2!A2683) +(Po*SIN(2*PI()*w*Sheet2!A2683))/(K*(1-(w/Wn)^2))</f>
        <v>-4.69172892661717</v>
      </c>
      <c r="C2683">
        <f t="shared" si="166"/>
        <v>-0.60452136157047265</v>
      </c>
      <c r="D2683">
        <f t="shared" si="167"/>
        <v>-98.745447349266101</v>
      </c>
      <c r="R2683">
        <f t="shared" si="164"/>
        <v>2.681</v>
      </c>
      <c r="S2683">
        <f t="shared" si="165"/>
        <v>-0.60452136157047265</v>
      </c>
    </row>
    <row r="2684" spans="1:19" x14ac:dyDescent="0.3">
      <c r="A2684">
        <v>2.6819999999999999</v>
      </c>
      <c r="B2684">
        <f>Uo*COS(2*PI()*Wn*Sheet2!A2684) + (Vo/Wn - (Po*(w/Wn))/(K*(1-(w/Wn)^2)))*SIN(2*PI()*Wn*Sheet2!A2684) +(Po*SIN(2*PI()*w*Sheet2!A2684))/(K*(1-(w/Wn)^2))</f>
        <v>-4.3395778448993054</v>
      </c>
      <c r="C2684">
        <f t="shared" si="166"/>
        <v>-0.57376925330179152</v>
      </c>
      <c r="D2684">
        <f t="shared" si="167"/>
        <v>-93.722249029135298</v>
      </c>
      <c r="R2684">
        <f t="shared" si="164"/>
        <v>2.6819999999999999</v>
      </c>
      <c r="S2684">
        <f t="shared" si="165"/>
        <v>-0.57376925330179152</v>
      </c>
    </row>
    <row r="2685" spans="1:19" x14ac:dyDescent="0.3">
      <c r="A2685">
        <v>2.6829999999999998</v>
      </c>
      <c r="B2685">
        <f>Uo*COS(2*PI()*Wn*Sheet2!A2685) + (Vo/Wn - (Po*(w/Wn))/(K*(1-(w/Wn)^2)))*SIN(2*PI()*Wn*Sheet2!A2685) +(Po*SIN(2*PI()*w*Sheet2!A2685))/(K*(1-(w/Wn)^2))</f>
        <v>-3.9860091064466641</v>
      </c>
      <c r="C2685">
        <f t="shared" si="166"/>
        <v>-0.54288540780840722</v>
      </c>
      <c r="D2685">
        <f t="shared" si="167"/>
        <v>-88.677532112619303</v>
      </c>
      <c r="R2685">
        <f t="shared" si="164"/>
        <v>2.6829999999999998</v>
      </c>
      <c r="S2685">
        <f t="shared" si="165"/>
        <v>-0.54288540780840722</v>
      </c>
    </row>
    <row r="2686" spans="1:19" x14ac:dyDescent="0.3">
      <c r="A2686">
        <v>2.6840000000000002</v>
      </c>
      <c r="B2686">
        <f>Uo*COS(2*PI()*Wn*Sheet2!A2686) + (Vo/Wn - (Po*(w/Wn))/(K*(1-(w/Wn)^2)))*SIN(2*PI()*Wn*Sheet2!A2686) +(Po*SIN(2*PI()*w*Sheet2!A2686))/(K*(1-(w/Wn)^2))</f>
        <v>-3.6311382153750915</v>
      </c>
      <c r="C2686">
        <f t="shared" si="166"/>
        <v>-0.5118801430312484</v>
      </c>
      <c r="D2686">
        <f t="shared" si="167"/>
        <v>-83.612981982166914</v>
      </c>
      <c r="R2686">
        <f t="shared" si="164"/>
        <v>2.6840000000000002</v>
      </c>
      <c r="S2686">
        <f t="shared" si="165"/>
        <v>-0.5118801430312484</v>
      </c>
    </row>
    <row r="2687" spans="1:19" x14ac:dyDescent="0.3">
      <c r="A2687">
        <v>2.6850000000000001</v>
      </c>
      <c r="B2687">
        <f>Uo*COS(2*PI()*Wn*Sheet2!A2687) + (Vo/Wn - (Po*(w/Wn))/(K*(1-(w/Wn)^2)))*SIN(2*PI()*Wn*Sheet2!A2687) +(Po*SIN(2*PI()*w*Sheet2!A2687))/(K*(1-(w/Wn)^2))</f>
        <v>-3.2750811011891008</v>
      </c>
      <c r="C2687">
        <f t="shared" si="166"/>
        <v>-0.48076379790846024</v>
      </c>
      <c r="D2687">
        <f t="shared" si="167"/>
        <v>-78.530287450014015</v>
      </c>
      <c r="R2687">
        <f t="shared" si="164"/>
        <v>2.6850000000000001</v>
      </c>
      <c r="S2687">
        <f t="shared" si="165"/>
        <v>-0.48076379790846024</v>
      </c>
    </row>
    <row r="2688" spans="1:19" x14ac:dyDescent="0.3">
      <c r="A2688">
        <v>2.6859999999999999</v>
      </c>
      <c r="B2688">
        <f>Uo*COS(2*PI()*Wn*Sheet2!A2688) + (Vo/Wn - (Po*(w/Wn))/(K*(1-(w/Wn)^2)))*SIN(2*PI()*Wn*Sheet2!A2688) +(Po*SIN(2*PI()*w*Sheet2!A2688))/(K*(1-(w/Wn)^2))</f>
        <v>-2.917954080909515</v>
      </c>
      <c r="C2688">
        <f t="shared" si="166"/>
        <v>-0.44954672896288245</v>
      </c>
      <c r="D2688">
        <f t="shared" si="167"/>
        <v>-73.431140200765626</v>
      </c>
      <c r="R2688">
        <f t="shared" si="164"/>
        <v>2.6859999999999999</v>
      </c>
      <c r="S2688">
        <f t="shared" si="165"/>
        <v>-0.44954672896288245</v>
      </c>
    </row>
    <row r="2689" spans="1:19" x14ac:dyDescent="0.3">
      <c r="A2689">
        <v>2.6869999999999998</v>
      </c>
      <c r="B2689">
        <f>Uo*COS(2*PI()*Wn*Sheet2!A2689) + (Vo/Wn - (Po*(w/Wn))/(K*(1-(w/Wn)^2)))*SIN(2*PI()*Wn*Sheet2!A2689) +(Po*SIN(2*PI()*w*Sheet2!A2689))/(K*(1-(w/Wn)^2))</f>
        <v>-2.5598738210746501</v>
      </c>
      <c r="C2689">
        <f t="shared" si="166"/>
        <v>-0.41823930689013433</v>
      </c>
      <c r="D2689">
        <f t="shared" si="167"/>
        <v>-68.31723423407729</v>
      </c>
      <c r="R2689">
        <f t="shared" ref="R2689:R2752" si="168">A2689</f>
        <v>2.6869999999999998</v>
      </c>
      <c r="S2689">
        <f t="shared" ref="S2689:S2752" si="169">C2689</f>
        <v>-0.41823930689013433</v>
      </c>
    </row>
    <row r="2690" spans="1:19" x14ac:dyDescent="0.3">
      <c r="A2690">
        <v>2.6880000000000002</v>
      </c>
      <c r="B2690">
        <f>Uo*COS(2*PI()*Wn*Sheet2!A2690) + (Vo/Wn - (Po*(w/Wn))/(K*(1-(w/Wn)^2)))*SIN(2*PI()*Wn*Sheet2!A2690) +(Po*SIN(2*PI()*w*Sheet2!A2690))/(K*(1-(w/Wn)^2))</f>
        <v>-2.2009572996277322</v>
      </c>
      <c r="C2690">
        <f t="shared" ref="C2690:C2753" si="170">EXP(-zeta*Wn*A2690*2*PI())*($H$1*COS(wnD*2*PI()*A2690) + $H$2*SIN(wnD*2*PI()*A2690)) + $H$3*SIN(w*2*PI()*A2690) + $H$4*COS(w*2*PI()*A2690)</f>
        <v>-0.38685191314815093</v>
      </c>
      <c r="D2690">
        <f t="shared" ref="D2690:D2753" si="171">K*C2690</f>
        <v>-63.190265307573284</v>
      </c>
      <c r="R2690">
        <f t="shared" si="168"/>
        <v>2.6880000000000002</v>
      </c>
      <c r="S2690">
        <f t="shared" si="169"/>
        <v>-0.38685191314815093</v>
      </c>
    </row>
    <row r="2691" spans="1:19" x14ac:dyDescent="0.3">
      <c r="A2691">
        <v>2.6890000000000001</v>
      </c>
      <c r="B2691">
        <f>Uo*COS(2*PI()*Wn*Sheet2!A2691) + (Vo/Wn - (Po*(w/Wn))/(K*(1-(w/Wn)^2)))*SIN(2*PI()*Wn*Sheet2!A2691) +(Po*SIN(2*PI()*w*Sheet2!A2691))/(K*(1-(w/Wn)^2))</f>
        <v>-1.8413217677034424</v>
      </c>
      <c r="C2691">
        <f t="shared" si="170"/>
        <v>-0.35539493654943605</v>
      </c>
      <c r="D2691">
        <f t="shared" si="171"/>
        <v>-58.051930380208795</v>
      </c>
      <c r="R2691">
        <f t="shared" si="168"/>
        <v>2.6890000000000001</v>
      </c>
      <c r="S2691">
        <f t="shared" si="169"/>
        <v>-0.35539493654943605</v>
      </c>
    </row>
    <row r="2692" spans="1:19" x14ac:dyDescent="0.3">
      <c r="A2692">
        <v>2.69</v>
      </c>
      <c r="B2692">
        <f>Uo*COS(2*PI()*Wn*Sheet2!A2692) + (Vo/Wn - (Po*(w/Wn))/(K*(1-(w/Wn)^2)))*SIN(2*PI()*Wn*Sheet2!A2692) +(Po*SIN(2*PI()*w*Sheet2!A2692))/(K*(1-(w/Wn)^2))</f>
        <v>-1.4810847113223871</v>
      </c>
      <c r="C2692">
        <f t="shared" si="170"/>
        <v>-0.32387876985694769</v>
      </c>
      <c r="D2692">
        <f t="shared" si="171"/>
        <v>-52.903927056225328</v>
      </c>
      <c r="R2692">
        <f t="shared" si="168"/>
        <v>2.69</v>
      </c>
      <c r="S2692">
        <f t="shared" si="169"/>
        <v>-0.32387876985694769</v>
      </c>
    </row>
    <row r="2693" spans="1:19" x14ac:dyDescent="0.3">
      <c r="A2693">
        <v>2.6909999999999998</v>
      </c>
      <c r="B2693">
        <f>Uo*COS(2*PI()*Wn*Sheet2!A2693) + (Vo/Wn - (Po*(w/Wn))/(K*(1-(w/Wn)^2)))*SIN(2*PI()*Wn*Sheet2!A2693) +(Po*SIN(2*PI()*w*Sheet2!A2693))/(K*(1-(w/Wn)^2))</f>
        <v>-1.1203638130123665</v>
      </c>
      <c r="C2693">
        <f t="shared" si="170"/>
        <v>-0.29231380638497617</v>
      </c>
      <c r="D2693">
        <f t="shared" si="171"/>
        <v>-47.747953029921682</v>
      </c>
      <c r="R2693">
        <f t="shared" si="168"/>
        <v>2.6909999999999998</v>
      </c>
      <c r="S2693">
        <f t="shared" si="169"/>
        <v>-0.29231380638497617</v>
      </c>
    </row>
    <row r="2694" spans="1:19" x14ac:dyDescent="0.3">
      <c r="A2694">
        <v>2.6920000000000002</v>
      </c>
      <c r="B2694">
        <f>Uo*COS(2*PI()*Wn*Sheet2!A2694) + (Vo/Wn - (Po*(w/Wn))/(K*(1-(w/Wn)^2)))*SIN(2*PI()*Wn*Sheet2!A2694) +(Po*SIN(2*PI()*w*Sheet2!A2694))/(K*(1-(w/Wn)^2))</f>
        <v>-0.75927691336247971</v>
      </c>
      <c r="C2694">
        <f t="shared" si="170"/>
        <v>-0.26071043660584453</v>
      </c>
      <c r="D2694">
        <f t="shared" si="171"/>
        <v>-42.585705531375957</v>
      </c>
      <c r="R2694">
        <f t="shared" si="168"/>
        <v>2.6920000000000002</v>
      </c>
      <c r="S2694">
        <f t="shared" si="169"/>
        <v>-0.26071043660584453</v>
      </c>
    </row>
    <row r="2695" spans="1:19" x14ac:dyDescent="0.3">
      <c r="A2695">
        <v>2.6930000000000001</v>
      </c>
      <c r="B2695">
        <f>Uo*COS(2*PI()*Wn*Sheet2!A2695) + (Vo/Wn - (Po*(w/Wn))/(K*(1-(w/Wn)^2)))*SIN(2*PI()*Wn*Sheet2!A2695) +(Po*SIN(2*PI()*w*Sheet2!A2695))/(K*(1-(w/Wn)^2))</f>
        <v>-0.39794197252785868</v>
      </c>
      <c r="C2695">
        <f t="shared" si="170"/>
        <v>-0.22907904476386268</v>
      </c>
      <c r="D2695">
        <f t="shared" si="171"/>
        <v>-37.418880773352406</v>
      </c>
      <c r="R2695">
        <f t="shared" si="168"/>
        <v>2.6930000000000001</v>
      </c>
      <c r="S2695">
        <f t="shared" si="169"/>
        <v>-0.22907904476386268</v>
      </c>
    </row>
    <row r="2696" spans="1:19" x14ac:dyDescent="0.3">
      <c r="A2696">
        <v>2.694</v>
      </c>
      <c r="B2696">
        <f>Uo*COS(2*PI()*Wn*Sheet2!A2696) + (Vo/Wn - (Po*(w/Wn))/(K*(1-(w/Wn)^2)))*SIN(2*PI()*Wn*Sheet2!A2696) +(Po*SIN(2*PI()*w*Sheet2!A2696))/(K*(1-(w/Wn)^2))</f>
        <v>-3.647703169392754E-2</v>
      </c>
      <c r="C2696">
        <f t="shared" si="170"/>
        <v>-0.1974300054971809</v>
      </c>
      <c r="D2696">
        <f t="shared" si="171"/>
        <v>-32.249173399498652</v>
      </c>
      <c r="R2696">
        <f t="shared" si="168"/>
        <v>2.694</v>
      </c>
      <c r="S2696">
        <f t="shared" si="169"/>
        <v>-0.1974300054971809</v>
      </c>
    </row>
    <row r="2697" spans="1:19" x14ac:dyDescent="0.3">
      <c r="A2697">
        <v>2.6949999999999998</v>
      </c>
      <c r="B2697">
        <f>Uo*COS(2*PI()*Wn*Sheet2!A2697) + (Vo/Wn - (Po*(w/Wn))/(K*(1-(w/Wn)^2)))*SIN(2*PI()*Wn*Sheet2!A2697) +(Po*SIN(2*PI()*w*Sheet2!A2697))/(K*(1-(w/Wn)^2))</f>
        <v>0.32499982548567108</v>
      </c>
      <c r="C2697">
        <f t="shared" si="170"/>
        <v>-0.16577368046906477</v>
      </c>
      <c r="D2697">
        <f t="shared" si="171"/>
        <v>-27.078275934081809</v>
      </c>
      <c r="R2697">
        <f t="shared" si="168"/>
        <v>2.6949999999999998</v>
      </c>
      <c r="S2697">
        <f t="shared" si="169"/>
        <v>-0.16577368046906477</v>
      </c>
    </row>
    <row r="2698" spans="1:19" x14ac:dyDescent="0.3">
      <c r="A2698">
        <v>2.6960000000000002</v>
      </c>
      <c r="B2698">
        <f>Uo*COS(2*PI()*Wn*Sheet2!A2698) + (Vo/Wn - (Po*(w/Wn))/(K*(1-(w/Wn)^2)))*SIN(2*PI()*Wn*Sheet2!A2698) +(Po*SIN(2*PI()*w*Sheet2!A2698))/(K*(1-(w/Wn)^2))</f>
        <v>0.68637051146459516</v>
      </c>
      <c r="C2698">
        <f t="shared" si="170"/>
        <v>-0.13412041500940144</v>
      </c>
      <c r="D2698">
        <f t="shared" si="171"/>
        <v>-21.907878233395834</v>
      </c>
      <c r="R2698">
        <f t="shared" si="168"/>
        <v>2.6960000000000002</v>
      </c>
      <c r="S2698">
        <f t="shared" si="169"/>
        <v>-0.13412041500940144</v>
      </c>
    </row>
    <row r="2699" spans="1:19" x14ac:dyDescent="0.3">
      <c r="A2699">
        <v>2.6970000000000001</v>
      </c>
      <c r="B2699">
        <f>Uo*COS(2*PI()*Wn*Sheet2!A2699) + (Vo/Wn - (Po*(w/Wn))/(K*(1-(w/Wn)^2)))*SIN(2*PI()*Wn*Sheet2!A2699) +(Po*SIN(2*PI()*w*Sheet2!A2699))/(K*(1-(w/Wn)^2))</f>
        <v>1.0475169733797427</v>
      </c>
      <c r="C2699">
        <f t="shared" si="170"/>
        <v>-0.10248053476767686</v>
      </c>
      <c r="D2699">
        <f t="shared" si="171"/>
        <v>-16.739666939042621</v>
      </c>
      <c r="R2699">
        <f t="shared" si="168"/>
        <v>2.6970000000000001</v>
      </c>
      <c r="S2699">
        <f t="shared" si="169"/>
        <v>-0.10248053476767686</v>
      </c>
    </row>
    <row r="2700" spans="1:19" x14ac:dyDescent="0.3">
      <c r="A2700">
        <v>2.698</v>
      </c>
      <c r="B2700">
        <f>Uo*COS(2*PI()*Wn*Sheet2!A2700) + (Vo/Wn - (Po*(w/Wn))/(K*(1-(w/Wn)^2)))*SIN(2*PI()*Wn*Sheet2!A2700) +(Po*SIN(2*PI()*w*Sheet2!A2700))/(K*(1-(w/Wn)^2))</f>
        <v>1.408321231618701</v>
      </c>
      <c r="C2700">
        <f t="shared" si="170"/>
        <v>-7.0864342378295336E-2</v>
      </c>
      <c r="D2700">
        <f t="shared" si="171"/>
        <v>-11.575324933229155</v>
      </c>
      <c r="R2700">
        <f t="shared" si="168"/>
        <v>2.698</v>
      </c>
      <c r="S2700">
        <f t="shared" si="169"/>
        <v>-7.0864342378295336E-2</v>
      </c>
    </row>
    <row r="2701" spans="1:19" x14ac:dyDescent="0.3">
      <c r="A2701">
        <v>2.6989999999999998</v>
      </c>
      <c r="B2701">
        <f>Uo*COS(2*PI()*Wn*Sheet2!A2701) + (Vo/Wn - (Po*(w/Wn))/(K*(1-(w/Wn)^2)))*SIN(2*PI()*Wn*Sheet2!A2701) +(Po*SIN(2*PI()*w*Sheet2!A2701))/(K*(1-(w/Wn)^2))</f>
        <v>1.7686654183597164</v>
      </c>
      <c r="C2701">
        <f t="shared" si="170"/>
        <v>-3.9282114139569918E-2</v>
      </c>
      <c r="D2701">
        <f t="shared" si="171"/>
        <v>-6.4165307962977138</v>
      </c>
      <c r="R2701">
        <f t="shared" si="168"/>
        <v>2.6989999999999998</v>
      </c>
      <c r="S2701">
        <f t="shared" si="169"/>
        <v>-3.9282114139569918E-2</v>
      </c>
    </row>
    <row r="2702" spans="1:19" x14ac:dyDescent="0.3">
      <c r="A2702">
        <v>2.7</v>
      </c>
      <c r="B2702">
        <f>Uo*COS(2*PI()*Wn*Sheet2!A2702) + (Vo/Wn - (Po*(w/Wn))/(K*(1-(w/Wn)^2)))*SIN(2*PI()*Wn*Sheet2!A2702) +(Po*SIN(2*PI()*w*Sheet2!A2702))/(K*(1-(w/Wn)^2))</f>
        <v>2.1284318160781237</v>
      </c>
      <c r="C2702">
        <f t="shared" si="170"/>
        <v>-7.7440967071691139E-3</v>
      </c>
      <c r="D2702">
        <f t="shared" si="171"/>
        <v>-1.2649582666174284</v>
      </c>
      <c r="R2702">
        <f t="shared" si="168"/>
        <v>2.7</v>
      </c>
      <c r="S2702">
        <f t="shared" si="169"/>
        <v>-7.7440967071691139E-3</v>
      </c>
    </row>
    <row r="2703" spans="1:19" x14ac:dyDescent="0.3">
      <c r="A2703">
        <v>2.7010000000000001</v>
      </c>
      <c r="B2703">
        <f>Uo*COS(2*PI()*Wn*Sheet2!A2703) + (Vo/Wn - (Po*(w/Wn))/(K*(1-(w/Wn)^2)))*SIN(2*PI()*Wn*Sheet2!A2703) +(Po*SIN(2*PI()*w*Sheet2!A2703))/(K*(1-(w/Wn)^2))</f>
        <v>2.4875028960014101</v>
      </c>
      <c r="C2703">
        <f t="shared" si="170"/>
        <v>2.3739496196591832E-2</v>
      </c>
      <c r="D2703">
        <f t="shared" si="171"/>
        <v>3.8777242969360119</v>
      </c>
      <c r="R2703">
        <f t="shared" si="168"/>
        <v>2.7010000000000001</v>
      </c>
      <c r="S2703">
        <f t="shared" si="169"/>
        <v>2.3739496196591832E-2</v>
      </c>
    </row>
    <row r="2704" spans="1:19" x14ac:dyDescent="0.3">
      <c r="A2704">
        <v>2.702</v>
      </c>
      <c r="B2704">
        <f>Uo*COS(2*PI()*Wn*Sheet2!A2704) + (Vo/Wn - (Po*(w/Wn))/(K*(1-(w/Wn)^2)))*SIN(2*PI()*Wn*Sheet2!A2704) +(Po*SIN(2*PI()*w*Sheet2!A2704))/(K*(1-(w/Wn)^2))</f>
        <v>2.8457613565040321</v>
      </c>
      <c r="C2704">
        <f t="shared" si="170"/>
        <v>5.5158487057016856E-2</v>
      </c>
      <c r="D2704">
        <f t="shared" si="171"/>
        <v>9.0098544498148154</v>
      </c>
      <c r="R2704">
        <f t="shared" si="168"/>
        <v>2.702</v>
      </c>
      <c r="S2704">
        <f t="shared" si="169"/>
        <v>5.5158487057016856E-2</v>
      </c>
    </row>
    <row r="2705" spans="1:19" x14ac:dyDescent="0.3">
      <c r="A2705">
        <v>2.7029999999999998</v>
      </c>
      <c r="B2705">
        <f>Uo*COS(2*PI()*Wn*Sheet2!A2705) + (Vo/Wn - (Po*(w/Wn))/(K*(1-(w/Wn)^2)))*SIN(2*PI()*Wn*Sheet2!A2705) +(Po*SIN(2*PI()*w*Sheet2!A2705))/(K*(1-(w/Wn)^2))</f>
        <v>3.2030901614280265</v>
      </c>
      <c r="C2705">
        <f t="shared" si="170"/>
        <v>8.6502737823377779E-2</v>
      </c>
      <c r="D2705">
        <f t="shared" si="171"/>
        <v>14.129776193706858</v>
      </c>
      <c r="R2705">
        <f t="shared" si="168"/>
        <v>2.7029999999999998</v>
      </c>
      <c r="S2705">
        <f t="shared" si="169"/>
        <v>8.6502737823377779E-2</v>
      </c>
    </row>
    <row r="2706" spans="1:19" x14ac:dyDescent="0.3">
      <c r="A2706">
        <v>2.7040000000000002</v>
      </c>
      <c r="B2706">
        <f>Uo*COS(2*PI()*Wn*Sheet2!A2706) + (Vo/Wn - (Po*(w/Wn))/(K*(1-(w/Wn)^2)))*SIN(2*PI()*Wn*Sheet2!A2706) +(Po*SIN(2*PI()*w*Sheet2!A2706))/(K*(1-(w/Wn)^2))</f>
        <v>3.5593725783156298</v>
      </c>
      <c r="C2706">
        <f t="shared" si="170"/>
        <v>0.11776215314658953</v>
      </c>
      <c r="D2706">
        <f t="shared" si="171"/>
        <v>19.235840505393238</v>
      </c>
      <c r="R2706">
        <f t="shared" si="168"/>
        <v>2.7040000000000002</v>
      </c>
      <c r="S2706">
        <f t="shared" si="169"/>
        <v>0.11776215314658953</v>
      </c>
    </row>
    <row r="2707" spans="1:19" x14ac:dyDescent="0.3">
      <c r="A2707">
        <v>2.7050000000000001</v>
      </c>
      <c r="B2707">
        <f>Uo*COS(2*PI()*Wn*Sheet2!A2707) + (Vo/Wn - (Po*(w/Wn))/(K*(1-(w/Wn)^2)))*SIN(2*PI()*Wn*Sheet2!A2707) +(Po*SIN(2*PI()*w*Sheet2!A2707))/(K*(1-(w/Wn)^2))</f>
        <v>3.9144922165439544</v>
      </c>
      <c r="C2707">
        <f t="shared" si="170"/>
        <v>0.1489266835970271</v>
      </c>
      <c r="D2707">
        <f t="shared" si="171"/>
        <v>24.32640586236208</v>
      </c>
      <c r="R2707">
        <f t="shared" si="168"/>
        <v>2.7050000000000001</v>
      </c>
      <c r="S2707">
        <f t="shared" si="169"/>
        <v>0.1489266835970271</v>
      </c>
    </row>
    <row r="2708" spans="1:19" x14ac:dyDescent="0.3">
      <c r="A2708">
        <v>2.706</v>
      </c>
      <c r="B2708">
        <f>Uo*COS(2*PI()*Wn*Sheet2!A2708) + (Vo/Wn - (Po*(w/Wn))/(K*(1-(w/Wn)^2)))*SIN(2*PI()*Wn*Sheet2!A2708) +(Po*SIN(2*PI()*w*Sheet2!A2708))/(K*(1-(w/Wn)^2))</f>
        <v>4.2683330653479858</v>
      </c>
      <c r="C2708">
        <f t="shared" si="170"/>
        <v>0.17998632886166768</v>
      </c>
      <c r="D2708">
        <f t="shared" si="171"/>
        <v>29.399838765045221</v>
      </c>
      <c r="R2708">
        <f t="shared" si="168"/>
        <v>2.706</v>
      </c>
      <c r="S2708">
        <f t="shared" si="169"/>
        <v>0.17998632886166768</v>
      </c>
    </row>
    <row r="2709" spans="1:19" x14ac:dyDescent="0.3">
      <c r="A2709">
        <v>2.7069999999999999</v>
      </c>
      <c r="B2709">
        <f>Uo*COS(2*PI()*Wn*Sheet2!A2709) + (Vo/Wn - (Po*(w/Wn))/(K*(1-(w/Wn)^2)))*SIN(2*PI()*Wn*Sheet2!A2709) +(Po*SIN(2*PI()*w*Sheet2!A2709))/(K*(1-(w/Wn)^2))</f>
        <v>4.6207795317180986</v>
      </c>
      <c r="C2709">
        <f t="shared" si="170"/>
        <v>0.21093114091930487</v>
      </c>
      <c r="D2709">
        <f t="shared" si="171"/>
        <v>34.454514255473086</v>
      </c>
      <c r="R2709">
        <f t="shared" si="168"/>
        <v>2.7069999999999999</v>
      </c>
      <c r="S2709">
        <f t="shared" si="169"/>
        <v>0.21093114091930487</v>
      </c>
    </row>
    <row r="2710" spans="1:19" x14ac:dyDescent="0.3">
      <c r="A2710">
        <v>2.7080000000000002</v>
      </c>
      <c r="B2710">
        <f>Uo*COS(2*PI()*Wn*Sheet2!A2710) + (Vo/Wn - (Po*(w/Wn))/(K*(1-(w/Wn)^2)))*SIN(2*PI()*Wn*Sheet2!A2710) +(Po*SIN(2*PI()*w*Sheet2!A2710))/(K*(1-(w/Wn)^2))</f>
        <v>4.9717164781633176</v>
      </c>
      <c r="C2710">
        <f t="shared" si="170"/>
        <v>0.24175122719303568</v>
      </c>
      <c r="D2710">
        <f t="shared" si="171"/>
        <v>39.488816432217163</v>
      </c>
      <c r="R2710">
        <f t="shared" si="168"/>
        <v>2.7080000000000002</v>
      </c>
      <c r="S2710">
        <f t="shared" si="169"/>
        <v>0.24175122719303568</v>
      </c>
    </row>
    <row r="2711" spans="1:19" x14ac:dyDescent="0.3">
      <c r="A2711">
        <v>2.7090000000000001</v>
      </c>
      <c r="B2711">
        <f>Uo*COS(2*PI()*Wn*Sheet2!A2711) + (Vo/Wn - (Po*(w/Wn))/(K*(1-(w/Wn)^2)))*SIN(2*PI()*Wn*Sheet2!A2711) +(Po*SIN(2*PI()*w*Sheet2!A2711))/(K*(1-(w/Wn)^2))</f>
        <v>5.3210292603228702</v>
      </c>
      <c r="C2711">
        <f t="shared" si="170"/>
        <v>0.27243675367887349</v>
      </c>
      <c r="D2711">
        <f t="shared" si="171"/>
        <v>44.501138961432829</v>
      </c>
      <c r="R2711">
        <f t="shared" si="168"/>
        <v>2.7090000000000001</v>
      </c>
      <c r="S2711">
        <f t="shared" si="169"/>
        <v>0.27243675367887349</v>
      </c>
    </row>
    <row r="2712" spans="1:19" x14ac:dyDescent="0.3">
      <c r="A2712">
        <v>2.71</v>
      </c>
      <c r="B2712">
        <f>Uo*COS(2*PI()*Wn*Sheet2!A2712) + (Vo/Wn - (Po*(w/Wn))/(K*(1-(w/Wn)^2)))*SIN(2*PI()*Wn*Sheet2!A2712) +(Po*SIN(2*PI()*w*Sheet2!A2712))/(K*(1-(w/Wn)^2))</f>
        <v>5.6686037644200891</v>
      </c>
      <c r="C2712">
        <f t="shared" si="170"/>
        <v>0.30297794804977529</v>
      </c>
      <c r="D2712">
        <f t="shared" si="171"/>
        <v>49.489885583886164</v>
      </c>
      <c r="R2712">
        <f t="shared" si="168"/>
        <v>2.71</v>
      </c>
      <c r="S2712">
        <f t="shared" si="169"/>
        <v>0.30297794804977529</v>
      </c>
    </row>
    <row r="2713" spans="1:19" x14ac:dyDescent="0.3">
      <c r="A2713">
        <v>2.7109999999999999</v>
      </c>
      <c r="B2713">
        <f>Uo*COS(2*PI()*Wn*Sheet2!A2713) + (Vo/Wn - (Po*(w/Wn))/(K*(1-(w/Wn)^2)))*SIN(2*PI()*Wn*Sheet2!A2713) +(Po*SIN(2*PI()*w*Sheet2!A2713))/(K*(1-(w/Wn)^2))</f>
        <v>6.0143264445402256</v>
      </c>
      <c r="C2713">
        <f t="shared" si="170"/>
        <v>0.33336510273369141</v>
      </c>
      <c r="D2713">
        <f t="shared" si="171"/>
        <v>54.453470617737523</v>
      </c>
      <c r="R2713">
        <f t="shared" si="168"/>
        <v>2.7109999999999999</v>
      </c>
      <c r="S2713">
        <f t="shared" si="169"/>
        <v>0.33336510273369141</v>
      </c>
    </row>
    <row r="2714" spans="1:19" x14ac:dyDescent="0.3">
      <c r="A2714">
        <v>2.7120000000000002</v>
      </c>
      <c r="B2714">
        <f>Uo*COS(2*PI()*Wn*Sheet2!A2714) + (Vo/Wn - (Po*(w/Wn))/(K*(1-(w/Wn)^2)))*SIN(2*PI()*Wn*Sheet2!A2714) +(Po*SIN(2*PI()*w*Sheet2!A2714))/(K*(1-(w/Wn)^2))</f>
        <v>6.3580843597235823</v>
      </c>
      <c r="C2714">
        <f t="shared" si="170"/>
        <v>0.36358857796511462</v>
      </c>
      <c r="D2714">
        <f t="shared" si="171"/>
        <v>59.390319456996338</v>
      </c>
      <c r="R2714">
        <f t="shared" si="168"/>
        <v>2.7120000000000002</v>
      </c>
      <c r="S2714">
        <f t="shared" si="169"/>
        <v>0.36358857796511462</v>
      </c>
    </row>
    <row r="2715" spans="1:19" x14ac:dyDescent="0.3">
      <c r="A2715">
        <v>2.7130000000000001</v>
      </c>
      <c r="B2715">
        <f>Uo*COS(2*PI()*Wn*Sheet2!A2715) + (Vo/Wn - (Po*(w/Wn))/(K*(1-(w/Wn)^2)))*SIN(2*PI()*Wn*Sheet2!A2715) +(Po*SIN(2*PI()*w*Sheet2!A2715))/(K*(1-(w/Wn)^2))</f>
        <v>6.6997652108614343</v>
      </c>
      <c r="C2715">
        <f t="shared" si="170"/>
        <v>0.39363880480885582</v>
      </c>
      <c r="D2715">
        <f t="shared" si="171"/>
        <v>64.298869065439305</v>
      </c>
      <c r="R2715">
        <f t="shared" si="168"/>
        <v>2.7130000000000001</v>
      </c>
      <c r="S2715">
        <f t="shared" si="169"/>
        <v>0.39363880480885582</v>
      </c>
    </row>
    <row r="2716" spans="1:19" x14ac:dyDescent="0.3">
      <c r="A2716">
        <v>2.714</v>
      </c>
      <c r="B2716">
        <f>Uo*COS(2*PI()*Wn*Sheet2!A2716) + (Vo/Wn - (Po*(w/Wn))/(K*(1-(w/Wn)^2)))*SIN(2*PI()*Wn*Sheet2!A2716) +(Po*SIN(2*PI()*w*Sheet2!A2716))/(K*(1-(w/Wn)^2))</f>
        <v>7.039257377382393</v>
      </c>
      <c r="C2716">
        <f t="shared" si="170"/>
        <v>0.42350628815537328</v>
      </c>
      <c r="D2716">
        <f t="shared" si="171"/>
        <v>69.177568465881919</v>
      </c>
      <c r="R2716">
        <f t="shared" si="168"/>
        <v>2.714</v>
      </c>
      <c r="S2716">
        <f t="shared" si="169"/>
        <v>0.42350628815537328</v>
      </c>
    </row>
    <row r="2717" spans="1:19" x14ac:dyDescent="0.3">
      <c r="A2717">
        <v>2.7149999999999999</v>
      </c>
      <c r="B2717">
        <f>Uo*COS(2*PI()*Wn*Sheet2!A2717) + (Vo/Wn - (Po*(w/Wn))/(K*(1-(w/Wn)^2)))*SIN(2*PI()*Wn*Sheet2!A2717) +(Po*SIN(2*PI()*w*Sheet2!A2717))/(K*(1-(w/Wn)^2))</f>
        <v>7.376449953715758</v>
      </c>
      <c r="C2717">
        <f t="shared" si="170"/>
        <v>0.45318160968647531</v>
      </c>
      <c r="D2717">
        <f t="shared" si="171"/>
        <v>74.0248792246108</v>
      </c>
      <c r="R2717">
        <f t="shared" si="168"/>
        <v>2.7149999999999999</v>
      </c>
      <c r="S2717">
        <f t="shared" si="169"/>
        <v>0.45318160968647531</v>
      </c>
    </row>
    <row r="2718" spans="1:19" x14ac:dyDescent="0.3">
      <c r="A2718">
        <v>2.7160000000000002</v>
      </c>
      <c r="B2718">
        <f>Uo*COS(2*PI()*Wn*Sheet2!A2718) + (Vo/Wn - (Po*(w/Wn))/(K*(1-(w/Wn)^2)))*SIN(2*PI()*Wn*Sheet2!A2718) +(Po*SIN(2*PI()*w*Sheet2!A2718))/(K*(1-(w/Wn)^2))</f>
        <v>7.7112327855234444</v>
      </c>
      <c r="C2718">
        <f t="shared" si="170"/>
        <v>0.48265543081067908</v>
      </c>
      <c r="D2718">
        <f t="shared" si="171"/>
        <v>78.839275930859301</v>
      </c>
      <c r="R2718">
        <f t="shared" si="168"/>
        <v>2.7160000000000002</v>
      </c>
      <c r="S2718">
        <f t="shared" si="169"/>
        <v>0.48265543081067908</v>
      </c>
    </row>
    <row r="2719" spans="1:19" x14ac:dyDescent="0.3">
      <c r="A2719">
        <v>2.7170000000000001</v>
      </c>
      <c r="B2719">
        <f>Uo*COS(2*PI()*Wn*Sheet2!A2719) + (Vo/Wn - (Po*(w/Wn))/(K*(1-(w/Wn)^2)))*SIN(2*PI()*Wn*Sheet2!A2719) +(Po*SIN(2*PI()*w*Sheet2!A2719))/(K*(1-(w/Wn)^2))</f>
        <v>8.0434965056836933</v>
      </c>
      <c r="C2719">
        <f t="shared" si="170"/>
        <v>0.51191849556716262</v>
      </c>
      <c r="D2719">
        <f t="shared" si="171"/>
        <v>83.619246671153249</v>
      </c>
      <c r="R2719">
        <f t="shared" si="168"/>
        <v>2.7170000000000001</v>
      </c>
      <c r="S2719">
        <f t="shared" si="169"/>
        <v>0.51191849556716262</v>
      </c>
    </row>
    <row r="2720" spans="1:19" x14ac:dyDescent="0.3">
      <c r="A2720">
        <v>2.718</v>
      </c>
      <c r="B2720">
        <f>Uo*COS(2*PI()*Wn*Sheet2!A2720) + (Vo/Wn - (Po*(w/Wn))/(K*(1-(w/Wn)^2)))*SIN(2*PI()*Wn*Sheet2!A2720) +(Po*SIN(2*PI()*w*Sheet2!A2720))/(K*(1-(w/Wn)^2))</f>
        <v>8.3731325700209371</v>
      </c>
      <c r="C2720">
        <f t="shared" si="170"/>
        <v>0.54096163349767712</v>
      </c>
      <c r="D2720">
        <f t="shared" si="171"/>
        <v>88.363293498422834</v>
      </c>
      <c r="R2720">
        <f t="shared" si="168"/>
        <v>2.718</v>
      </c>
      <c r="S2720">
        <f t="shared" si="169"/>
        <v>0.54096163349767712</v>
      </c>
    </row>
    <row r="2721" spans="1:19" x14ac:dyDescent="0.3">
      <c r="A2721">
        <v>2.7189999999999999</v>
      </c>
      <c r="B2721">
        <f>Uo*COS(2*PI()*Wn*Sheet2!A2721) + (Vo/Wn - (Po*(w/Wn))/(K*(1-(w/Wn)^2)))*SIN(2*PI()*Wn*Sheet2!A2721) +(Po*SIN(2*PI()*w*Sheet2!A2721))/(K*(1-(w/Wn)^2))</f>
        <v>8.7000332927641537</v>
      </c>
      <c r="C2721">
        <f t="shared" si="170"/>
        <v>0.56977576248513617</v>
      </c>
      <c r="D2721">
        <f t="shared" si="171"/>
        <v>93.069932895671684</v>
      </c>
      <c r="R2721">
        <f t="shared" si="168"/>
        <v>2.7189999999999999</v>
      </c>
      <c r="S2721">
        <f t="shared" si="169"/>
        <v>0.56977576248513617</v>
      </c>
    </row>
    <row r="2722" spans="1:19" x14ac:dyDescent="0.3">
      <c r="A2722">
        <v>2.72</v>
      </c>
      <c r="B2722">
        <f>Uo*COS(2*PI()*Wn*Sheet2!A2722) + (Vo/Wn - (Po*(w/Wn))/(K*(1-(w/Wn)^2)))*SIN(2*PI()*Wn*Sheet2!A2722) +(Po*SIN(2*PI()*w*Sheet2!A2722))/(K*(1-(w/Wn)^2))</f>
        <v>9.0240918817256279</v>
      </c>
      <c r="C2722">
        <f t="shared" si="170"/>
        <v>0.59835189155843027</v>
      </c>
      <c r="D2722">
        <f t="shared" si="171"/>
        <v>97.737696234128734</v>
      </c>
      <c r="R2722">
        <f t="shared" si="168"/>
        <v>2.72</v>
      </c>
      <c r="S2722">
        <f t="shared" si="169"/>
        <v>0.59835189155843027</v>
      </c>
    </row>
    <row r="2723" spans="1:19" x14ac:dyDescent="0.3">
      <c r="A2723">
        <v>2.7210000000000001</v>
      </c>
      <c r="B2723">
        <f>Uo*COS(2*PI()*Wn*Sheet2!A2723) + (Vo/Wn - (Po*(w/Wn))/(K*(1-(w/Wn)^2)))*SIN(2*PI()*Wn*Sheet2!A2723) +(Po*SIN(2*PI()*w*Sheet2!A2723))/(K*(1-(w/Wn)^2))</f>
        <v>9.3452024731881753</v>
      </c>
      <c r="C2723">
        <f t="shared" si="170"/>
        <v>0.62668112366230022</v>
      </c>
      <c r="D2723">
        <f t="shared" si="171"/>
        <v>102.36513022569285</v>
      </c>
      <c r="R2723">
        <f t="shared" si="168"/>
        <v>2.7210000000000001</v>
      </c>
      <c r="S2723">
        <f t="shared" si="169"/>
        <v>0.62668112366230022</v>
      </c>
    </row>
    <row r="2724" spans="1:19" x14ac:dyDescent="0.3">
      <c r="A2724">
        <v>2.722</v>
      </c>
      <c r="B2724">
        <f>Uo*COS(2*PI()*Wn*Sheet2!A2724) + (Vo/Wn - (Po*(w/Wn))/(K*(1-(w/Wn)^2)))*SIN(2*PI()*Wn*Sheet2!A2724) +(Po*SIN(2*PI()*w*Sheet2!A2724))/(K*(1-(w/Wn)^2))</f>
        <v>9.6632601664891453</v>
      </c>
      <c r="C2724">
        <f t="shared" si="170"/>
        <v>0.65475465839168256</v>
      </c>
      <c r="D2724">
        <f t="shared" si="171"/>
        <v>106.950797369574</v>
      </c>
      <c r="R2724">
        <f t="shared" si="168"/>
        <v>2.722</v>
      </c>
      <c r="S2724">
        <f t="shared" si="169"/>
        <v>0.65475465839168256</v>
      </c>
    </row>
    <row r="2725" spans="1:19" x14ac:dyDescent="0.3">
      <c r="A2725">
        <v>2.7229999999999999</v>
      </c>
      <c r="B2725">
        <f>Uo*COS(2*PI()*Wn*Sheet2!A2725) + (Vo/Wn - (Po*(w/Wn))/(K*(1-(w/Wn)^2)))*SIN(2*PI()*Wn*Sheet2!A2725) +(Po*SIN(2*PI()*w*Sheet2!A2725))/(K*(1-(w/Wn)^2))</f>
        <v>9.9781610582885811</v>
      </c>
      <c r="C2725">
        <f t="shared" si="170"/>
        <v>0.68256379468945727</v>
      </c>
      <c r="D2725">
        <f t="shared" si="171"/>
        <v>111.49327639295647</v>
      </c>
      <c r="R2725">
        <f t="shared" si="168"/>
        <v>2.7229999999999999</v>
      </c>
      <c r="S2725">
        <f t="shared" si="169"/>
        <v>0.68256379468945727</v>
      </c>
    </row>
    <row r="2726" spans="1:19" x14ac:dyDescent="0.3">
      <c r="A2726">
        <v>2.7240000000000002</v>
      </c>
      <c r="B2726">
        <f>Uo*COS(2*PI()*Wn*Sheet2!A2726) + (Vo/Wn - (Po*(w/Wn))/(K*(1-(w/Wn)^2)))*SIN(2*PI()*Wn*Sheet2!A2726) +(Po*SIN(2*PI()*w*Sheet2!A2726))/(K*(1-(w/Wn)^2))</f>
        <v>10.289802276513566</v>
      </c>
      <c r="C2726">
        <f t="shared" si="170"/>
        <v>0.71009993350696565</v>
      </c>
      <c r="D2726">
        <f t="shared" si="171"/>
        <v>115.99116268558069</v>
      </c>
      <c r="R2726">
        <f t="shared" si="168"/>
        <v>2.7240000000000002</v>
      </c>
      <c r="S2726">
        <f t="shared" si="169"/>
        <v>0.71009993350696565</v>
      </c>
    </row>
    <row r="2727" spans="1:19" x14ac:dyDescent="0.3">
      <c r="A2727">
        <v>2.7250000000000001</v>
      </c>
      <c r="B2727">
        <f>Uo*COS(2*PI()*Wn*Sheet2!A2727) + (Vo/Wn - (Po*(w/Wn))/(K*(1-(w/Wn)^2)))*SIN(2*PI()*Wn*Sheet2!A2727) +(Po*SIN(2*PI()*w*Sheet2!A2727))/(K*(1-(w/Wn)^2))</f>
        <v>10.598082013963078</v>
      </c>
      <c r="C2727">
        <f t="shared" si="170"/>
        <v>0.73735458042635438</v>
      </c>
      <c r="D2727">
        <f t="shared" si="171"/>
        <v>120.44306872808966</v>
      </c>
      <c r="R2727">
        <f t="shared" si="168"/>
        <v>2.7250000000000001</v>
      </c>
      <c r="S2727">
        <f t="shared" si="169"/>
        <v>0.73735458042635438</v>
      </c>
    </row>
    <row r="2728" spans="1:19" x14ac:dyDescent="0.3">
      <c r="A2728">
        <v>2.726</v>
      </c>
      <c r="B2728">
        <f>Uo*COS(2*PI()*Wn*Sheet2!A2728) + (Vo/Wn - (Po*(w/Wn))/(K*(1-(w/Wn)^2)))*SIN(2*PI()*Wn*Sheet2!A2728) +(Po*SIN(2*PI()*w*Sheet2!A2728))/(K*(1-(w/Wn)^2))</f>
        <v>10.902899561568029</v>
      </c>
      <c r="C2728">
        <f t="shared" si="170"/>
        <v>0.76431934824419689</v>
      </c>
      <c r="D2728">
        <f t="shared" si="171"/>
        <v>124.84762451405018</v>
      </c>
      <c r="R2728">
        <f t="shared" si="168"/>
        <v>2.726</v>
      </c>
      <c r="S2728">
        <f t="shared" si="169"/>
        <v>0.76431934824419689</v>
      </c>
    </row>
    <row r="2729" spans="1:19" x14ac:dyDescent="0.3">
      <c r="A2729">
        <v>2.7269999999999999</v>
      </c>
      <c r="B2729">
        <f>Uo*COS(2*PI()*Wn*Sheet2!A2729) + (Vo/Wn - (Po*(w/Wn))/(K*(1-(w/Wn)^2)))*SIN(2*PI()*Wn*Sheet2!A2729) +(Po*SIN(2*PI()*w*Sheet2!A2729))/(K*(1-(w/Wn)^2))</f>
        <v>11.204155341290143</v>
      </c>
      <c r="C2729">
        <f t="shared" si="170"/>
        <v>0.79098595951523565</v>
      </c>
      <c r="D2729">
        <f t="shared" si="171"/>
        <v>129.20347796546</v>
      </c>
      <c r="R2729">
        <f t="shared" si="168"/>
        <v>2.7269999999999999</v>
      </c>
      <c r="S2729">
        <f t="shared" si="169"/>
        <v>0.79098595951523565</v>
      </c>
    </row>
    <row r="2730" spans="1:19" x14ac:dyDescent="0.3">
      <c r="A2730">
        <v>2.7280000000000002</v>
      </c>
      <c r="B2730">
        <f>Uo*COS(2*PI()*Wn*Sheet2!A2730) + (Vo/Wn - (Po*(w/Wn))/(K*(1-(w/Wn)^2)))*SIN(2*PI()*Wn*Sheet2!A2730) +(Po*SIN(2*PI()*w*Sheet2!A2730))/(K*(1-(w/Wn)^2))</f>
        <v>11.501750938652055</v>
      </c>
      <c r="C2730">
        <f t="shared" si="170"/>
        <v>0.81734624905588549</v>
      </c>
      <c r="D2730">
        <f t="shared" si="171"/>
        <v>133.50929534168219</v>
      </c>
      <c r="R2730">
        <f t="shared" si="168"/>
        <v>2.7280000000000002</v>
      </c>
      <c r="S2730">
        <f t="shared" si="169"/>
        <v>0.81734624905588549</v>
      </c>
    </row>
    <row r="2731" spans="1:19" x14ac:dyDescent="0.3">
      <c r="A2731">
        <v>2.7290000000000001</v>
      </c>
      <c r="B2731">
        <f>Uo*COS(2*PI()*Wn*Sheet2!A2731) + (Vo/Wn - (Po*(w/Wn))/(K*(1-(w/Wn)^2)))*SIN(2*PI()*Wn*Sheet2!A2731) +(Po*SIN(2*PI()*w*Sheet2!A2731))/(K*(1-(w/Wn)^2))</f>
        <v>11.795589134887802</v>
      </c>
      <c r="C2731">
        <f t="shared" si="170"/>
        <v>0.84339216640645487</v>
      </c>
      <c r="D2731">
        <f t="shared" si="171"/>
        <v>137.76376164163636</v>
      </c>
      <c r="R2731">
        <f t="shared" si="168"/>
        <v>2.7290000000000001</v>
      </c>
      <c r="S2731">
        <f t="shared" si="169"/>
        <v>0.84339216640645487</v>
      </c>
    </row>
    <row r="2732" spans="1:19" x14ac:dyDescent="0.3">
      <c r="A2732">
        <v>2.73</v>
      </c>
      <c r="B2732">
        <f>Uo*COS(2*PI()*Wn*Sheet2!A2732) + (Vo/Wn - (Po*(w/Wn))/(K*(1-(w/Wn)^2)))*SIN(2*PI()*Wn*Sheet2!A2732) +(Po*SIN(2*PI()*w*Sheet2!A2732))/(K*(1-(w/Wn)^2))</f>
        <v>12.085573938702092</v>
      </c>
      <c r="C2732">
        <f t="shared" si="170"/>
        <v>0.86911577825159225</v>
      </c>
      <c r="D2732">
        <f t="shared" si="171"/>
        <v>141.96558099916598</v>
      </c>
      <c r="R2732">
        <f t="shared" si="168"/>
        <v>2.73</v>
      </c>
      <c r="S2732">
        <f t="shared" si="169"/>
        <v>0.86911577825159225</v>
      </c>
    </row>
    <row r="2733" spans="1:19" x14ac:dyDescent="0.3">
      <c r="A2733">
        <v>2.7309999999999999</v>
      </c>
      <c r="B2733">
        <f>Uo*COS(2*PI()*Wn*Sheet2!A2733) + (Vo/Wn - (Po*(w/Wn))/(K*(1-(w/Wn)^2)))*SIN(2*PI()*Wn*Sheet2!A2733) +(Po*SIN(2*PI()*w*Sheet2!A2733))/(K*(1-(w/Wn)^2))</f>
        <v>12.371610617629154</v>
      </c>
      <c r="C2733">
        <f t="shared" si="170"/>
        <v>0.894509270798024</v>
      </c>
      <c r="D2733">
        <f t="shared" si="171"/>
        <v>146.11347707142966</v>
      </c>
      <c r="R2733">
        <f t="shared" si="168"/>
        <v>2.7309999999999999</v>
      </c>
      <c r="S2733">
        <f t="shared" si="169"/>
        <v>0.894509270798024</v>
      </c>
    </row>
    <row r="2734" spans="1:19" x14ac:dyDescent="0.3">
      <c r="A2734">
        <v>2.7320000000000002</v>
      </c>
      <c r="B2734">
        <f>Uo*COS(2*PI()*Wn*Sheet2!A2734) + (Vo/Wn - (Po*(w/Wn))/(K*(1-(w/Wn)^2)))*SIN(2*PI()*Wn*Sheet2!A2734) +(Po*SIN(2*PI()*w*Sheet2!A2734))/(K*(1-(w/Wn)^2))</f>
        <v>12.653605728979894</v>
      </c>
      <c r="C2734">
        <f t="shared" si="170"/>
        <v>0.91956495210904887</v>
      </c>
      <c r="D2734">
        <f t="shared" si="171"/>
        <v>150.20619342022883</v>
      </c>
      <c r="R2734">
        <f t="shared" si="168"/>
        <v>2.7320000000000002</v>
      </c>
      <c r="S2734">
        <f t="shared" si="169"/>
        <v>0.91956495210904887</v>
      </c>
    </row>
    <row r="2735" spans="1:19" x14ac:dyDescent="0.3">
      <c r="A2735">
        <v>2.7330000000000001</v>
      </c>
      <c r="B2735">
        <f>Uo*COS(2*PI()*Wn*Sheet2!A2735) + (Vo/Wn - (Po*(w/Wn))/(K*(1-(w/Wn)^2)))*SIN(2*PI()*Wn*Sheet2!A2735) +(Po*SIN(2*PI()*w*Sheet2!A2735))/(K*(1-(w/Wn)^2))</f>
        <v>12.931467150367059</v>
      </c>
      <c r="C2735">
        <f t="shared" si="170"/>
        <v>0.94427525439498761</v>
      </c>
      <c r="D2735">
        <f t="shared" si="171"/>
        <v>154.24249388614075</v>
      </c>
      <c r="R2735">
        <f t="shared" si="168"/>
        <v>2.7330000000000001</v>
      </c>
      <c r="S2735">
        <f t="shared" si="169"/>
        <v>0.94427525439498761</v>
      </c>
    </row>
    <row r="2736" spans="1:19" x14ac:dyDescent="0.3">
      <c r="A2736">
        <v>2.734</v>
      </c>
      <c r="B2736">
        <f>Uo*COS(2*PI()*Wn*Sheet2!A2736) + (Vo/Wn - (Po*(w/Wn))/(K*(1-(w/Wn)^2)))*SIN(2*PI()*Wn*Sheet2!A2736) +(Po*SIN(2*PI()*w*Sheet2!A2736))/(K*(1-(w/Wn)^2))</f>
        <v>13.20510410980118</v>
      </c>
      <c r="C2736">
        <f t="shared" si="170"/>
        <v>0.96863273625905966</v>
      </c>
      <c r="D2736">
        <f t="shared" si="171"/>
        <v>158.22116295537106</v>
      </c>
      <c r="R2736">
        <f t="shared" si="168"/>
        <v>2.734</v>
      </c>
      <c r="S2736">
        <f t="shared" si="169"/>
        <v>0.96863273625905966</v>
      </c>
    </row>
    <row r="2737" spans="1:19" x14ac:dyDescent="0.3">
      <c r="A2737">
        <v>2.7349999999999999</v>
      </c>
      <c r="B2737">
        <f>Uo*COS(2*PI()*Wn*Sheet2!A2737) + (Vo/Wn - (Po*(w/Wn))/(K*(1-(w/Wn)^2)))*SIN(2*PI()*Wn*Sheet2!A2737) +(Po*SIN(2*PI()*w*Sheet2!A2737))/(K*(1-(w/Wn)^2))</f>
        <v>13.474427215343256</v>
      </c>
      <c r="C2737">
        <f t="shared" si="170"/>
        <v>0.99263008489790894</v>
      </c>
      <c r="D2737">
        <f t="shared" si="171"/>
        <v>162.14100611919815</v>
      </c>
      <c r="R2737">
        <f t="shared" si="168"/>
        <v>2.7349999999999999</v>
      </c>
      <c r="S2737">
        <f t="shared" si="169"/>
        <v>0.99263008489790894</v>
      </c>
    </row>
    <row r="2738" spans="1:19" x14ac:dyDescent="0.3">
      <c r="A2738">
        <v>2.7360000000000002</v>
      </c>
      <c r="B2738">
        <f>Uo*COS(2*PI()*Wn*Sheet2!A2738) + (Vo/Wn - (Po*(w/Wn))/(K*(1-(w/Wn)^2)))*SIN(2*PI()*Wn*Sheet2!A2738) +(Po*SIN(2*PI()*w*Sheet2!A2738))/(K*(1-(w/Wn)^2))</f>
        <v>13.739348484307286</v>
      </c>
      <c r="C2738">
        <f t="shared" si="170"/>
        <v>1.016260118256141</v>
      </c>
      <c r="D2738">
        <f t="shared" si="171"/>
        <v>166.00085022590588</v>
      </c>
      <c r="R2738">
        <f t="shared" si="168"/>
        <v>2.7360000000000002</v>
      </c>
      <c r="S2738">
        <f t="shared" si="169"/>
        <v>1.016260118256141</v>
      </c>
    </row>
    <row r="2739" spans="1:19" x14ac:dyDescent="0.3">
      <c r="A2739">
        <v>2.7370000000000001</v>
      </c>
      <c r="B2739">
        <f>Uo*COS(2*PI()*Wn*Sheet2!A2739) + (Vo/Wn - (Po*(w/Wn))/(K*(1-(w/Wn)^2)))*SIN(2*PI()*Wn*Sheet2!A2739) +(Po*SIN(2*PI()*w*Sheet2!A2739))/(K*(1-(w/Wn)^2))</f>
        <v>13.99978137200284</v>
      </c>
      <c r="C2739">
        <f t="shared" si="170"/>
        <v>1.0395157871343361</v>
      </c>
      <c r="D2739">
        <f t="shared" si="171"/>
        <v>169.79954382511639</v>
      </c>
      <c r="R2739">
        <f t="shared" si="168"/>
        <v>2.7370000000000001</v>
      </c>
      <c r="S2739">
        <f t="shared" si="169"/>
        <v>1.0395157871343361</v>
      </c>
    </row>
    <row r="2740" spans="1:19" x14ac:dyDescent="0.3">
      <c r="A2740">
        <v>2.738</v>
      </c>
      <c r="B2740">
        <f>Uo*COS(2*PI()*Wn*Sheet2!A2740) + (Vo/Wn - (Po*(w/Wn))/(K*(1-(w/Wn)^2)))*SIN(2*PI()*Wn*Sheet2!A2740) +(Po*SIN(2*PI()*w*Sheet2!A2740))/(K*(1-(w/Wn)^2))</f>
        <v>14.255640800007349</v>
      </c>
      <c r="C2740">
        <f t="shared" si="170"/>
        <v>1.0623901772499402</v>
      </c>
      <c r="D2740">
        <f t="shared" si="171"/>
        <v>173.53595750442628</v>
      </c>
      <c r="R2740">
        <f t="shared" si="168"/>
        <v>2.738</v>
      </c>
      <c r="S2740">
        <f t="shared" si="169"/>
        <v>1.0623901772499402</v>
      </c>
    </row>
    <row r="2741" spans="1:19" x14ac:dyDescent="0.3">
      <c r="A2741">
        <v>2.7389999999999999</v>
      </c>
      <c r="B2741">
        <f>Uo*COS(2*PI()*Wn*Sheet2!A2741) + (Vo/Wn - (Po*(w/Wn))/(K*(1-(w/Wn)^2)))*SIN(2*PI()*Wn*Sheet2!A2741) +(Po*SIN(2*PI()*w*Sheet2!A2741))/(K*(1-(w/Wn)^2))</f>
        <v>14.506843183959887</v>
      </c>
      <c r="C2741">
        <f t="shared" si="170"/>
        <v>1.0848765112503167</v>
      </c>
      <c r="D2741">
        <f t="shared" si="171"/>
        <v>177.2089842182281</v>
      </c>
      <c r="R2741">
        <f t="shared" si="168"/>
        <v>2.7389999999999999</v>
      </c>
      <c r="S2741">
        <f t="shared" si="169"/>
        <v>1.0848765112503167</v>
      </c>
    </row>
    <row r="2742" spans="1:19" x14ac:dyDescent="0.3">
      <c r="A2742">
        <v>2.74</v>
      </c>
      <c r="B2742">
        <f>Uo*COS(2*PI()*Wn*Sheet2!A2742) + (Vo/Wn - (Po*(w/Wn))/(K*(1-(w/Wn)^2)))*SIN(2*PI()*Wn*Sheet2!A2742) +(Po*SIN(2*PI()*w*Sheet2!A2742))/(K*(1-(w/Wn)^2))</f>
        <v>14.753306460866465</v>
      </c>
      <c r="C2742">
        <f t="shared" si="170"/>
        <v>1.1069681506775209</v>
      </c>
      <c r="D2742">
        <f t="shared" si="171"/>
        <v>180.81753960864609</v>
      </c>
      <c r="R2742">
        <f t="shared" si="168"/>
        <v>2.74</v>
      </c>
      <c r="S2742">
        <f t="shared" si="169"/>
        <v>1.1069681506775209</v>
      </c>
    </row>
    <row r="2743" spans="1:19" x14ac:dyDescent="0.3">
      <c r="A2743">
        <v>2.7410000000000001</v>
      </c>
      <c r="B2743">
        <f>Uo*COS(2*PI()*Wn*Sheet2!A2743) + (Vo/Wn - (Po*(w/Wn))/(K*(1-(w/Wn)^2)))*SIN(2*PI()*Wn*Sheet2!A2743) +(Po*SIN(2*PI()*w*Sheet2!A2743))/(K*(1-(w/Wn)^2))</f>
        <v>14.994950115907761</v>
      </c>
      <c r="C2743">
        <f t="shared" si="170"/>
        <v>1.1286585978841468</v>
      </c>
      <c r="D2743">
        <f t="shared" si="171"/>
        <v>184.36056231848002</v>
      </c>
      <c r="R2743">
        <f t="shared" si="168"/>
        <v>2.7410000000000001</v>
      </c>
      <c r="S2743">
        <f t="shared" si="169"/>
        <v>1.1286585978841468</v>
      </c>
    </row>
    <row r="2744" spans="1:19" x14ac:dyDescent="0.3">
      <c r="A2744">
        <v>2.742</v>
      </c>
      <c r="B2744">
        <f>Uo*COS(2*PI()*Wn*Sheet2!A2744) + (Vo/Wn - (Po*(w/Wn))/(K*(1-(w/Wn)^2)))*SIN(2*PI()*Wn*Sheet2!A2744) +(Po*SIN(2*PI()*w*Sheet2!A2744))/(K*(1-(w/Wn)^2))</f>
        <v>15.231695208742943</v>
      </c>
      <c r="C2744">
        <f t="shared" si="170"/>
        <v>1.1499414978998295</v>
      </c>
      <c r="D2744">
        <f t="shared" si="171"/>
        <v>187.8370142960886</v>
      </c>
      <c r="R2744">
        <f t="shared" si="168"/>
        <v>2.742</v>
      </c>
      <c r="S2744">
        <f t="shared" si="169"/>
        <v>1.1499414978998295</v>
      </c>
    </row>
    <row r="2745" spans="1:19" x14ac:dyDescent="0.3">
      <c r="A2745">
        <v>2.7429999999999999</v>
      </c>
      <c r="B2745">
        <f>Uo*COS(2*PI()*Wn*Sheet2!A2745) + (Vo/Wn - (Po*(w/Wn))/(K*(1-(w/Wn)^2)))*SIN(2*PI()*Wn*Sheet2!A2745) +(Po*SIN(2*PI()*w*Sheet2!A2745))/(K*(1-(w/Wn)^2))</f>
        <v>15.463464399297255</v>
      </c>
      <c r="C2745">
        <f t="shared" si="170"/>
        <v>1.170810640247768</v>
      </c>
      <c r="D2745">
        <f t="shared" si="171"/>
        <v>191.24588109210913</v>
      </c>
      <c r="R2745">
        <f t="shared" si="168"/>
        <v>2.7429999999999999</v>
      </c>
      <c r="S2745">
        <f t="shared" si="169"/>
        <v>1.170810640247768</v>
      </c>
    </row>
    <row r="2746" spans="1:19" x14ac:dyDescent="0.3">
      <c r="A2746">
        <v>2.7440000000000002</v>
      </c>
      <c r="B2746">
        <f>Uo*COS(2*PI()*Wn*Sheet2!A2746) + (Vo/Wn - (Po*(w/Wn))/(K*(1-(w/Wn)^2)))*SIN(2*PI()*Wn*Sheet2!A2746) +(Po*SIN(2*PI()*w*Sheet2!A2746))/(K*(1-(w/Wn)^2))</f>
        <v>15.690181973027464</v>
      </c>
      <c r="C2746">
        <f t="shared" si="170"/>
        <v>1.191259960710771</v>
      </c>
      <c r="D2746">
        <f t="shared" si="171"/>
        <v>194.58617214793202</v>
      </c>
      <c r="R2746">
        <f t="shared" si="168"/>
        <v>2.7440000000000002</v>
      </c>
      <c r="S2746">
        <f t="shared" si="169"/>
        <v>1.191259960710771</v>
      </c>
    </row>
    <row r="2747" spans="1:19" x14ac:dyDescent="0.3">
      <c r="A2747">
        <v>2.7450000000000001</v>
      </c>
      <c r="B2747">
        <f>Uo*COS(2*PI()*Wn*Sheet2!A2747) + (Vo/Wn - (Po*(w/Wn))/(K*(1-(w/Wn)^2)))*SIN(2*PI()*Wn*Sheet2!A2747) +(Po*SIN(2*PI()*w*Sheet2!A2747))/(K*(1-(w/Wn)^2))</f>
        <v>15.911773865656627</v>
      </c>
      <c r="C2747">
        <f t="shared" si="170"/>
        <v>1.2112835430464139</v>
      </c>
      <c r="D2747">
        <f t="shared" si="171"/>
        <v>197.85692107586289</v>
      </c>
      <c r="R2747">
        <f t="shared" si="168"/>
        <v>2.7450000000000001</v>
      </c>
      <c r="S2747">
        <f t="shared" si="169"/>
        <v>1.2112835430464139</v>
      </c>
    </row>
    <row r="2748" spans="1:19" x14ac:dyDescent="0.3">
      <c r="A2748">
        <v>2.746</v>
      </c>
      <c r="B2748">
        <f>Uo*COS(2*PI()*Wn*Sheet2!A2748) + (Vo/Wn - (Po*(w/Wn))/(K*(1-(w/Wn)^2)))*SIN(2*PI()*Wn*Sheet2!A2748) +(Po*SIN(2*PI()*w*Sheet2!A2748))/(K*(1-(w/Wn)^2))</f>
        <v>16.128167687369285</v>
      </c>
      <c r="C2748">
        <f t="shared" si="170"/>
        <v>1.2308756206508407</v>
      </c>
      <c r="D2748">
        <f t="shared" si="171"/>
        <v>201.05718593089583</v>
      </c>
      <c r="R2748">
        <f t="shared" si="168"/>
        <v>2.746</v>
      </c>
      <c r="S2748">
        <f t="shared" si="169"/>
        <v>1.2308756206508407</v>
      </c>
    </row>
    <row r="2749" spans="1:19" x14ac:dyDescent="0.3">
      <c r="A2749">
        <v>2.7469999999999999</v>
      </c>
      <c r="B2749">
        <f>Uo*COS(2*PI()*Wn*Sheet2!A2749) + (Vo/Wn - (Po*(w/Wn))/(K*(1-(w/Wn)^2)))*SIN(2*PI()*Wn*Sheet2!A2749) +(Po*SIN(2*PI()*w*Sheet2!A2749))/(K*(1-(w/Wn)^2))</f>
        <v>16.339292746460092</v>
      </c>
      <c r="C2749">
        <f t="shared" si="170"/>
        <v>1.2500305781706456</v>
      </c>
      <c r="D2749">
        <f t="shared" si="171"/>
        <v>204.18604947400627</v>
      </c>
      <c r="R2749">
        <f t="shared" si="168"/>
        <v>2.7469999999999999</v>
      </c>
      <c r="S2749">
        <f t="shared" si="169"/>
        <v>1.2500305781706456</v>
      </c>
    </row>
    <row r="2750" spans="1:19" x14ac:dyDescent="0.3">
      <c r="A2750">
        <v>2.7480000000000002</v>
      </c>
      <c r="B2750">
        <f>Uo*COS(2*PI()*Wn*Sheet2!A2750) + (Vo/Wn - (Po*(w/Wn))/(K*(1-(w/Wn)^2)))*SIN(2*PI()*Wn*Sheet2!A2750) +(Po*SIN(2*PI()*w*Sheet2!A2750))/(K*(1-(w/Wn)^2))</f>
        <v>16.545080072427321</v>
      </c>
      <c r="C2750">
        <f t="shared" si="170"/>
        <v>1.2687429530625312</v>
      </c>
      <c r="D2750">
        <f t="shared" si="171"/>
        <v>207.24261942691274</v>
      </c>
      <c r="R2750">
        <f t="shared" si="168"/>
        <v>2.7480000000000002</v>
      </c>
      <c r="S2750">
        <f t="shared" si="169"/>
        <v>1.2687429530625312</v>
      </c>
    </row>
    <row r="2751" spans="1:19" x14ac:dyDescent="0.3">
      <c r="A2751">
        <v>2.7490000000000001</v>
      </c>
      <c r="B2751">
        <f>Uo*COS(2*PI()*Wn*Sheet2!A2751) + (Vo/Wn - (Po*(w/Wn))/(K*(1-(w/Wn)^2)))*SIN(2*PI()*Wn*Sheet2!A2751) +(Po*SIN(2*PI()*w*Sheet2!A2751))/(K*(1-(w/Wn)^2))</f>
        <v>16.745462438503655</v>
      </c>
      <c r="C2751">
        <f t="shared" si="170"/>
        <v>1.2870074371002256</v>
      </c>
      <c r="D2751">
        <f t="shared" si="171"/>
        <v>210.22602871822428</v>
      </c>
      <c r="R2751">
        <f t="shared" si="168"/>
        <v>2.7490000000000001</v>
      </c>
      <c r="S2751">
        <f t="shared" si="169"/>
        <v>1.2870074371002256</v>
      </c>
    </row>
    <row r="2752" spans="1:19" x14ac:dyDescent="0.3">
      <c r="A2752">
        <v>2.75</v>
      </c>
      <c r="B2752">
        <f>Uo*COS(2*PI()*Wn*Sheet2!A2752) + (Vo/Wn - (Po*(w/Wn))/(K*(1-(w/Wn)^2)))*SIN(2*PI()*Wn*Sheet2!A2752) +(Po*SIN(2*PI()*w*Sheet2!A2752))/(K*(1-(w/Wn)^2))</f>
        <v>16.940374383618856</v>
      </c>
      <c r="C2752">
        <f t="shared" si="170"/>
        <v>1.304818877828386</v>
      </c>
      <c r="D2752">
        <f t="shared" si="171"/>
        <v>213.13543572092806</v>
      </c>
      <c r="R2752">
        <f t="shared" si="168"/>
        <v>2.75</v>
      </c>
      <c r="S2752">
        <f t="shared" si="169"/>
        <v>1.304818877828386</v>
      </c>
    </row>
    <row r="2753" spans="1:19" x14ac:dyDescent="0.3">
      <c r="A2753">
        <v>2.7509999999999999</v>
      </c>
      <c r="B2753">
        <f>Uo*COS(2*PI()*Wn*Sheet2!A2753) + (Vo/Wn - (Po*(w/Wn))/(K*(1-(w/Wn)^2)))*SIN(2*PI()*Wn*Sheet2!A2753) +(Po*SIN(2*PI()*w*Sheet2!A2753))/(K*(1-(w/Wn)^2))</f>
        <v>17.129752233784057</v>
      </c>
      <c r="C2753">
        <f t="shared" si="170"/>
        <v>1.3221722799629556</v>
      </c>
      <c r="D2753">
        <f t="shared" si="171"/>
        <v>215.97002448113022</v>
      </c>
      <c r="R2753">
        <f t="shared" ref="R2753:R2816" si="172">A2753</f>
        <v>2.7509999999999999</v>
      </c>
      <c r="S2753">
        <f t="shared" ref="S2753:S2816" si="173">C2753</f>
        <v>1.3221722799629556</v>
      </c>
    </row>
    <row r="2754" spans="1:19" x14ac:dyDescent="0.3">
      <c r="A2754">
        <v>2.7519999999999998</v>
      </c>
      <c r="B2754">
        <f>Uo*COS(2*PI()*Wn*Sheet2!A2754) + (Vo/Wn - (Po*(w/Wn))/(K*(1-(w/Wn)^2)))*SIN(2*PI()*Wn*Sheet2!A2754) +(Po*SIN(2*PI()*w*Sheet2!A2754))/(K*(1-(w/Wn)^2))</f>
        <v>17.313534122892698</v>
      </c>
      <c r="C2754">
        <f t="shared" ref="C2754:C2817" si="174">EXP(-zeta*Wn*A2754*2*PI())*($H$1*COS(wnD*2*PI()*A2754) + $H$2*SIN(wnD*2*PI()*A2754)) + $H$3*SIN(w*2*PI()*A2754) + $H$4*COS(w*2*PI()*A2754)</f>
        <v>1.3390628067377686</v>
      </c>
      <c r="D2754">
        <f t="shared" ref="D2754:D2817" si="175">K*C2754</f>
        <v>218.72900493801725</v>
      </c>
      <c r="R2754">
        <f t="shared" si="172"/>
        <v>2.7519999999999998</v>
      </c>
      <c r="S2754">
        <f t="shared" si="173"/>
        <v>1.3390628067377686</v>
      </c>
    </row>
    <row r="2755" spans="1:19" x14ac:dyDescent="0.3">
      <c r="A2755">
        <v>2.7530000000000001</v>
      </c>
      <c r="B2755">
        <f>Uo*COS(2*PI()*Wn*Sheet2!A2755) + (Vo/Wn - (Po*(w/Wn))/(K*(1-(w/Wn)^2)))*SIN(2*PI()*Wn*Sheet2!A2755) +(Po*SIN(2*PI()*w*Sheet2!A2755))/(K*(1-(w/Wn)^2))</f>
        <v>17.491660012931579</v>
      </c>
      <c r="C2755">
        <f t="shared" si="174"/>
        <v>1.355485781196905</v>
      </c>
      <c r="D2755">
        <f t="shared" si="175"/>
        <v>221.41161313495513</v>
      </c>
      <c r="R2755">
        <f t="shared" si="172"/>
        <v>2.7530000000000001</v>
      </c>
      <c r="S2755">
        <f t="shared" si="173"/>
        <v>1.355485781196905</v>
      </c>
    </row>
    <row r="2756" spans="1:19" x14ac:dyDescent="0.3">
      <c r="A2756">
        <v>2.754</v>
      </c>
      <c r="B2756">
        <f>Uo*COS(2*PI()*Wn*Sheet2!A2756) + (Vo/Wn - (Po*(w/Wn))/(K*(1-(w/Wn)^2)))*SIN(2*PI()*Wn*Sheet2!A2756) +(Po*SIN(2*PI()*w*Sheet2!A2756))/(K*(1-(w/Wn)^2))</f>
        <v>17.664071713593273</v>
      </c>
      <c r="C2756">
        <f t="shared" si="174"/>
        <v>1.3714366874325965</v>
      </c>
      <c r="D2756">
        <f t="shared" si="175"/>
        <v>224.01711142169506</v>
      </c>
      <c r="R2756">
        <f t="shared" si="172"/>
        <v>2.754</v>
      </c>
      <c r="S2756">
        <f t="shared" si="173"/>
        <v>1.3714366874325965</v>
      </c>
    </row>
    <row r="2757" spans="1:19" x14ac:dyDescent="0.3">
      <c r="A2757">
        <v>2.7549999999999999</v>
      </c>
      <c r="B2757">
        <f>Uo*COS(2*PI()*Wn*Sheet2!A2757) + (Vo/Wn - (Po*(w/Wn))/(K*(1-(w/Wn)^2)))*SIN(2*PI()*Wn*Sheet2!A2757) +(Po*SIN(2*PI()*w*Sheet2!A2757))/(K*(1-(w/Wn)^2))</f>
        <v>17.830712901286706</v>
      </c>
      <c r="C2757">
        <f t="shared" si="174"/>
        <v>1.3869111717683678</v>
      </c>
      <c r="D2757">
        <f t="shared" si="175"/>
        <v>226.54478864763342</v>
      </c>
      <c r="R2757">
        <f t="shared" si="172"/>
        <v>2.7549999999999999</v>
      </c>
      <c r="S2757">
        <f t="shared" si="173"/>
        <v>1.3869111717683678</v>
      </c>
    </row>
    <row r="2758" spans="1:19" x14ac:dyDescent="0.3">
      <c r="A2758">
        <v>2.7559999999999998</v>
      </c>
      <c r="B2758">
        <f>Uo*COS(2*PI()*Wn*Sheet2!A2758) + (Vo/Wn - (Po*(w/Wn))/(K*(1-(w/Wn)^2)))*SIN(2*PI()*Wn*Sheet2!A2758) +(Po*SIN(2*PI()*w*Sheet2!A2758))/(K*(1-(w/Wn)^2))</f>
        <v>17.991529137536467</v>
      </c>
      <c r="C2758">
        <f t="shared" si="174"/>
        <v>1.40190504388702</v>
      </c>
      <c r="D2758">
        <f t="shared" si="175"/>
        <v>228.99396034606215</v>
      </c>
      <c r="R2758">
        <f t="shared" si="172"/>
        <v>2.7559999999999998</v>
      </c>
      <c r="S2758">
        <f t="shared" si="173"/>
        <v>1.40190504388702</v>
      </c>
    </row>
    <row r="2759" spans="1:19" x14ac:dyDescent="0.3">
      <c r="A2759">
        <v>2.7570000000000001</v>
      </c>
      <c r="B2759">
        <f>Uo*COS(2*PI()*Wn*Sheet2!A2759) + (Vo/Wn - (Po*(w/Wn))/(K*(1-(w/Wn)^2)))*SIN(2*PI()*Wn*Sheet2!A2759) +(Po*SIN(2*PI()*w*Sheet2!A2759))/(K*(1-(w/Wn)^2))</f>
        <v>18.146467886766782</v>
      </c>
      <c r="C2759">
        <f t="shared" si="174"/>
        <v>1.4164142779033067</v>
      </c>
      <c r="D2759">
        <f t="shared" si="175"/>
        <v>231.36396890938471</v>
      </c>
      <c r="R2759">
        <f t="shared" si="172"/>
        <v>2.7570000000000001</v>
      </c>
      <c r="S2759">
        <f t="shared" si="173"/>
        <v>1.4164142779033067</v>
      </c>
    </row>
    <row r="2760" spans="1:19" x14ac:dyDescent="0.3">
      <c r="A2760">
        <v>2.758</v>
      </c>
      <c r="B2760">
        <f>Uo*COS(2*PI()*Wn*Sheet2!A2760) + (Vo/Wn - (Po*(w/Wn))/(K*(1-(w/Wn)^2)))*SIN(2*PI()*Wn*Sheet2!A2760) +(Po*SIN(2*PI()*w*Sheet2!A2760))/(K*(1-(w/Wn)^2))</f>
        <v>18.295478533464074</v>
      </c>
      <c r="C2760">
        <f t="shared" si="174"/>
        <v>1.4304350133809711</v>
      </c>
      <c r="D2760">
        <f t="shared" si="175"/>
        <v>233.65418375524388</v>
      </c>
      <c r="R2760">
        <f t="shared" si="172"/>
        <v>2.758</v>
      </c>
      <c r="S2760">
        <f t="shared" si="173"/>
        <v>1.4304350133809711</v>
      </c>
    </row>
    <row r="2761" spans="1:19" x14ac:dyDescent="0.3">
      <c r="A2761">
        <v>2.7589999999999999</v>
      </c>
      <c r="B2761">
        <f>Uo*COS(2*PI()*Wn*Sheet2!A2761) + (Vo/Wn - (Po*(w/Wn))/(K*(1-(w/Wn)^2)))*SIN(2*PI()*Wn*Sheet2!A2761) +(Po*SIN(2*PI()*w*Sheet2!A2761))/(K*(1-(w/Wn)^2))</f>
        <v>18.438512398711943</v>
      </c>
      <c r="C2761">
        <f t="shared" si="174"/>
        <v>1.4439635562939901</v>
      </c>
      <c r="D2761">
        <f t="shared" si="175"/>
        <v>235.86400148353613</v>
      </c>
      <c r="R2761">
        <f t="shared" si="172"/>
        <v>2.7589999999999999</v>
      </c>
      <c r="S2761">
        <f t="shared" si="173"/>
        <v>1.4439635562939901</v>
      </c>
    </row>
    <row r="2762" spans="1:19" x14ac:dyDescent="0.3">
      <c r="A2762">
        <v>2.76</v>
      </c>
      <c r="B2762">
        <f>Uo*COS(2*PI()*Wn*Sheet2!A2762) + (Vo/Wn - (Po*(w/Wn))/(K*(1-(w/Wn)^2)))*SIN(2*PI()*Wn*Sheet2!A2762) +(Po*SIN(2*PI()*w*Sheet2!A2762))/(K*(1-(w/Wn)^2))</f>
        <v>18.575522756093822</v>
      </c>
      <c r="C2762">
        <f t="shared" si="174"/>
        <v>1.4569963799317469</v>
      </c>
      <c r="D2762">
        <f t="shared" si="175"/>
        <v>237.99284602426684</v>
      </c>
      <c r="R2762">
        <f t="shared" si="172"/>
        <v>2.76</v>
      </c>
      <c r="S2762">
        <f t="shared" si="173"/>
        <v>1.4569963799317469</v>
      </c>
    </row>
    <row r="2763" spans="1:19" x14ac:dyDescent="0.3">
      <c r="A2763">
        <v>2.7610000000000001</v>
      </c>
      <c r="B2763">
        <f>Uo*COS(2*PI()*Wn*Sheet2!A2763) + (Vo/Wn - (Po*(w/Wn))/(K*(1-(w/Wn)^2)))*SIN(2*PI()*Wn*Sheet2!A2763) +(Po*SIN(2*PI()*w*Sheet2!A2763))/(K*(1-(w/Wn)^2))</f>
        <v>18.706464846957505</v>
      </c>
      <c r="C2763">
        <f t="shared" si="174"/>
        <v>1.4695301257479301</v>
      </c>
      <c r="D2763">
        <f t="shared" si="175"/>
        <v>240.04016877621348</v>
      </c>
      <c r="R2763">
        <f t="shared" si="172"/>
        <v>2.7610000000000001</v>
      </c>
      <c r="S2763">
        <f t="shared" si="173"/>
        <v>1.4695301257479301</v>
      </c>
    </row>
    <row r="2764" spans="1:19" x14ac:dyDescent="0.3">
      <c r="A2764">
        <v>2.762</v>
      </c>
      <c r="B2764">
        <f>Uo*COS(2*PI()*Wn*Sheet2!A2764) + (Vo/Wn - (Po*(w/Wn))/(K*(1-(w/Wn)^2)))*SIN(2*PI()*Wn*Sheet2!A2764) +(Po*SIN(2*PI()*w*Sheet2!A2764))/(K*(1-(w/Wn)^2))</f>
        <v>18.831295895036607</v>
      </c>
      <c r="C2764">
        <f t="shared" si="174"/>
        <v>1.4815616041530477</v>
      </c>
      <c r="D2764">
        <f t="shared" si="175"/>
        <v>242.00544873637892</v>
      </c>
      <c r="R2764">
        <f t="shared" si="172"/>
        <v>2.762</v>
      </c>
      <c r="S2764">
        <f t="shared" si="173"/>
        <v>1.4815616041530477</v>
      </c>
    </row>
    <row r="2765" spans="1:19" x14ac:dyDescent="0.3">
      <c r="A2765">
        <v>2.7629999999999999</v>
      </c>
      <c r="B2765">
        <f>Uo*COS(2*PI()*Wn*Sheet2!A2765) + (Vo/Wn - (Po*(w/Wn))/(K*(1-(w/Wn)^2)))*SIN(2*PI()*Wn*Sheet2!A2765) +(Po*SIN(2*PI()*w*Sheet2!A2765))/(K*(1-(w/Wn)^2))</f>
        <v>18.949975120425368</v>
      </c>
      <c r="C2765">
        <f t="shared" si="174"/>
        <v>1.4930877952503776</v>
      </c>
      <c r="D2765">
        <f t="shared" si="175"/>
        <v>243.8881926202049</v>
      </c>
      <c r="R2765">
        <f t="shared" si="172"/>
        <v>2.7629999999999999</v>
      </c>
      <c r="S2765">
        <f t="shared" si="173"/>
        <v>1.4930877952503776</v>
      </c>
    </row>
    <row r="2766" spans="1:19" x14ac:dyDescent="0.3">
      <c r="A2766">
        <v>2.7639999999999998</v>
      </c>
      <c r="B2766">
        <f>Uo*COS(2*PI()*Wn*Sheet2!A2766) + (Vo/Wn - (Po*(w/Wn))/(K*(1-(w/Wn)^2)))*SIN(2*PI()*Wn*Sheet2!A2766) +(Po*SIN(2*PI()*w*Sheet2!A2766))/(K*(1-(w/Wn)^2))</f>
        <v>19.062463752900275</v>
      </c>
      <c r="C2766">
        <f t="shared" si="174"/>
        <v>1.5041058495151665</v>
      </c>
      <c r="D2766">
        <f t="shared" si="175"/>
        <v>245.68793497251588</v>
      </c>
      <c r="R2766">
        <f t="shared" si="172"/>
        <v>2.7639999999999998</v>
      </c>
      <c r="S2766">
        <f t="shared" si="173"/>
        <v>1.5041058495151665</v>
      </c>
    </row>
    <row r="2767" spans="1:19" x14ac:dyDescent="0.3">
      <c r="A2767">
        <v>2.7650000000000001</v>
      </c>
      <c r="B2767">
        <f>Uo*COS(2*PI()*Wn*Sheet2!A2767) + (Vo/Wn - (Po*(w/Wn))/(K*(1-(w/Wn)^2)))*SIN(2*PI()*Wn*Sheet2!A2767) +(Po*SIN(2*PI()*w*Sheet2!A2767))/(K*(1-(w/Wn)^2))</f>
        <v>19.168725044585532</v>
      </c>
      <c r="C2767">
        <f t="shared" si="174"/>
        <v>1.5146130884170195</v>
      </c>
      <c r="D2767">
        <f t="shared" si="175"/>
        <v>247.40423826918297</v>
      </c>
      <c r="R2767">
        <f t="shared" si="172"/>
        <v>2.7650000000000001</v>
      </c>
      <c r="S2767">
        <f t="shared" si="173"/>
        <v>1.5146130884170195</v>
      </c>
    </row>
    <row r="2768" spans="1:19" x14ac:dyDescent="0.3">
      <c r="A2768">
        <v>2.766</v>
      </c>
      <c r="B2768">
        <f>Uo*COS(2*PI()*Wn*Sheet2!A2768) + (Vo/Wn - (Po*(w/Wn))/(K*(1-(w/Wn)^2)))*SIN(2*PI()*Wn*Sheet2!A2768) +(Po*SIN(2*PI()*w*Sheet2!A2768))/(K*(1-(w/Wn)^2))</f>
        <v>19.268724281958033</v>
      </c>
      <c r="C2768">
        <f t="shared" si="174"/>
        <v>1.5246070049853335</v>
      </c>
      <c r="D2768">
        <f t="shared" si="175"/>
        <v>249.03669300948476</v>
      </c>
      <c r="R2768">
        <f t="shared" si="172"/>
        <v>2.766</v>
      </c>
      <c r="S2768">
        <f t="shared" si="173"/>
        <v>1.5246070049853335</v>
      </c>
    </row>
    <row r="2769" spans="1:19" x14ac:dyDescent="0.3">
      <c r="A2769">
        <v>2.7669999999999999</v>
      </c>
      <c r="B2769">
        <f>Uo*COS(2*PI()*Wn*Sheet2!A2769) + (Vo/Wn - (Po*(w/Wn))/(K*(1-(w/Wn)^2)))*SIN(2*PI()*Wn*Sheet2!A2769) +(Po*SIN(2*PI()*w*Sheet2!A2769))/(K*(1-(w/Wn)^2))</f>
        <v>19.362428797187501</v>
      </c>
      <c r="C2769">
        <f t="shared" si="174"/>
        <v>1.5340852643177501</v>
      </c>
      <c r="D2769">
        <f t="shared" si="175"/>
        <v>250.58491779916034</v>
      </c>
      <c r="R2769">
        <f t="shared" si="172"/>
        <v>2.7669999999999999</v>
      </c>
      <c r="S2769">
        <f t="shared" si="173"/>
        <v>1.5340852643177501</v>
      </c>
    </row>
    <row r="2770" spans="1:19" x14ac:dyDescent="0.3">
      <c r="A2770">
        <v>2.7679999999999998</v>
      </c>
      <c r="B2770">
        <f>Uo*COS(2*PI()*Wn*Sheet2!A2770) + (Vo/Wn - (Po*(w/Wn))/(K*(1-(w/Wn)^2)))*SIN(2*PI()*Wn*Sheet2!A2770) +(Po*SIN(2*PI()*w*Sheet2!A2770))/(K*(1-(w/Wn)^2))</f>
        <v>19.449807978808561</v>
      </c>
      <c r="C2770">
        <f t="shared" si="174"/>
        <v>1.5430457040315113</v>
      </c>
      <c r="D2770">
        <f t="shared" si="175"/>
        <v>252.04855942413596</v>
      </c>
      <c r="R2770">
        <f t="shared" si="172"/>
        <v>2.7679999999999998</v>
      </c>
      <c r="S2770">
        <f t="shared" si="173"/>
        <v>1.5430457040315113</v>
      </c>
    </row>
    <row r="2771" spans="1:19" x14ac:dyDescent="0.3">
      <c r="A2771">
        <v>2.7690000000000001</v>
      </c>
      <c r="B2771">
        <f>Uo*COS(2*PI()*Wn*Sheet2!A2771) + (Vo/Wn - (Po*(w/Wn))/(K*(1-(w/Wn)^2)))*SIN(2*PI()*Wn*Sheet2!A2771) +(Po*SIN(2*PI()*w*Sheet2!A2771))/(K*(1-(w/Wn)^2))</f>
        <v>19.530833281720867</v>
      </c>
      <c r="C2771">
        <f t="shared" si="174"/>
        <v>1.5514863346576673</v>
      </c>
      <c r="D2771">
        <f t="shared" si="175"/>
        <v>253.42729291491688</v>
      </c>
      <c r="R2771">
        <f t="shared" si="172"/>
        <v>2.7690000000000001</v>
      </c>
      <c r="S2771">
        <f t="shared" si="173"/>
        <v>1.5514863346576673</v>
      </c>
    </row>
    <row r="2772" spans="1:19" x14ac:dyDescent="0.3">
      <c r="A2772">
        <v>2.77</v>
      </c>
      <c r="B2772">
        <f>Uo*COS(2*PI()*Wn*Sheet2!A2772) + (Vo/Wn - (Po*(w/Wn))/(K*(1-(w/Wn)^2)))*SIN(2*PI()*Wn*Sheet2!A2772) +(Po*SIN(2*PI()*w*Sheet2!A2772))/(K*(1-(w/Wn)^2))</f>
        <v>19.605478236514021</v>
      </c>
      <c r="C2772">
        <f t="shared" si="174"/>
        <v>1.5594053399781698</v>
      </c>
      <c r="D2772">
        <f t="shared" si="175"/>
        <v>254.72082160164976</v>
      </c>
      <c r="R2772">
        <f t="shared" si="172"/>
        <v>2.77</v>
      </c>
      <c r="S2772">
        <f t="shared" si="173"/>
        <v>1.5594053399781698</v>
      </c>
    </row>
    <row r="2773" spans="1:19" x14ac:dyDescent="0.3">
      <c r="A2773">
        <v>2.7709999999999999</v>
      </c>
      <c r="B2773">
        <f>Uo*COS(2*PI()*Wn*Sheet2!A2773) + (Vo/Wn - (Po*(w/Wn))/(K*(1-(w/Wn)^2)))*SIN(2*PI()*Wn*Sheet2!A2773) +(Po*SIN(2*PI()*w*Sheet2!A2773))/(K*(1-(w/Wn)^2))</f>
        <v>19.673718458115008</v>
      </c>
      <c r="C2773">
        <f t="shared" si="174"/>
        <v>1.5668010773058119</v>
      </c>
      <c r="D2773">
        <f t="shared" si="175"/>
        <v>255.92887715984949</v>
      </c>
      <c r="R2773">
        <f t="shared" si="172"/>
        <v>2.7709999999999999</v>
      </c>
      <c r="S2773">
        <f t="shared" si="173"/>
        <v>1.5668010773058119</v>
      </c>
    </row>
    <row r="2774" spans="1:19" x14ac:dyDescent="0.3">
      <c r="A2774">
        <v>2.7719999999999998</v>
      </c>
      <c r="B2774">
        <f>Uo*COS(2*PI()*Wn*Sheet2!A2774) + (Vo/Wn - (Po*(w/Wn))/(K*(1-(w/Wn)^2)))*SIN(2*PI()*Wn*Sheet2!A2774) +(Po*SIN(2*PI()*w*Sheet2!A2774))/(K*(1-(w/Wn)^2))</f>
        <v>19.735531653754094</v>
      </c>
      <c r="C2774">
        <f t="shared" si="174"/>
        <v>1.5736720777069952</v>
      </c>
      <c r="D2774">
        <f t="shared" si="175"/>
        <v>257.05121964678699</v>
      </c>
      <c r="R2774">
        <f t="shared" si="172"/>
        <v>2.7719999999999998</v>
      </c>
      <c r="S2774">
        <f t="shared" si="173"/>
        <v>1.5736720777069952</v>
      </c>
    </row>
    <row r="2775" spans="1:19" x14ac:dyDescent="0.3">
      <c r="A2775">
        <v>2.7730000000000001</v>
      </c>
      <c r="B2775">
        <f>Uo*COS(2*PI()*Wn*Sheet2!A2775) + (Vo/Wn - (Po*(w/Wn))/(K*(1-(w/Wn)^2)))*SIN(2*PI()*Wn*Sheet2!A2775) +(Po*SIN(2*PI()*w*Sheet2!A2775))/(K*(1-(w/Wn)^2))</f>
        <v>19.790897630247436</v>
      </c>
      <c r="C2775">
        <f t="shared" si="174"/>
        <v>1.5800170461674101</v>
      </c>
      <c r="D2775">
        <f t="shared" si="175"/>
        <v>258.08763752855214</v>
      </c>
      <c r="R2775">
        <f t="shared" si="172"/>
        <v>2.7730000000000001</v>
      </c>
      <c r="S2775">
        <f t="shared" si="173"/>
        <v>1.5800170461674101</v>
      </c>
    </row>
    <row r="2776" spans="1:19" x14ac:dyDescent="0.3">
      <c r="A2776">
        <v>2.774</v>
      </c>
      <c r="B2776">
        <f>Uo*COS(2*PI()*Wn*Sheet2!A2776) + (Vo/Wn - (Po*(w/Wn))/(K*(1-(w/Wn)^2)))*SIN(2*PI()*Wn*Sheet2!A2776) +(Po*SIN(2*PI()*w*Sheet2!A2776))/(K*(1-(w/Wn)^2))</f>
        <v>19.839798300593884</v>
      </c>
      <c r="C2776">
        <f t="shared" si="174"/>
        <v>1.5858348617006339</v>
      </c>
      <c r="D2776">
        <f t="shared" si="175"/>
        <v>259.0379476977929</v>
      </c>
      <c r="R2776">
        <f t="shared" si="172"/>
        <v>2.774</v>
      </c>
      <c r="S2776">
        <f t="shared" si="173"/>
        <v>1.5858348617006339</v>
      </c>
    </row>
    <row r="2777" spans="1:19" x14ac:dyDescent="0.3">
      <c r="A2777">
        <v>2.7749999999999999</v>
      </c>
      <c r="B2777">
        <f>Uo*COS(2*PI()*Wn*Sheet2!A2777) + (Vo/Wn - (Po*(w/Wn))/(K*(1-(w/Wn)^2)))*SIN(2*PI()*Wn*Sheet2!A2777) +(Po*SIN(2*PI()*w*Sheet2!A2777))/(K*(1-(w/Wn)^2))</f>
        <v>19.882217689883618</v>
      </c>
      <c r="C2777">
        <f t="shared" si="174"/>
        <v>1.5911245773997511</v>
      </c>
      <c r="D2777">
        <f t="shared" si="175"/>
        <v>259.90199548214713</v>
      </c>
      <c r="R2777">
        <f t="shared" si="172"/>
        <v>2.7749999999999999</v>
      </c>
      <c r="S2777">
        <f t="shared" si="173"/>
        <v>1.5911245773997511</v>
      </c>
    </row>
    <row r="2778" spans="1:19" x14ac:dyDescent="0.3">
      <c r="A2778">
        <v>2.7759999999999998</v>
      </c>
      <c r="B2778">
        <f>Uo*COS(2*PI()*Wn*Sheet2!A2778) + (Vo/Wn - (Po*(w/Wn))/(K*(1-(w/Wn)^2)))*SIN(2*PI()*Wn*Sheet2!A2778) +(Po*SIN(2*PI()*w*Sheet2!A2778))/(K*(1-(w/Wn)^2))</f>
        <v>19.9181419405169</v>
      </c>
      <c r="C2778">
        <f t="shared" si="174"/>
        <v>1.5958854204320427</v>
      </c>
      <c r="D2778">
        <f t="shared" si="175"/>
        <v>260.67965464337504</v>
      </c>
      <c r="R2778">
        <f t="shared" si="172"/>
        <v>2.7759999999999998</v>
      </c>
      <c r="S2778">
        <f t="shared" si="173"/>
        <v>1.5958854204320427</v>
      </c>
    </row>
    <row r="2779" spans="1:19" x14ac:dyDescent="0.3">
      <c r="A2779">
        <v>2.7770000000000001</v>
      </c>
      <c r="B2779">
        <f>Uo*COS(2*PI()*Wn*Sheet2!A2779) + (Vo/Wn - (Po*(w/Wn))/(K*(1-(w/Wn)^2)))*SIN(2*PI()*Wn*Sheet2!A2779) +(Po*SIN(2*PI()*w*Sheet2!A2779))/(K*(1-(w/Wn)^2))</f>
        <v>19.947559316731034</v>
      </c>
      <c r="C2779">
        <f t="shared" si="174"/>
        <v>1.6001167919768997</v>
      </c>
      <c r="D2779">
        <f t="shared" si="175"/>
        <v>261.37082736721794</v>
      </c>
      <c r="R2779">
        <f t="shared" si="172"/>
        <v>2.7770000000000001</v>
      </c>
      <c r="S2779">
        <f t="shared" si="173"/>
        <v>1.6001167919768997</v>
      </c>
    </row>
    <row r="2780" spans="1:19" x14ac:dyDescent="0.3">
      <c r="A2780">
        <v>2.778</v>
      </c>
      <c r="B2780">
        <f>Uo*COS(2*PI()*Wn*Sheet2!A2780) + (Vo/Wn - (Po*(w/Wn))/(K*(1-(w/Wn)^2)))*SIN(2*PI()*Wn*Sheet2!A2780) +(Po*SIN(2*PI()*w*Sheet2!A2780))/(K*(1-(w/Wn)^2))</f>
        <v>19.970460208434162</v>
      </c>
      <c r="C2780">
        <f t="shared" si="174"/>
        <v>1.6038182671070045</v>
      </c>
      <c r="D2780">
        <f t="shared" si="175"/>
        <v>261.97544424398939</v>
      </c>
      <c r="R2780">
        <f t="shared" si="172"/>
        <v>2.778</v>
      </c>
      <c r="S2780">
        <f t="shared" si="173"/>
        <v>1.6038182671070045</v>
      </c>
    </row>
    <row r="2781" spans="1:19" x14ac:dyDescent="0.3">
      <c r="A2781">
        <v>2.7789999999999999</v>
      </c>
      <c r="B2781">
        <f>Uo*COS(2*PI()*Wn*Sheet2!A2781) + (Vo/Wn - (Po*(w/Wn))/(K*(1-(w/Wn)^2)))*SIN(2*PI()*Wn*Sheet2!A2781) +(Po*SIN(2*PI()*w*Sheet2!A2781))/(K*(1-(w/Wn)^2))</f>
        <v>19.986837134344839</v>
      </c>
      <c r="C2781">
        <f t="shared" si="174"/>
        <v>1.6069895946130264</v>
      </c>
      <c r="D2781">
        <f t="shared" si="175"/>
        <v>262.49346423994064</v>
      </c>
      <c r="R2781">
        <f t="shared" si="172"/>
        <v>2.7789999999999999</v>
      </c>
      <c r="S2781">
        <f t="shared" si="173"/>
        <v>1.6069895946130264</v>
      </c>
    </row>
    <row r="2782" spans="1:19" x14ac:dyDescent="0.3">
      <c r="A2782">
        <v>2.78</v>
      </c>
      <c r="B2782">
        <f>Uo*COS(2*PI()*Wn*Sheet2!A2782) + (Vo/Wn - (Po*(w/Wn))/(K*(1-(w/Wn)^2)))*SIN(2*PI()*Wn*Sheet2!A2782) +(Po*SIN(2*PI()*w*Sheet2!A2782))/(K*(1-(w/Wn)^2))</f>
        <v>19.996684744435896</v>
      </c>
      <c r="C2782">
        <f t="shared" si="174"/>
        <v>1.6096306967718983</v>
      </c>
      <c r="D2782">
        <f t="shared" si="175"/>
        <v>262.92487465940934</v>
      </c>
      <c r="R2782">
        <f t="shared" si="172"/>
        <v>2.78</v>
      </c>
      <c r="S2782">
        <f t="shared" si="173"/>
        <v>1.6096306967718983</v>
      </c>
    </row>
    <row r="2783" spans="1:19" x14ac:dyDescent="0.3">
      <c r="A2783">
        <v>2.7810000000000001</v>
      </c>
      <c r="B2783">
        <f>Uo*COS(2*PI()*Wn*Sheet2!A2783) + (Vo/Wn - (Po*(w/Wn))/(K*(1-(w/Wn)^2)))*SIN(2*PI()*Wn*Sheet2!A2783) +(Po*SIN(2*PI()*w*Sheet2!A2783))/(K*(1-(w/Wn)^2))</f>
        <v>19.999999821682255</v>
      </c>
      <c r="C2783">
        <f t="shared" si="174"/>
        <v>1.6117416690588995</v>
      </c>
      <c r="D2783">
        <f t="shared" si="175"/>
        <v>263.26969109779014</v>
      </c>
      <c r="R2783">
        <f t="shared" si="172"/>
        <v>2.7810000000000001</v>
      </c>
      <c r="S2783">
        <f t="shared" si="173"/>
        <v>1.6117416690588995</v>
      </c>
    </row>
    <row r="2784" spans="1:19" x14ac:dyDescent="0.3">
      <c r="A2784">
        <v>2.782</v>
      </c>
      <c r="B2784">
        <f>Uo*COS(2*PI()*Wn*Sheet2!A2784) + (Vo/Wn - (Po*(w/Wn))/(K*(1-(w/Wn)^2)))*SIN(2*PI()*Wn*Sheet2!A2784) +(Po*SIN(2*PI()*w*Sheet2!A2784))/(K*(1-(w/Wn)^2))</f>
        <v>19.996781283111847</v>
      </c>
      <c r="C2784">
        <f t="shared" si="174"/>
        <v>1.6133227798037273</v>
      </c>
      <c r="D2784">
        <f t="shared" si="175"/>
        <v>263.52795738535548</v>
      </c>
      <c r="R2784">
        <f t="shared" si="172"/>
        <v>2.782</v>
      </c>
      <c r="S2784">
        <f t="shared" si="173"/>
        <v>1.6133227798037273</v>
      </c>
    </row>
    <row r="2785" spans="1:19" x14ac:dyDescent="0.3">
      <c r="A2785">
        <v>2.7829999999999999</v>
      </c>
      <c r="B2785">
        <f>Uo*COS(2*PI()*Wn*Sheet2!A2785) + (Vo/Wn - (Po*(w/Wn))/(K*(1-(w/Wn)^2)))*SIN(2*PI()*Wn*Sheet2!A2785) +(Po*SIN(2*PI()*w*Sheet2!A2785))/(K*(1-(w/Wn)^2))</f>
        <v>19.987030180159419</v>
      </c>
      <c r="C2785">
        <f t="shared" si="174"/>
        <v>1.6143744697907778</v>
      </c>
      <c r="D2785">
        <f t="shared" si="175"/>
        <v>263.69974552196368</v>
      </c>
      <c r="R2785">
        <f t="shared" si="172"/>
        <v>2.7829999999999999</v>
      </c>
      <c r="S2785">
        <f t="shared" si="173"/>
        <v>1.6143744697907778</v>
      </c>
    </row>
    <row r="2786" spans="1:19" x14ac:dyDescent="0.3">
      <c r="A2786">
        <v>2.7839999999999998</v>
      </c>
      <c r="B2786">
        <f>Uo*COS(2*PI()*Wn*Sheet2!A2786) + (Vo/Wn - (Po*(w/Wn))/(K*(1-(w/Wn)^2)))*SIN(2*PI()*Wn*Sheet2!A2786) +(Po*SIN(2*PI()*w*Sheet2!A2786))/(K*(1-(w/Wn)^2))</f>
        <v>19.970749698323012</v>
      </c>
      <c r="C2786">
        <f t="shared" si="174"/>
        <v>1.6148973518038525</v>
      </c>
      <c r="D2786">
        <f t="shared" si="175"/>
        <v>263.78515560268909</v>
      </c>
      <c r="R2786">
        <f t="shared" si="172"/>
        <v>2.7839999999999998</v>
      </c>
      <c r="S2786">
        <f t="shared" si="173"/>
        <v>1.6148973518038525</v>
      </c>
    </row>
    <row r="2787" spans="1:19" x14ac:dyDescent="0.3">
      <c r="A2787">
        <v>2.7850000000000001</v>
      </c>
      <c r="B2787">
        <f>Uo*COS(2*PI()*Wn*Sheet2!A2787) + (Vo/Wn - (Po*(w/Wn))/(K*(1-(w/Wn)^2)))*SIN(2*PI()*Wn*Sheet2!A2787) +(Po*SIN(2*PI()*w*Sheet2!A2787))/(K*(1-(w/Wn)^2))</f>
        <v>19.947945156123343</v>
      </c>
      <c r="C2787">
        <f t="shared" si="174"/>
        <v>1.6148922101155578</v>
      </c>
      <c r="D2787">
        <f t="shared" si="175"/>
        <v>263.78431573441793</v>
      </c>
      <c r="R2787">
        <f t="shared" si="172"/>
        <v>2.7850000000000001</v>
      </c>
      <c r="S2787">
        <f t="shared" si="173"/>
        <v>1.6148922101155578</v>
      </c>
    </row>
    <row r="2788" spans="1:19" x14ac:dyDescent="0.3">
      <c r="A2788">
        <v>2.786</v>
      </c>
      <c r="B2788">
        <f>Uo*COS(2*PI()*Wn*Sheet2!A2788) + (Vo/Wn - (Po*(w/Wn))/(K*(1-(w/Wn)^2)))*SIN(2*PI()*Wn*Sheet2!A2788) +(Po*SIN(2*PI()*w*Sheet2!A2788))/(K*(1-(w/Wn)^2))</f>
        <v>19.918624003366389</v>
      </c>
      <c r="C2788">
        <f t="shared" si="174"/>
        <v>1.6143599999216476</v>
      </c>
      <c r="D2788">
        <f t="shared" si="175"/>
        <v>263.69738194345155</v>
      </c>
      <c r="R2788">
        <f t="shared" si="172"/>
        <v>2.786</v>
      </c>
      <c r="S2788">
        <f t="shared" si="173"/>
        <v>1.6143599999216476</v>
      </c>
    </row>
    <row r="2789" spans="1:19" x14ac:dyDescent="0.3">
      <c r="A2789">
        <v>2.7869999999999999</v>
      </c>
      <c r="B2789">
        <f>Uo*COS(2*PI()*Wn*Sheet2!A2789) + (Vo/Wn - (Po*(w/Wn))/(K*(1-(w/Wn)^2)))*SIN(2*PI()*Wn*Sheet2!A2789) +(Po*SIN(2*PI()*w*Sheet2!A2789))/(K*(1-(w/Wn)^2))</f>
        <v>19.882795818709582</v>
      </c>
      <c r="C2789">
        <f t="shared" si="174"/>
        <v>1.6133018467206082</v>
      </c>
      <c r="D2789">
        <f t="shared" si="175"/>
        <v>263.52453807416418</v>
      </c>
      <c r="R2789">
        <f t="shared" si="172"/>
        <v>2.7869999999999999</v>
      </c>
      <c r="S2789">
        <f t="shared" si="173"/>
        <v>1.6133018467206082</v>
      </c>
    </row>
    <row r="2790" spans="1:19" x14ac:dyDescent="0.3">
      <c r="A2790">
        <v>2.7879999999999998</v>
      </c>
      <c r="B2790">
        <f>Uo*COS(2*PI()*Wn*Sheet2!A2790) + (Vo/Wn - (Po*(w/Wn))/(K*(1-(w/Wn)^2)))*SIN(2*PI()*Wn*Sheet2!A2790) +(Po*SIN(2*PI()*w*Sheet2!A2790))/(K*(1-(w/Wn)^2))</f>
        <v>19.840472306532742</v>
      </c>
      <c r="C2790">
        <f t="shared" si="174"/>
        <v>1.6117190456387678</v>
      </c>
      <c r="D2790">
        <f t="shared" si="175"/>
        <v>263.26599567876366</v>
      </c>
      <c r="R2790">
        <f t="shared" si="172"/>
        <v>2.7879999999999998</v>
      </c>
      <c r="S2790">
        <f t="shared" si="173"/>
        <v>1.6117190456387678</v>
      </c>
    </row>
    <row r="2791" spans="1:19" x14ac:dyDescent="0.3">
      <c r="A2791">
        <v>2.7890000000000001</v>
      </c>
      <c r="B2791">
        <f>Uo*COS(2*PI()*Wn*Sheet2!A2791) + (Vo/Wn - (Po*(w/Wn))/(K*(1-(w/Wn)^2)))*SIN(2*PI()*Wn*Sheet2!A2791) +(Po*SIN(2*PI()*w*Sheet2!A2791))/(K*(1-(w/Wn)^2))</f>
        <v>19.791667293114401</v>
      </c>
      <c r="C2791">
        <f t="shared" si="174"/>
        <v>1.6096130607012746</v>
      </c>
      <c r="D2791">
        <f t="shared" si="175"/>
        <v>262.92199389820894</v>
      </c>
      <c r="R2791">
        <f t="shared" si="172"/>
        <v>2.7890000000000001</v>
      </c>
      <c r="S2791">
        <f t="shared" si="173"/>
        <v>1.6096130607012746</v>
      </c>
    </row>
    <row r="2792" spans="1:19" x14ac:dyDescent="0.3">
      <c r="A2792">
        <v>2.79</v>
      </c>
      <c r="B2792">
        <f>Uo*COS(2*PI()*Wn*Sheet2!A2792) + (Vo/Wn - (Po*(w/Wn))/(K*(1-(w/Wn)^2)))*SIN(2*PI()*Wn*Sheet2!A2792) +(Po*SIN(2*PI()*w*Sheet2!A2792))/(K*(1-(w/Wn)^2))</f>
        <v>19.736396722115089</v>
      </c>
      <c r="C2792">
        <f t="shared" si="174"/>
        <v>1.6069855240492605</v>
      </c>
      <c r="D2792">
        <f t="shared" si="175"/>
        <v>262.49279933433832</v>
      </c>
      <c r="R2792">
        <f t="shared" si="172"/>
        <v>2.79</v>
      </c>
      <c r="S2792">
        <f t="shared" si="173"/>
        <v>1.6069855240492605</v>
      </c>
    </row>
    <row r="2793" spans="1:19" x14ac:dyDescent="0.3">
      <c r="A2793">
        <v>2.7909999999999999</v>
      </c>
      <c r="B2793">
        <f>Uo*COS(2*PI()*Wn*Sheet2!A2793) + (Vo/Wn - (Po*(w/Wn))/(K*(1-(w/Wn)^2)))*SIN(2*PI()*Wn*Sheet2!A2793) +(Po*SIN(2*PI()*w*Sheet2!A2793))/(K*(1-(w/Wn)^2))</f>
        <v>19.674678649368836</v>
      </c>
      <c r="C2793">
        <f t="shared" si="174"/>
        <v>1.6038382351035354</v>
      </c>
      <c r="D2793">
        <f t="shared" si="175"/>
        <v>261.97870591326273</v>
      </c>
      <c r="R2793">
        <f t="shared" si="172"/>
        <v>2.7909999999999999</v>
      </c>
      <c r="S2793">
        <f t="shared" si="173"/>
        <v>1.6038382351035354</v>
      </c>
    </row>
    <row r="2794" spans="1:19" x14ac:dyDescent="0.3">
      <c r="A2794">
        <v>2.7919999999999998</v>
      </c>
      <c r="B2794">
        <f>Uo*COS(2*PI()*Wn*Sheet2!A2794) + (Vo/Wn - (Po*(w/Wn))/(K*(1-(w/Wn)^2)))*SIN(2*PI()*Wn*Sheet2!A2794) +(Po*SIN(2*PI()*w*Sheet2!A2794))/(K*(1-(w/Wn)^2))</f>
        <v>19.606533236984621</v>
      </c>
      <c r="C2794">
        <f t="shared" si="174"/>
        <v>1.6001731596752136</v>
      </c>
      <c r="D2794">
        <f t="shared" si="175"/>
        <v>261.38003474009156</v>
      </c>
      <c r="R2794">
        <f t="shared" si="172"/>
        <v>2.7919999999999998</v>
      </c>
      <c r="S2794">
        <f t="shared" si="173"/>
        <v>1.6001731596752136</v>
      </c>
    </row>
    <row r="2795" spans="1:19" x14ac:dyDescent="0.3">
      <c r="A2795">
        <v>2.7930000000000001</v>
      </c>
      <c r="B2795">
        <f>Uo*COS(2*PI()*Wn*Sheet2!A2795) + (Vo/Wn - (Po*(w/Wn))/(K*(1-(w/Wn)^2)))*SIN(2*PI()*Wn*Sheet2!A2795) +(Po*SIN(2*PI()*w*Sheet2!A2795))/(K*(1-(w/Wn)^2))</f>
        <v>19.531982746759788</v>
      </c>
      <c r="C2795">
        <f t="shared" si="174"/>
        <v>1.595992429023624</v>
      </c>
      <c r="D2795">
        <f t="shared" si="175"/>
        <v>260.6971339450468</v>
      </c>
      <c r="R2795">
        <f t="shared" si="172"/>
        <v>2.7930000000000001</v>
      </c>
      <c r="S2795">
        <f t="shared" si="173"/>
        <v>1.595992429023624</v>
      </c>
    </row>
    <row r="2796" spans="1:19" x14ac:dyDescent="0.3">
      <c r="A2796">
        <v>2.794</v>
      </c>
      <c r="B2796">
        <f>Uo*COS(2*PI()*Wn*Sheet2!A2796) + (Vo/Wn - (Po*(w/Wn))/(K*(1-(w/Wn)^2)))*SIN(2*PI()*Wn*Sheet2!A2796) +(Po*SIN(2*PI()*w*Sheet2!A2796))/(K*(1-(w/Wn)^2))</f>
        <v>19.451051532907769</v>
      </c>
      <c r="C2796">
        <f t="shared" si="174"/>
        <v>1.5912983388619326</v>
      </c>
      <c r="D2796">
        <f t="shared" si="175"/>
        <v>259.93037852103691</v>
      </c>
      <c r="R2796">
        <f t="shared" si="172"/>
        <v>2.794</v>
      </c>
      <c r="S2796">
        <f t="shared" si="173"/>
        <v>1.5912983388619326</v>
      </c>
    </row>
    <row r="2797" spans="1:19" x14ac:dyDescent="0.3">
      <c r="A2797">
        <v>2.7949999999999999</v>
      </c>
      <c r="B2797">
        <f>Uo*COS(2*PI()*Wn*Sheet2!A2797) + (Vo/Wn - (Po*(w/Wn))/(K*(1-(w/Wn)^2)))*SIN(2*PI()*Wn*Sheet2!A2797) +(Po*SIN(2*PI()*w*Sheet2!A2797))/(K*(1-(w/Wn)^2))</f>
        <v>19.363766034101666</v>
      </c>
      <c r="C2797">
        <f t="shared" si="174"/>
        <v>1.5860933483108761</v>
      </c>
      <c r="D2797">
        <f t="shared" si="175"/>
        <v>259.08017015275436</v>
      </c>
      <c r="R2797">
        <f t="shared" si="172"/>
        <v>2.7949999999999999</v>
      </c>
      <c r="S2797">
        <f t="shared" si="173"/>
        <v>1.5860933483108761</v>
      </c>
    </row>
    <row r="2798" spans="1:19" x14ac:dyDescent="0.3">
      <c r="A2798">
        <v>2.7959999999999998</v>
      </c>
      <c r="B2798">
        <f>Uo*COS(2*PI()*Wn*Sheet2!A2798) + (Vo/Wn - (Po*(w/Wn))/(K*(1-(w/Wn)^2)))*SIN(2*PI()*Wn*Sheet2!A2798) +(Po*SIN(2*PI()*w*Sheet2!A2798))/(K*(1-(w/Wn)^2))</f>
        <v>19.270154764837567</v>
      </c>
      <c r="C2798">
        <f t="shared" si="174"/>
        <v>1.5803800788010542</v>
      </c>
      <c r="D2798">
        <f t="shared" si="175"/>
        <v>258.14693703737089</v>
      </c>
      <c r="R2798">
        <f t="shared" si="172"/>
        <v>2.7959999999999998</v>
      </c>
      <c r="S2798">
        <f t="shared" si="173"/>
        <v>1.5803800788010542</v>
      </c>
    </row>
    <row r="2799" spans="1:19" x14ac:dyDescent="0.3">
      <c r="A2799">
        <v>2.7970000000000002</v>
      </c>
      <c r="B2799">
        <f>Uo*COS(2*PI()*Wn*Sheet2!A2799) + (Vo/Wn - (Po*(w/Wn))/(K*(1-(w/Wn)^2)))*SIN(2*PI()*Wn*Sheet2!A2799) +(Po*SIN(2*PI()*w*Sheet2!A2799))/(K*(1-(w/Wn)^2))</f>
        <v>19.170248306119152</v>
      </c>
      <c r="C2799">
        <f t="shared" si="174"/>
        <v>1.5741613129242278</v>
      </c>
      <c r="D2799">
        <f t="shared" si="175"/>
        <v>257.13113369690285</v>
      </c>
      <c r="R2799">
        <f t="shared" si="172"/>
        <v>2.7970000000000002</v>
      </c>
      <c r="S2799">
        <f t="shared" si="173"/>
        <v>1.5741613129242278</v>
      </c>
    </row>
    <row r="2800" spans="1:19" x14ac:dyDescent="0.3">
      <c r="A2800">
        <v>2.798</v>
      </c>
      <c r="B2800">
        <f>Uo*COS(2*PI()*Wn*Sheet2!A2800) + (Vo/Wn - (Po*(w/Wn))/(K*(1-(w/Wn)^2)))*SIN(2*PI()*Wn*Sheet2!A2800) +(Po*SIN(2*PI()*w*Sheet2!A2800))/(K*(1-(w/Wn)^2))</f>
        <v>19.064079295467693</v>
      </c>
      <c r="C2800">
        <f t="shared" si="174"/>
        <v>1.567439993234103</v>
      </c>
      <c r="D2800">
        <f t="shared" si="175"/>
        <v>256.03324078232561</v>
      </c>
      <c r="R2800">
        <f t="shared" si="172"/>
        <v>2.798</v>
      </c>
      <c r="S2800">
        <f t="shared" si="173"/>
        <v>1.567439993234103</v>
      </c>
    </row>
    <row r="2801" spans="1:19" x14ac:dyDescent="0.3">
      <c r="A2801">
        <v>2.7989999999999999</v>
      </c>
      <c r="B2801">
        <f>Uo*COS(2*PI()*Wn*Sheet2!A2801) + (Vo/Wn - (Po*(w/Wn))/(K*(1-(w/Wn)^2)))*SIN(2*PI()*Wn*Sheet2!A2801) +(Po*SIN(2*PI()*w*Sheet2!A2801))/(K*(1-(w/Wn)^2))</f>
        <v>18.951682416259906</v>
      </c>
      <c r="C2801">
        <f t="shared" si="174"/>
        <v>1.5602192209970451</v>
      </c>
      <c r="D2801">
        <f t="shared" si="175"/>
        <v>254.85376486950904</v>
      </c>
      <c r="R2801">
        <f t="shared" si="172"/>
        <v>2.7989999999999999</v>
      </c>
      <c r="S2801">
        <f t="shared" si="173"/>
        <v>1.5602192209970451</v>
      </c>
    </row>
    <row r="2802" spans="1:19" x14ac:dyDescent="0.3">
      <c r="A2802">
        <v>2.8</v>
      </c>
      <c r="B2802">
        <f>Uo*COS(2*PI()*Wn*Sheet2!A2802) + (Vo/Wn - (Po*(w/Wn))/(K*(1-(w/Wn)^2)))*SIN(2*PI()*Wn*Sheet2!A2802) +(Po*SIN(2*PI()*w*Sheet2!A2802))/(K*(1-(w/Wn)^2))</f>
        <v>18.833094386397413</v>
      </c>
      <c r="C2802">
        <f t="shared" si="174"/>
        <v>1.5525022548932703</v>
      </c>
      <c r="D2802">
        <f t="shared" si="175"/>
        <v>253.59323824706391</v>
      </c>
      <c r="R2802">
        <f t="shared" si="172"/>
        <v>2.8</v>
      </c>
      <c r="S2802">
        <f t="shared" si="173"/>
        <v>1.5525022548932703</v>
      </c>
    </row>
    <row r="2803" spans="1:19" x14ac:dyDescent="0.3">
      <c r="A2803">
        <v>2.8010000000000002</v>
      </c>
      <c r="B2803">
        <f>Uo*COS(2*PI()*Wn*Sheet2!A2803) + (Vo/Wn - (Po*(w/Wn))/(K*(1-(w/Wn)^2)))*SIN(2*PI()*Wn*Sheet2!A2803) +(Po*SIN(2*PI()*w*Sheet2!A2803))/(K*(1-(w/Wn)^2))</f>
        <v>18.708353946311988</v>
      </c>
      <c r="C2803">
        <f t="shared" si="174"/>
        <v>1.5442925096689948</v>
      </c>
      <c r="D2803">
        <f t="shared" si="175"/>
        <v>252.25221869617732</v>
      </c>
      <c r="R2803">
        <f t="shared" si="172"/>
        <v>2.8010000000000002</v>
      </c>
      <c r="S2803">
        <f t="shared" si="173"/>
        <v>1.5442925096689948</v>
      </c>
    </row>
    <row r="2804" spans="1:19" x14ac:dyDescent="0.3">
      <c r="A2804">
        <v>2.802</v>
      </c>
      <c r="B2804">
        <f>Uo*COS(2*PI()*Wn*Sheet2!A2804) + (Vo/Wn - (Po*(w/Wn))/(K*(1-(w/Wn)^2)))*SIN(2*PI()*Wn*Sheet2!A2804) +(Po*SIN(2*PI()*w*Sheet2!A2804))/(K*(1-(w/Wn)^2))</f>
        <v>18.577501846309659</v>
      </c>
      <c r="C2804">
        <f t="shared" si="174"/>
        <v>1.5355935547400958</v>
      </c>
      <c r="D2804">
        <f t="shared" si="175"/>
        <v>250.83128926252803</v>
      </c>
      <c r="R2804">
        <f t="shared" si="172"/>
        <v>2.802</v>
      </c>
      <c r="S2804">
        <f t="shared" si="173"/>
        <v>1.5355935547400958</v>
      </c>
    </row>
    <row r="2805" spans="1:19" x14ac:dyDescent="0.3">
      <c r="A2805">
        <v>2.8029999999999999</v>
      </c>
      <c r="B2805">
        <f>Uo*COS(2*PI()*Wn*Sheet2!A2805) + (Vo/Wn - (Po*(w/Wn))/(K*(1-(w/Wn)^2)))*SIN(2*PI()*Wn*Sheet2!A2805) +(Po*SIN(2*PI()*w*Sheet2!A2805))/(K*(1-(w/Wn)^2))</f>
        <v>18.440580833258217</v>
      </c>
      <c r="C2805">
        <f t="shared" si="174"/>
        <v>1.5264091127477721</v>
      </c>
      <c r="D2805">
        <f t="shared" si="175"/>
        <v>249.33105802036096</v>
      </c>
      <c r="R2805">
        <f t="shared" si="172"/>
        <v>2.8029999999999999</v>
      </c>
      <c r="S2805">
        <f t="shared" si="173"/>
        <v>1.5264091127477721</v>
      </c>
    </row>
    <row r="2806" spans="1:19" x14ac:dyDescent="0.3">
      <c r="A2806">
        <v>2.8039999999999998</v>
      </c>
      <c r="B2806">
        <f>Uo*COS(2*PI()*Wn*Sheet2!A2806) + (Vo/Wn - (Po*(w/Wn))/(K*(1-(w/Wn)^2)))*SIN(2*PI()*Wn*Sheet2!A2806) +(Po*SIN(2*PI()*w*Sheet2!A2806))/(K*(1-(w/Wn)^2))</f>
        <v>18.297635636622999</v>
      </c>
      <c r="C2806">
        <f t="shared" si="174"/>
        <v>1.5167430580668519</v>
      </c>
      <c r="D2806">
        <f t="shared" si="175"/>
        <v>247.75215782882711</v>
      </c>
      <c r="R2806">
        <f t="shared" si="172"/>
        <v>2.8039999999999998</v>
      </c>
      <c r="S2806">
        <f t="shared" si="173"/>
        <v>1.5167430580668519</v>
      </c>
    </row>
    <row r="2807" spans="1:19" x14ac:dyDescent="0.3">
      <c r="A2807">
        <v>2.8050000000000002</v>
      </c>
      <c r="B2807">
        <f>Uo*COS(2*PI()*Wn*Sheet2!A2807) + (Vo/Wn - (Po*(w/Wn))/(K*(1-(w/Wn)^2)))*SIN(2*PI()*Wn*Sheet2!A2807) +(Po*SIN(2*PI()*w*Sheet2!A2807))/(K*(1-(w/Wn)^2))</f>
        <v>18.148712953854126</v>
      </c>
      <c r="C2807">
        <f t="shared" si="174"/>
        <v>1.5065994152672366</v>
      </c>
      <c r="D2807">
        <f t="shared" si="175"/>
        <v>246.09524608066812</v>
      </c>
      <c r="R2807">
        <f t="shared" si="172"/>
        <v>2.8050000000000002</v>
      </c>
      <c r="S2807">
        <f t="shared" si="173"/>
        <v>1.5065994152672366</v>
      </c>
    </row>
    <row r="2808" spans="1:19" x14ac:dyDescent="0.3">
      <c r="A2808">
        <v>2.806</v>
      </c>
      <c r="B2808">
        <f>Uo*COS(2*PI()*Wn*Sheet2!A2808) + (Vo/Wn - (Po*(w/Wn))/(K*(1-(w/Wn)^2)))*SIN(2*PI()*Wn*Sheet2!A2808) +(Po*SIN(2*PI()*w*Sheet2!A2808))/(K*(1-(w/Wn)^2))</f>
        <v>17.993861435132047</v>
      </c>
      <c r="C2808">
        <f t="shared" si="174"/>
        <v>1.4959823575291302</v>
      </c>
      <c r="D2808">
        <f t="shared" si="175"/>
        <v>244.36100444335241</v>
      </c>
      <c r="R2808">
        <f t="shared" si="172"/>
        <v>2.806</v>
      </c>
      <c r="S2808">
        <f t="shared" si="173"/>
        <v>1.4959823575291302</v>
      </c>
    </row>
    <row r="2809" spans="1:19" x14ac:dyDescent="0.3">
      <c r="A2809">
        <v>2.8069999999999999</v>
      </c>
      <c r="B2809">
        <f>Uo*COS(2*PI()*Wn*Sheet2!A2809) + (Vo/Wn - (Po*(w/Wn))/(K*(1-(w/Wn)^2)))*SIN(2*PI()*Wn*Sheet2!A2809) +(Po*SIN(2*PI()*w*Sheet2!A2809))/(K*(1-(w/Wn)^2))</f>
        <v>17.833131667473701</v>
      </c>
      <c r="C2809">
        <f t="shared" si="174"/>
        <v>1.4848962050125802</v>
      </c>
      <c r="D2809">
        <f t="shared" si="175"/>
        <v>242.55013859274789</v>
      </c>
      <c r="R2809">
        <f t="shared" si="172"/>
        <v>2.8069999999999999</v>
      </c>
      <c r="S2809">
        <f t="shared" si="173"/>
        <v>1.4848962050125802</v>
      </c>
    </row>
    <row r="2810" spans="1:19" x14ac:dyDescent="0.3">
      <c r="A2810">
        <v>2.8079999999999998</v>
      </c>
      <c r="B2810">
        <f>Uo*COS(2*PI()*Wn*Sheet2!A2810) + (Vo/Wn - (Po*(w/Wn))/(K*(1-(w/Wn)^2)))*SIN(2*PI()*Wn*Sheet2!A2810) +(Po*SIN(2*PI()*w*Sheet2!A2810))/(K*(1-(w/Wn)^2))</f>
        <v>17.666576158207096</v>
      </c>
      <c r="C2810">
        <f t="shared" si="174"/>
        <v>1.4733454231820409</v>
      </c>
      <c r="D2810">
        <f t="shared" si="175"/>
        <v>240.66337793944808</v>
      </c>
      <c r="R2810">
        <f t="shared" si="172"/>
        <v>2.8079999999999998</v>
      </c>
      <c r="S2810">
        <f t="shared" si="173"/>
        <v>1.4733454231820409</v>
      </c>
    </row>
    <row r="2811" spans="1:19" x14ac:dyDescent="0.3">
      <c r="A2811">
        <v>2.8090000000000002</v>
      </c>
      <c r="B2811">
        <f>Uo*COS(2*PI()*Wn*Sheet2!A2811) + (Vo/Wn - (Po*(w/Wn))/(K*(1-(w/Wn)^2)))*SIN(2*PI()*Wn*Sheet2!A2811) +(Po*SIN(2*PI()*w*Sheet2!A2811))/(K*(1-(w/Wn)^2))</f>
        <v>17.494249317818269</v>
      </c>
      <c r="C2811">
        <f t="shared" si="174"/>
        <v>1.4613346210865046</v>
      </c>
      <c r="D2811">
        <f t="shared" si="175"/>
        <v>238.70147534784053</v>
      </c>
      <c r="R2811">
        <f t="shared" si="172"/>
        <v>2.8090000000000002</v>
      </c>
      <c r="S2811">
        <f t="shared" si="173"/>
        <v>1.4613346210865046</v>
      </c>
    </row>
    <row r="2812" spans="1:19" x14ac:dyDescent="0.3">
      <c r="A2812">
        <v>2.81</v>
      </c>
      <c r="B2812">
        <f>Uo*COS(2*PI()*Wn*Sheet2!A2812) + (Vo/Wn - (Po*(w/Wn))/(K*(1-(w/Wn)^2)))*SIN(2*PI()*Wn*Sheet2!A2812) +(Po*SIN(2*PI()*w*Sheet2!A2812))/(K*(1-(w/Wn)^2))</f>
        <v>17.316207442176289</v>
      </c>
      <c r="C2812">
        <f t="shared" si="174"/>
        <v>1.4488685495959062</v>
      </c>
      <c r="D2812">
        <f t="shared" si="175"/>
        <v>236.6652068480324</v>
      </c>
      <c r="R2812">
        <f t="shared" si="172"/>
        <v>2.81</v>
      </c>
      <c r="S2812">
        <f t="shared" si="173"/>
        <v>1.4488685495959062</v>
      </c>
    </row>
    <row r="2813" spans="1:19" x14ac:dyDescent="0.3">
      <c r="A2813">
        <v>2.8109999999999999</v>
      </c>
      <c r="B2813">
        <f>Uo*COS(2*PI()*Wn*Sheet2!A2813) + (Vo/Wn - (Po*(w/Wn))/(K*(1-(w/Wn)^2)))*SIN(2*PI()*Wn*Sheet2!A2813) +(Po*SIN(2*PI()*w*Sheet2!A2813))/(K*(1-(w/Wn)^2))</f>
        <v>17.132508694142274</v>
      </c>
      <c r="C2813">
        <f t="shared" si="174"/>
        <v>1.4359520995943622</v>
      </c>
      <c r="D2813">
        <f t="shared" si="175"/>
        <v>234.55537134072551</v>
      </c>
      <c r="R2813">
        <f t="shared" si="172"/>
        <v>2.8109999999999999</v>
      </c>
      <c r="S2813">
        <f t="shared" si="173"/>
        <v>1.4359520995943622</v>
      </c>
    </row>
    <row r="2814" spans="1:19" x14ac:dyDescent="0.3">
      <c r="A2814">
        <v>2.8119999999999998</v>
      </c>
      <c r="B2814">
        <f>Uo*COS(2*PI()*Wn*Sheet2!A2814) + (Vo/Wn - (Po*(w/Wn))/(K*(1-(w/Wn)^2)))*SIN(2*PI()*Wn*Sheet2!A2814) +(Po*SIN(2*PI()*w*Sheet2!A2814))/(K*(1-(w/Wn)^2))</f>
        <v>16.943213084569187</v>
      </c>
      <c r="C2814">
        <f t="shared" si="174"/>
        <v>1.4225903001310571</v>
      </c>
      <c r="D2814">
        <f t="shared" si="175"/>
        <v>232.37279029517313</v>
      </c>
      <c r="R2814">
        <f t="shared" si="172"/>
        <v>2.8119999999999998</v>
      </c>
      <c r="S2814">
        <f t="shared" si="173"/>
        <v>1.4225903001310571</v>
      </c>
    </row>
    <row r="2815" spans="1:19" x14ac:dyDescent="0.3">
      <c r="A2815">
        <v>2.8130000000000002</v>
      </c>
      <c r="B2815">
        <f>Uo*COS(2*PI()*Wn*Sheet2!A2815) + (Vo/Wn - (Po*(w/Wn))/(K*(1-(w/Wn)^2)))*SIN(2*PI()*Wn*Sheet2!A2815) +(Po*SIN(2*PI()*w*Sheet2!A2815))/(K*(1-(w/Wn)^2))</f>
        <v>16.748382452696791</v>
      </c>
      <c r="C2815">
        <f t="shared" si="174"/>
        <v>1.408788316529304</v>
      </c>
      <c r="D2815">
        <f t="shared" si="175"/>
        <v>230.1183074403047</v>
      </c>
      <c r="R2815">
        <f t="shared" si="172"/>
        <v>2.8130000000000002</v>
      </c>
      <c r="S2815">
        <f t="shared" si="173"/>
        <v>1.408788316529304</v>
      </c>
    </row>
    <row r="2816" spans="1:19" x14ac:dyDescent="0.3">
      <c r="A2816">
        <v>2.8140000000000001</v>
      </c>
      <c r="B2816">
        <f>Uo*COS(2*PI()*Wn*Sheet2!A2816) + (Vo/Wn - (Po*(w/Wn))/(K*(1-(w/Wn)^2)))*SIN(2*PI()*Wn*Sheet2!A2816) +(Po*SIN(2*PI()*w*Sheet2!A2816))/(K*(1-(w/Wn)^2))</f>
        <v>16.548080445950859</v>
      </c>
      <c r="C2816">
        <f t="shared" si="174"/>
        <v>1.3945514484545976</v>
      </c>
      <c r="D2816">
        <f t="shared" si="175"/>
        <v>227.7927884491524</v>
      </c>
      <c r="R2816">
        <f t="shared" si="172"/>
        <v>2.8140000000000001</v>
      </c>
      <c r="S2816">
        <f t="shared" si="173"/>
        <v>1.3945514484545976</v>
      </c>
    </row>
    <row r="2817" spans="1:19" x14ac:dyDescent="0.3">
      <c r="A2817">
        <v>2.8149999999999999</v>
      </c>
      <c r="B2817">
        <f>Uo*COS(2*PI()*Wn*Sheet2!A2817) + (Vo/Wn - (Po*(w/Wn))/(K*(1-(w/Wn)^2)))*SIN(2*PI()*Wn*Sheet2!A2817) +(Po*SIN(2*PI()*w*Sheet2!A2817))/(K*(1-(w/Wn)^2))</f>
        <v>16.342372499149796</v>
      </c>
      <c r="C2817">
        <f t="shared" si="174"/>
        <v>1.3798851279422459</v>
      </c>
      <c r="D2817">
        <f t="shared" si="175"/>
        <v>225.39712061667493</v>
      </c>
      <c r="R2817">
        <f t="shared" ref="R2817:R2880" si="176">A2817</f>
        <v>2.8149999999999999</v>
      </c>
      <c r="S2817">
        <f t="shared" ref="S2817:S2880" si="177">C2817</f>
        <v>1.3798851279422459</v>
      </c>
    </row>
    <row r="2818" spans="1:19" x14ac:dyDescent="0.3">
      <c r="A2818">
        <v>2.8159999999999998</v>
      </c>
      <c r="B2818">
        <f>Uo*COS(2*PI()*Wn*Sheet2!A2818) + (Vo/Wn - (Po*(w/Wn))/(K*(1-(w/Wn)^2)))*SIN(2*PI()*Wn*Sheet2!A2818) +(Po*SIN(2*PI()*w*Sheet2!A2818))/(K*(1-(w/Wn)^2))</f>
        <v>16.131325813128853</v>
      </c>
      <c r="C2818">
        <f t="shared" ref="C2818:C2881" si="178">EXP(-zeta*Wn*A2818*2*PI())*($H$1*COS(wnD*2*PI()*A2818) + $H$2*SIN(wnD*2*PI()*A2818)) + $H$3*SIN(w*2*PI()*A2818) + $H$4*COS(w*2*PI()*A2818)</f>
        <v>1.3647949173854181</v>
      </c>
      <c r="D2818">
        <f t="shared" ref="D2818:D2881" si="179">K*C2818</f>
        <v>222.93221253111528</v>
      </c>
      <c r="R2818">
        <f t="shared" si="176"/>
        <v>2.8159999999999998</v>
      </c>
      <c r="S2818">
        <f t="shared" si="177"/>
        <v>1.3647949173854181</v>
      </c>
    </row>
    <row r="2819" spans="1:19" x14ac:dyDescent="0.3">
      <c r="A2819">
        <v>2.8170000000000002</v>
      </c>
      <c r="B2819">
        <f>Uo*COS(2*PI()*Wn*Sheet2!A2819) + (Vo/Wn - (Po*(w/Wn))/(K*(1-(w/Wn)^2)))*SIN(2*PI()*Wn*Sheet2!A2819) +(Po*SIN(2*PI()*w*Sheet2!A2819))/(K*(1-(w/Wn)^2))</f>
        <v>15.915009332787022</v>
      </c>
      <c r="C2819">
        <f t="shared" si="178"/>
        <v>1.3492865074842444</v>
      </c>
      <c r="D2819">
        <f t="shared" si="179"/>
        <v>220.39899373899709</v>
      </c>
      <c r="R2819">
        <f t="shared" si="176"/>
        <v>2.8170000000000002</v>
      </c>
      <c r="S2819">
        <f t="shared" si="177"/>
        <v>1.3492865074842444</v>
      </c>
    </row>
    <row r="2820" spans="1:19" x14ac:dyDescent="0.3">
      <c r="A2820">
        <v>2.8180000000000001</v>
      </c>
      <c r="B2820">
        <f>Uo*COS(2*PI()*Wn*Sheet2!A2820) + (Vo/Wn - (Po*(w/Wn))/(K*(1-(w/Wn)^2)))*SIN(2*PI()*Wn*Sheet2!A2820) +(Po*SIN(2*PI()*w*Sheet2!A2820))/(K*(1-(w/Wn)^2))</f>
        <v>15.693493724563892</v>
      </c>
      <c r="C2820">
        <f t="shared" si="178"/>
        <v>1.3333657151567813</v>
      </c>
      <c r="D2820">
        <f t="shared" si="179"/>
        <v>217.79841440389143</v>
      </c>
      <c r="R2820">
        <f t="shared" si="176"/>
        <v>2.8180000000000001</v>
      </c>
      <c r="S2820">
        <f t="shared" si="177"/>
        <v>1.3333657151567813</v>
      </c>
    </row>
    <row r="2821" spans="1:19" x14ac:dyDescent="0.3">
      <c r="A2821">
        <v>2.819</v>
      </c>
      <c r="B2821">
        <f>Uo*COS(2*PI()*Wn*Sheet2!A2821) + (Vo/Wn - (Po*(w/Wn))/(K*(1-(w/Wn)^2)))*SIN(2*PI()*Wn*Sheet2!A2821) +(Po*SIN(2*PI()*w*Sheet2!A2821))/(K*(1-(w/Wn)^2))</f>
        <v>15.466851353354009</v>
      </c>
      <c r="C2821">
        <f t="shared" si="178"/>
        <v>1.3170384814124663</v>
      </c>
      <c r="D2821">
        <f t="shared" si="179"/>
        <v>215.13144495905658</v>
      </c>
      <c r="R2821">
        <f t="shared" si="176"/>
        <v>2.819</v>
      </c>
      <c r="S2821">
        <f t="shared" si="177"/>
        <v>1.3170384814124663</v>
      </c>
    </row>
    <row r="2822" spans="1:19" x14ac:dyDescent="0.3">
      <c r="A2822">
        <v>2.82</v>
      </c>
      <c r="B2822">
        <f>Uo*COS(2*PI()*Wn*Sheet2!A2822) + (Vo/Wn - (Po*(w/Wn))/(K*(1-(w/Wn)^2)))*SIN(2*PI()*Wn*Sheet2!A2822) +(Po*SIN(2*PI()*w*Sheet2!A2822))/(K*(1-(w/Wn)^2))</f>
        <v>15.235156258867278</v>
      </c>
      <c r="C2822">
        <f t="shared" si="178"/>
        <v>1.3003108691890295</v>
      </c>
      <c r="D2822">
        <f t="shared" si="179"/>
        <v>212.39907575410871</v>
      </c>
      <c r="R2822">
        <f t="shared" si="176"/>
        <v>2.82</v>
      </c>
      <c r="S2822">
        <f t="shared" si="177"/>
        <v>1.3003108691890295</v>
      </c>
    </row>
    <row r="2823" spans="1:19" x14ac:dyDescent="0.3">
      <c r="A2823">
        <v>2.8210000000000002</v>
      </c>
      <c r="B2823">
        <f>Uo*COS(2*PI()*Wn*Sheet2!A2823) + (Vo/Wn - (Po*(w/Wn))/(K*(1-(w/Wn)^2)))*SIN(2*PI()*Wn*Sheet2!A2823) +(Po*SIN(2*PI()*w*Sheet2!A2823))/(K*(1-(w/Wn)^2))</f>
        <v>14.998484131440794</v>
      </c>
      <c r="C2823">
        <f t="shared" si="178"/>
        <v>1.2831890611534198</v>
      </c>
      <c r="D2823">
        <f t="shared" si="179"/>
        <v>209.60231669581455</v>
      </c>
      <c r="R2823">
        <f t="shared" si="176"/>
        <v>2.8210000000000002</v>
      </c>
      <c r="S2823">
        <f t="shared" si="177"/>
        <v>1.2831890611534198</v>
      </c>
    </row>
    <row r="2824" spans="1:19" x14ac:dyDescent="0.3">
      <c r="A2824">
        <v>2.8220000000000001</v>
      </c>
      <c r="B2824">
        <f>Uo*COS(2*PI()*Wn*Sheet2!A2824) + (Vo/Wn - (Po*(w/Wn))/(K*(1-(w/Wn)^2)))*SIN(2*PI()*Wn*Sheet2!A2824) +(Po*SIN(2*PI()*w*Sheet2!A2824))/(K*(1-(w/Wn)^2))</f>
        <v>14.75691228731338</v>
      </c>
      <c r="C2824">
        <f t="shared" si="178"/>
        <v>1.2656793574676954</v>
      </c>
      <c r="D2824">
        <f t="shared" si="179"/>
        <v>206.74219688316111</v>
      </c>
      <c r="R2824">
        <f t="shared" si="176"/>
        <v>2.8220000000000001</v>
      </c>
      <c r="S2824">
        <f t="shared" si="177"/>
        <v>1.2656793574676954</v>
      </c>
    </row>
    <row r="2825" spans="1:19" x14ac:dyDescent="0.3">
      <c r="A2825">
        <v>2.823</v>
      </c>
      <c r="B2825">
        <f>Uo*COS(2*PI()*Wn*Sheet2!A2825) + (Vo/Wn - (Po*(w/Wn))/(K*(1-(w/Wn)^2)))*SIN(2*PI()*Wn*Sheet2!A2825) +(Po*SIN(2*PI()*w*Sheet2!A2825))/(K*(1-(w/Wn)^2))</f>
        <v>14.510519643366637</v>
      </c>
      <c r="C2825">
        <f t="shared" si="178"/>
        <v>1.2477881735205198</v>
      </c>
      <c r="D2825">
        <f t="shared" si="179"/>
        <v>203.8197642368072</v>
      </c>
      <c r="R2825">
        <f t="shared" si="176"/>
        <v>2.823</v>
      </c>
      <c r="S2825">
        <f t="shared" si="177"/>
        <v>1.2477881735205198</v>
      </c>
    </row>
    <row r="2826" spans="1:19" x14ac:dyDescent="0.3">
      <c r="A2826">
        <v>2.8239999999999998</v>
      </c>
      <c r="B2826">
        <f>Uo*COS(2*PI()*Wn*Sheet2!A2826) + (Vo/Wn - (Po*(w/Wn))/(K*(1-(w/Wn)^2)))*SIN(2*PI()*Wn*Sheet2!A2826) +(Po*SIN(2*PI()*w*Sheet2!A2826))/(K*(1-(w/Wn)^2))</f>
        <v>14.259386691344965</v>
      </c>
      <c r="C2826">
        <f t="shared" si="178"/>
        <v>1.2295220376252234</v>
      </c>
      <c r="D2826">
        <f t="shared" si="179"/>
        <v>200.83608512307373</v>
      </c>
      <c r="R2826">
        <f t="shared" si="176"/>
        <v>2.8239999999999998</v>
      </c>
      <c r="S2826">
        <f t="shared" si="177"/>
        <v>1.2295220376252234</v>
      </c>
    </row>
    <row r="2827" spans="1:19" x14ac:dyDescent="0.3">
      <c r="A2827">
        <v>2.8250000000000002</v>
      </c>
      <c r="B2827">
        <f>Uo*COS(2*PI()*Wn*Sheet2!A2827) + (Vo/Wn - (Po*(w/Wn))/(K*(1-(w/Wn)^2)))*SIN(2*PI()*Wn*Sheet2!A2827) +(Po*SIN(2*PI()*w*Sheet2!A2827))/(K*(1-(w/Wn)^2))</f>
        <v>14.003595471560558</v>
      </c>
      <c r="C2827">
        <f t="shared" si="178"/>
        <v>1.2108875886851194</v>
      </c>
      <c r="D2827">
        <f t="shared" si="179"/>
        <v>197.79224397258508</v>
      </c>
      <c r="R2827">
        <f t="shared" si="176"/>
        <v>2.8250000000000002</v>
      </c>
      <c r="S2827">
        <f t="shared" si="177"/>
        <v>1.2108875886851194</v>
      </c>
    </row>
    <row r="2828" spans="1:19" x14ac:dyDescent="0.3">
      <c r="A2828">
        <v>2.8260000000000001</v>
      </c>
      <c r="B2828">
        <f>Uo*COS(2*PI()*Wn*Sheet2!A2828) + (Vo/Wn - (Po*(w/Wn))/(K*(1-(w/Wn)^2)))*SIN(2*PI()*Wn*Sheet2!A2828) +(Po*SIN(2*PI()*w*Sheet2!A2828))/(K*(1-(w/Wn)^2))</f>
        <v>13.74322954609214</v>
      </c>
      <c r="C2828">
        <f t="shared" si="178"/>
        <v>1.1918915738269777</v>
      </c>
      <c r="D2828">
        <f t="shared" si="179"/>
        <v>194.68934289370927</v>
      </c>
      <c r="R2828">
        <f t="shared" si="176"/>
        <v>2.8260000000000001</v>
      </c>
      <c r="S2828">
        <f t="shared" si="177"/>
        <v>1.1918915738269777</v>
      </c>
    </row>
    <row r="2829" spans="1:19" x14ac:dyDescent="0.3">
      <c r="A2829">
        <v>2.827</v>
      </c>
      <c r="B2829">
        <f>Uo*COS(2*PI()*Wn*Sheet2!A2829) + (Vo/Wn - (Po*(w/Wn))/(K*(1-(w/Wn)^2)))*SIN(2*PI()*Wn*Sheet2!A2829) +(Po*SIN(2*PI()*w*Sheet2!A2829))/(K*(1-(w/Wn)^2))</f>
        <v>13.478373971487002</v>
      </c>
      <c r="C2829">
        <f t="shared" si="178"/>
        <v>1.1725408460033961</v>
      </c>
      <c r="D2829">
        <f t="shared" si="179"/>
        <v>191.52850128091754</v>
      </c>
      <c r="R2829">
        <f t="shared" si="176"/>
        <v>2.827</v>
      </c>
      <c r="S2829">
        <f t="shared" si="177"/>
        <v>1.1725408460033961</v>
      </c>
    </row>
    <row r="2830" spans="1:19" x14ac:dyDescent="0.3">
      <c r="A2830">
        <v>2.8279999999999998</v>
      </c>
      <c r="B2830">
        <f>Uo*COS(2*PI()*Wn*Sheet2!A2830) + (Vo/Wn - (Po*(w/Wn))/(K*(1-(w/Wn)^2)))*SIN(2*PI()*Wn*Sheet2!A2830) +(Po*SIN(2*PI()*w*Sheet2!A2830))/(K*(1-(w/Wn)^2))</f>
        <v>13.209115270974397</v>
      </c>
      <c r="C2830">
        <f t="shared" si="178"/>
        <v>1.152842361564991</v>
      </c>
      <c r="D2830">
        <f t="shared" si="179"/>
        <v>188.31085541821446</v>
      </c>
      <c r="R2830">
        <f t="shared" si="176"/>
        <v>2.8279999999999998</v>
      </c>
      <c r="S2830">
        <f t="shared" si="177"/>
        <v>1.152842361564991</v>
      </c>
    </row>
    <row r="2831" spans="1:19" x14ac:dyDescent="0.3">
      <c r="A2831">
        <v>2.8290000000000002</v>
      </c>
      <c r="B2831">
        <f>Uo*COS(2*PI()*Wn*Sheet2!A2831) + (Vo/Wn - (Po*(w/Wn))/(K*(1-(w/Wn)^2)))*SIN(2*PI()*Wn*Sheet2!A2831) +(Po*SIN(2*PI()*w*Sheet2!A2831))/(K*(1-(w/Wn)^2))</f>
        <v>12.935541406200104</v>
      </c>
      <c r="C2831">
        <f t="shared" si="178"/>
        <v>1.1328031778032488</v>
      </c>
      <c r="D2831">
        <f t="shared" si="179"/>
        <v>185.03755807777515</v>
      </c>
      <c r="R2831">
        <f t="shared" si="176"/>
        <v>2.8290000000000002</v>
      </c>
      <c r="S2831">
        <f t="shared" si="177"/>
        <v>1.1328031778032488</v>
      </c>
    </row>
    <row r="2832" spans="1:19" x14ac:dyDescent="0.3">
      <c r="A2832">
        <v>2.83</v>
      </c>
      <c r="B2832">
        <f>Uo*COS(2*PI()*Wn*Sheet2!A2832) + (Vo/Wn - (Po*(w/Wn))/(K*(1-(w/Wn)^2)))*SIN(2*PI()*Wn*Sheet2!A2832) +(Po*SIN(2*PI()*w*Sheet2!A2832))/(K*(1-(w/Wn)^2))</f>
        <v>12.657741748491853</v>
      </c>
      <c r="C2832">
        <f t="shared" si="178"/>
        <v>1.1124304504648537</v>
      </c>
      <c r="D2832">
        <f t="shared" si="179"/>
        <v>181.70977811392362</v>
      </c>
      <c r="R2832">
        <f t="shared" si="176"/>
        <v>2.83</v>
      </c>
      <c r="S2832">
        <f t="shared" si="177"/>
        <v>1.1124304504648537</v>
      </c>
    </row>
    <row r="2833" spans="1:19" x14ac:dyDescent="0.3">
      <c r="A2833">
        <v>2.831</v>
      </c>
      <c r="B2833">
        <f>Uo*COS(2*PI()*Wn*Sheet2!A2833) + (Vo/Wn - (Po*(w/Wn))/(K*(1-(w/Wn)^2)))*SIN(2*PI()*Wn*Sheet2!A2833) +(Po*SIN(2*PI()*w*Sheet2!A2833))/(K*(1-(w/Wn)^2))</f>
        <v>12.375807049662113</v>
      </c>
      <c r="C2833">
        <f t="shared" si="178"/>
        <v>1.0917314312383166</v>
      </c>
      <c r="D2833">
        <f t="shared" si="179"/>
        <v>178.3287000525867</v>
      </c>
      <c r="R2833">
        <f t="shared" si="176"/>
        <v>2.831</v>
      </c>
      <c r="S2833">
        <f t="shared" si="177"/>
        <v>1.0917314312383166</v>
      </c>
    </row>
    <row r="2834" spans="1:19" x14ac:dyDescent="0.3">
      <c r="A2834">
        <v>2.8319999999999999</v>
      </c>
      <c r="B2834">
        <f>Uo*COS(2*PI()*Wn*Sheet2!A2834) + (Vo/Wn - (Po*(w/Wn))/(K*(1-(w/Wn)^2)))*SIN(2*PI()*Wn*Sheet2!A2834) +(Po*SIN(2*PI()*w*Sheet2!A2834))/(K*(1-(w/Wn)^2))</f>
        <v>12.089829412361972</v>
      </c>
      <c r="C2834">
        <f t="shared" si="178"/>
        <v>1.0707134652139083</v>
      </c>
      <c r="D2834">
        <f t="shared" si="179"/>
        <v>174.89552367638692</v>
      </c>
      <c r="R2834">
        <f t="shared" si="176"/>
        <v>2.8319999999999999</v>
      </c>
      <c r="S2834">
        <f t="shared" si="177"/>
        <v>1.0707134652139083</v>
      </c>
    </row>
    <row r="2835" spans="1:19" x14ac:dyDescent="0.3">
      <c r="A2835">
        <v>2.8330000000000002</v>
      </c>
      <c r="B2835">
        <f>Uo*COS(2*PI()*Wn*Sheet2!A2835) + (Vo/Wn - (Po*(w/Wn))/(K*(1-(w/Wn)^2)))*SIN(2*PI()*Wn*Sheet2!A2835) +(Po*SIN(2*PI()*w*Sheet2!A2835))/(K*(1-(w/Wn)^2))</f>
        <v>11.799902259993086</v>
      </c>
      <c r="C2835">
        <f t="shared" si="178"/>
        <v>1.0493839883176408</v>
      </c>
      <c r="D2835">
        <f t="shared" si="179"/>
        <v>171.41146360549686</v>
      </c>
      <c r="R2835">
        <f t="shared" si="176"/>
        <v>2.8330000000000002</v>
      </c>
      <c r="S2835">
        <f t="shared" si="177"/>
        <v>1.0493839883176408</v>
      </c>
    </row>
    <row r="2836" spans="1:19" x14ac:dyDescent="0.3">
      <c r="A2836">
        <v>2.8340000000000001</v>
      </c>
      <c r="B2836">
        <f>Uo*COS(2*PI()*Wn*Sheet2!A2836) + (Vo/Wn - (Po*(w/Wn))/(K*(1-(w/Wn)^2)))*SIN(2*PI()*Wn*Sheet2!A2836) +(Po*SIN(2*PI()*w*Sheet2!A2836))/(K*(1-(w/Wn)^2))</f>
        <v>11.506120306187723</v>
      </c>
      <c r="C2836">
        <f t="shared" si="178"/>
        <v>1.0277505247202887</v>
      </c>
      <c r="D2836">
        <f t="shared" si="179"/>
        <v>167.87774887441606</v>
      </c>
      <c r="R2836">
        <f t="shared" si="176"/>
        <v>2.8340000000000001</v>
      </c>
      <c r="S2836">
        <f t="shared" si="177"/>
        <v>1.0277505247202887</v>
      </c>
    </row>
    <row r="2837" spans="1:19" x14ac:dyDescent="0.3">
      <c r="A2837">
        <v>2.835</v>
      </c>
      <c r="B2837">
        <f>Uo*COS(2*PI()*Wn*Sheet2!A2837) + (Vo/Wn - (Po*(w/Wn))/(K*(1-(w/Wn)^2)))*SIN(2*PI()*Wn*Sheet2!A2837) +(Po*SIN(2*PI()*w*Sheet2!A2837))/(K*(1-(w/Wn)^2))</f>
        <v>11.208579523867858</v>
      </c>
      <c r="C2837">
        <f t="shared" si="178"/>
        <v>1.0058206842222108</v>
      </c>
      <c r="D2837">
        <f t="shared" si="179"/>
        <v>164.29562250479512</v>
      </c>
      <c r="R2837">
        <f t="shared" si="176"/>
        <v>2.835</v>
      </c>
      <c r="S2837">
        <f t="shared" si="177"/>
        <v>1.0058206842222108</v>
      </c>
    </row>
    <row r="2838" spans="1:19" x14ac:dyDescent="0.3">
      <c r="A2838">
        <v>2.8359999999999999</v>
      </c>
      <c r="B2838">
        <f>Uo*COS(2*PI()*Wn*Sheet2!A2838) + (Vo/Wn - (Po*(w/Wn))/(K*(1-(w/Wn)^2)))*SIN(2*PI()*Wn*Sheet2!A2838) +(Po*SIN(2*PI()*w*Sheet2!A2838))/(K*(1-(w/Wn)^2))</f>
        <v>10.907377113892318</v>
      </c>
      <c r="C2838">
        <f t="shared" si="178"/>
        <v>0.9836021596149882</v>
      </c>
      <c r="D2838">
        <f t="shared" si="179"/>
        <v>160.6663410744728</v>
      </c>
      <c r="R2838">
        <f t="shared" si="176"/>
        <v>2.8359999999999999</v>
      </c>
      <c r="S2838">
        <f t="shared" si="177"/>
        <v>0.9836021596149882</v>
      </c>
    </row>
    <row r="2839" spans="1:19" x14ac:dyDescent="0.3">
      <c r="A2839">
        <v>2.8370000000000002</v>
      </c>
      <c r="B2839">
        <f>Uo*COS(2*PI()*Wn*Sheet2!A2839) + (Vo/Wn - (Po*(w/Wn))/(K*(1-(w/Wn)^2)))*SIN(2*PI()*Wn*Sheet2!A2839) +(Po*SIN(2*PI()*w*Sheet2!A2839))/(K*(1-(w/Wn)^2))</f>
        <v>10.602611473303231</v>
      </c>
      <c r="C2839">
        <f t="shared" si="178"/>
        <v>0.96110272402077002</v>
      </c>
      <c r="D2839">
        <f t="shared" si="179"/>
        <v>156.99117428287204</v>
      </c>
      <c r="R2839">
        <f t="shared" si="176"/>
        <v>2.8370000000000002</v>
      </c>
      <c r="S2839">
        <f t="shared" si="177"/>
        <v>0.96110272402077002</v>
      </c>
    </row>
    <row r="2840" spans="1:19" x14ac:dyDescent="0.3">
      <c r="A2840">
        <v>2.8380000000000001</v>
      </c>
      <c r="B2840">
        <f>Uo*COS(2*PI()*Wn*Sheet2!A2840) + (Vo/Wn - (Po*(w/Wn))/(K*(1-(w/Wn)^2)))*SIN(2*PI()*Wn*Sheet2!A2840) +(Po*SIN(2*PI()*w*Sheet2!A2840))/(K*(1-(w/Wn)^2))</f>
        <v>10.294382163182455</v>
      </c>
      <c r="C2840">
        <f t="shared" si="178"/>
        <v>0.93833022821017942</v>
      </c>
      <c r="D2840">
        <f t="shared" si="179"/>
        <v>153.27140451289358</v>
      </c>
      <c r="R2840">
        <f t="shared" si="176"/>
        <v>2.8380000000000001</v>
      </c>
      <c r="S2840">
        <f t="shared" si="177"/>
        <v>0.93833022821017942</v>
      </c>
    </row>
    <row r="2841" spans="1:19" x14ac:dyDescent="0.3">
      <c r="A2841">
        <v>2.839</v>
      </c>
      <c r="B2841">
        <f>Uo*COS(2*PI()*Wn*Sheet2!A2841) + (Vo/Wn - (Po*(w/Wn))/(K*(1-(w/Wn)^2)))*SIN(2*PI()*Wn*Sheet2!A2841) +(Po*SIN(2*PI()*w*Sheet2!A2841))/(K*(1-(w/Wn)^2))</f>
        <v>9.9827898761254357</v>
      </c>
      <c r="C2841">
        <f t="shared" si="178"/>
        <v>0.91529259789966755</v>
      </c>
      <c r="D2841">
        <f t="shared" si="179"/>
        <v>149.50832638945278</v>
      </c>
      <c r="R2841">
        <f t="shared" si="176"/>
        <v>2.839</v>
      </c>
      <c r="S2841">
        <f t="shared" si="177"/>
        <v>0.91529259789966755</v>
      </c>
    </row>
    <row r="2842" spans="1:19" x14ac:dyDescent="0.3">
      <c r="A2842">
        <v>2.84</v>
      </c>
      <c r="B2842">
        <f>Uo*COS(2*PI()*Wn*Sheet2!A2842) + (Vo/Wn - (Po*(w/Wn))/(K*(1-(w/Wn)^2)))*SIN(2*PI()*Wn*Sheet2!A2842) +(Po*SIN(2*PI()*w*Sheet2!A2842))/(K*(1-(w/Wn)^2))</f>
        <v>9.6679364033477153</v>
      </c>
      <c r="C2842">
        <f t="shared" si="178"/>
        <v>0.89199783102937058</v>
      </c>
      <c r="D2842">
        <f t="shared" si="179"/>
        <v>145.70324633483145</v>
      </c>
      <c r="R2842">
        <f t="shared" si="176"/>
        <v>2.84</v>
      </c>
      <c r="S2842">
        <f t="shared" si="177"/>
        <v>0.89199783102937058</v>
      </c>
    </row>
    <row r="2843" spans="1:19" x14ac:dyDescent="0.3">
      <c r="A2843">
        <v>2.8410000000000002</v>
      </c>
      <c r="B2843">
        <f>Uo*COS(2*PI()*Wn*Sheet2!A2843) + (Vo/Wn - (Po*(w/Wn))/(K*(1-(w/Wn)^2)))*SIN(2*PI()*Wn*Sheet2!A2843) +(Po*SIN(2*PI()*w*Sheet2!A2843))/(K*(1-(w/Wn)^2))</f>
        <v>9.3499246014318143</v>
      </c>
      <c r="C2843">
        <f t="shared" si="178"/>
        <v>0.86845399502225462</v>
      </c>
      <c r="D2843">
        <f t="shared" si="179"/>
        <v>141.85748212097346</v>
      </c>
      <c r="R2843">
        <f t="shared" si="176"/>
        <v>2.8410000000000002</v>
      </c>
      <c r="S2843">
        <f t="shared" si="177"/>
        <v>0.86845399502225462</v>
      </c>
    </row>
    <row r="2844" spans="1:19" x14ac:dyDescent="0.3">
      <c r="A2844">
        <v>2.8420000000000001</v>
      </c>
      <c r="B2844">
        <f>Uo*COS(2*PI()*Wn*Sheet2!A2844) + (Vo/Wn - (Po*(w/Wn))/(K*(1-(w/Wn)^2)))*SIN(2*PI()*Wn*Sheet2!A2844) +(Po*SIN(2*PI()*w*Sheet2!A2844))/(K*(1-(w/Wn)^2))</f>
        <v>9.028858358725607</v>
      </c>
      <c r="C2844">
        <f t="shared" si="178"/>
        <v>0.84466922402558553</v>
      </c>
      <c r="D2844">
        <f t="shared" si="179"/>
        <v>137.972362418893</v>
      </c>
      <c r="R2844">
        <f t="shared" si="176"/>
        <v>2.8420000000000001</v>
      </c>
      <c r="S2844">
        <f t="shared" si="177"/>
        <v>0.84466922402558553</v>
      </c>
    </row>
    <row r="2845" spans="1:19" x14ac:dyDescent="0.3">
      <c r="A2845">
        <v>2.843</v>
      </c>
      <c r="B2845">
        <f>Uo*COS(2*PI()*Wn*Sheet2!A2845) + (Vo/Wn - (Po*(w/Wn))/(K*(1-(w/Wn)^2)))*SIN(2*PI()*Wn*Sheet2!A2845) +(Po*SIN(2*PI()*w*Sheet2!A2845))/(K*(1-(w/Wn)^2))</f>
        <v>8.7048425614042326</v>
      </c>
      <c r="C2845">
        <f t="shared" si="178"/>
        <v>0.82065171613551247</v>
      </c>
      <c r="D2845">
        <f t="shared" si="179"/>
        <v>134.04922634532463</v>
      </c>
      <c r="R2845">
        <f t="shared" si="176"/>
        <v>2.843</v>
      </c>
      <c r="S2845">
        <f t="shared" si="177"/>
        <v>0.82065171613551247</v>
      </c>
    </row>
    <row r="2846" spans="1:19" x14ac:dyDescent="0.3">
      <c r="A2846">
        <v>2.8439999999999999</v>
      </c>
      <c r="B2846">
        <f>Uo*COS(2*PI()*Wn*Sheet2!A2846) + (Vo/Wn - (Po*(w/Wn))/(K*(1-(w/Wn)^2)))*SIN(2*PI()*Wn*Sheet2!A2846) +(Po*SIN(2*PI()*w*Sheet2!A2846))/(K*(1-(w/Wn)^2))</f>
        <v>8.377983059205425</v>
      </c>
      <c r="C2846">
        <f t="shared" si="178"/>
        <v>0.79640973060589448</v>
      </c>
      <c r="D2846">
        <f t="shared" si="179"/>
        <v>130.08942300679942</v>
      </c>
      <c r="R2846">
        <f t="shared" si="176"/>
        <v>2.8439999999999999</v>
      </c>
      <c r="S2846">
        <f t="shared" si="177"/>
        <v>0.79640973060589448</v>
      </c>
    </row>
    <row r="2847" spans="1:19" x14ac:dyDescent="0.3">
      <c r="A2847">
        <v>2.8450000000000002</v>
      </c>
      <c r="B2847">
        <f>Uo*COS(2*PI()*Wn*Sheet2!A2847) + (Vo/Wn - (Po*(w/Wn))/(K*(1-(w/Wn)^2)))*SIN(2*PI()*Wn*Sheet2!A2847) +(Po*SIN(2*PI()*w*Sheet2!A2847))/(K*(1-(w/Wn)^2))</f>
        <v>8.0483866308505458</v>
      </c>
      <c r="C2847">
        <f t="shared" si="178"/>
        <v>0.7719515850420976</v>
      </c>
      <c r="D2847">
        <f t="shared" si="179"/>
        <v>126.09431104126627</v>
      </c>
      <c r="R2847">
        <f t="shared" si="176"/>
        <v>2.8450000000000002</v>
      </c>
      <c r="S2847">
        <f t="shared" si="177"/>
        <v>0.7719515850420976</v>
      </c>
    </row>
    <row r="2848" spans="1:19" x14ac:dyDescent="0.3">
      <c r="A2848">
        <v>2.8460000000000001</v>
      </c>
      <c r="B2848">
        <f>Uo*COS(2*PI()*Wn*Sheet2!A2848) + (Vo/Wn - (Po*(w/Wn))/(K*(1-(w/Wn)^2)))*SIN(2*PI()*Wn*Sheet2!A2848) +(Po*SIN(2*PI()*w*Sheet2!A2848))/(K*(1-(w/Wn)^2))</f>
        <v>7.7161609491629459</v>
      </c>
      <c r="C2848">
        <f t="shared" si="178"/>
        <v>0.74728565258097135</v>
      </c>
      <c r="D2848">
        <f t="shared" si="179"/>
        <v>122.06525815745555</v>
      </c>
      <c r="R2848">
        <f t="shared" si="176"/>
        <v>2.8460000000000001</v>
      </c>
      <c r="S2848">
        <f t="shared" si="177"/>
        <v>0.74728565258097135</v>
      </c>
    </row>
    <row r="2849" spans="1:19" x14ac:dyDescent="0.3">
      <c r="A2849">
        <v>2.847</v>
      </c>
      <c r="B2849">
        <f>Uo*COS(2*PI()*Wn*Sheet2!A2849) + (Vo/Wn - (Po*(w/Wn))/(K*(1-(w/Wn)^2)))*SIN(2*PI()*Wn*Sheet2!A2849) +(Po*SIN(2*PI()*w*Sheet2!A2849))/(K*(1-(w/Wn)^2))</f>
        <v>7.3814145458916327</v>
      </c>
      <c r="C2849">
        <f t="shared" si="178"/>
        <v>0.72242035905760038</v>
      </c>
      <c r="D2849">
        <f t="shared" si="179"/>
        <v>118.00364067208262</v>
      </c>
      <c r="R2849">
        <f t="shared" si="176"/>
        <v>2.847</v>
      </c>
      <c r="S2849">
        <f t="shared" si="177"/>
        <v>0.72242035905760038</v>
      </c>
    </row>
    <row r="2850" spans="1:19" x14ac:dyDescent="0.3">
      <c r="A2850">
        <v>2.8479999999999999</v>
      </c>
      <c r="B2850">
        <f>Uo*COS(2*PI()*Wn*Sheet2!A2850) + (Vo/Wn - (Po*(w/Wn))/(K*(1-(w/Wn)^2)))*SIN(2*PI()*Wn*Sheet2!A2850) +(Po*SIN(2*PI()*w*Sheet2!A2850))/(K*(1-(w/Wn)^2))</f>
        <v>7.0442567762575967</v>
      </c>
      <c r="C2850">
        <f t="shared" si="178"/>
        <v>0.69736418016011681</v>
      </c>
      <c r="D2850">
        <f t="shared" si="179"/>
        <v>113.91084304510113</v>
      </c>
      <c r="R2850">
        <f t="shared" si="176"/>
        <v>2.8479999999999999</v>
      </c>
      <c r="S2850">
        <f t="shared" si="177"/>
        <v>0.69736418016011681</v>
      </c>
    </row>
    <row r="2851" spans="1:19" x14ac:dyDescent="0.3">
      <c r="A2851">
        <v>2.8490000000000002</v>
      </c>
      <c r="B2851">
        <f>Uo*COS(2*PI()*Wn*Sheet2!A2851) + (Vo/Wn - (Po*(w/Wn))/(K*(1-(w/Wn)^2)))*SIN(2*PI()*Wn*Sheet2!A2851) +(Po*SIN(2*PI()*w*Sheet2!A2851))/(K*(1-(w/Wn)^2))</f>
        <v>6.7047977832283747</v>
      </c>
      <c r="C2851">
        <f t="shared" si="178"/>
        <v>0.67212563857331042</v>
      </c>
      <c r="D2851">
        <f t="shared" si="179"/>
        <v>109.78825741312636</v>
      </c>
      <c r="R2851">
        <f t="shared" si="176"/>
        <v>2.8490000000000002</v>
      </c>
      <c r="S2851">
        <f t="shared" si="177"/>
        <v>0.67212563857331042</v>
      </c>
    </row>
    <row r="2852" spans="1:19" x14ac:dyDescent="0.3">
      <c r="A2852">
        <v>2.85</v>
      </c>
      <c r="B2852">
        <f>Uo*COS(2*PI()*Wn*Sheet2!A2852) + (Vo/Wn - (Po*(w/Wn))/(K*(1-(w/Wn)^2)))*SIN(2*PI()*Wn*Sheet2!A2852) +(Po*SIN(2*PI()*w*Sheet2!A2852))/(K*(1-(w/Wn)^2))</f>
        <v>6.3631484615373877</v>
      </c>
      <c r="C2852">
        <f t="shared" si="178"/>
        <v>0.64671330111211855</v>
      </c>
      <c r="D2852">
        <f t="shared" si="179"/>
        <v>105.6372831212057</v>
      </c>
      <c r="R2852">
        <f t="shared" si="176"/>
        <v>2.85</v>
      </c>
      <c r="S2852">
        <f t="shared" si="177"/>
        <v>0.64671330111211855</v>
      </c>
    </row>
    <row r="2853" spans="1:19" x14ac:dyDescent="0.3">
      <c r="A2853">
        <v>2.851</v>
      </c>
      <c r="B2853">
        <f>Uo*COS(2*PI()*Wn*Sheet2!A2853) + (Vo/Wn - (Po*(w/Wn))/(K*(1-(w/Wn)^2)))*SIN(2*PI()*Wn*Sheet2!A2853) +(Po*SIN(2*PI()*w*Sheet2!A2853))/(K*(1-(w/Wn)^2))</f>
        <v>6.0194204214563669</v>
      </c>
      <c r="C2853">
        <f t="shared" si="178"/>
        <v>0.62113577584578861</v>
      </c>
      <c r="D2853">
        <f t="shared" si="179"/>
        <v>101.45932625306536</v>
      </c>
      <c r="R2853">
        <f t="shared" si="176"/>
        <v>2.851</v>
      </c>
      <c r="S2853">
        <f t="shared" si="177"/>
        <v>0.62113577584578861</v>
      </c>
    </row>
    <row r="2854" spans="1:19" x14ac:dyDescent="0.3">
      <c r="A2854">
        <v>2.8519999999999999</v>
      </c>
      <c r="B2854">
        <f>Uo*COS(2*PI()*Wn*Sheet2!A2854) + (Vo/Wn - (Po*(w/Wn))/(K*(1-(w/Wn)^2)))*SIN(2*PI()*Wn*Sheet2!A2854) +(Po*SIN(2*PI()*w*Sheet2!A2854))/(K*(1-(w/Wn)^2))</f>
        <v>5.673725952334145</v>
      </c>
      <c r="C2854">
        <f t="shared" si="178"/>
        <v>0.59540170921387869</v>
      </c>
      <c r="D2854">
        <f t="shared" si="179"/>
        <v>97.255799160023955</v>
      </c>
      <c r="R2854">
        <f t="shared" si="176"/>
        <v>2.8519999999999999</v>
      </c>
      <c r="S2854">
        <f t="shared" si="177"/>
        <v>0.59540170921387869</v>
      </c>
    </row>
    <row r="2855" spans="1:19" x14ac:dyDescent="0.3">
      <c r="A2855">
        <v>2.8530000000000002</v>
      </c>
      <c r="B2855">
        <f>Uo*COS(2*PI()*Wn*Sheet2!A2855) + (Vo/Wn - (Po*(w/Wn))/(K*(1-(w/Wn)^2)))*SIN(2*PI()*Wn*Sheet2!A2855) +(Po*SIN(2*PI()*w*Sheet2!A2855))/(K*(1-(w/Wn)^2))</f>
        <v>5.3261779859140166</v>
      </c>
      <c r="C2855">
        <f t="shared" si="178"/>
        <v>0.5695197831348332</v>
      </c>
      <c r="D2855">
        <f t="shared" si="179"/>
        <v>93.028119988693206</v>
      </c>
      <c r="R2855">
        <f t="shared" si="176"/>
        <v>2.8530000000000002</v>
      </c>
      <c r="S2855">
        <f t="shared" si="177"/>
        <v>0.5695197831348332</v>
      </c>
    </row>
    <row r="2856" spans="1:19" x14ac:dyDescent="0.3">
      <c r="A2856">
        <v>2.8540000000000001</v>
      </c>
      <c r="B2856">
        <f>Uo*COS(2*PI()*Wn*Sheet2!A2856) + (Vo/Wn - (Po*(w/Wn))/(K*(1-(w/Wn)^2)))*SIN(2*PI()*Wn*Sheet2!A2856) +(Po*SIN(2*PI()*w*Sheet2!A2856))/(K*(1-(w/Wn)^2))</f>
        <v>4.9768900594420655</v>
      </c>
      <c r="C2856">
        <f t="shared" si="178"/>
        <v>0.54349871210836032</v>
      </c>
      <c r="D2856">
        <f t="shared" si="179"/>
        <v>88.77771220766634</v>
      </c>
      <c r="R2856">
        <f t="shared" si="176"/>
        <v>2.8540000000000001</v>
      </c>
      <c r="S2856">
        <f t="shared" si="177"/>
        <v>0.54349871210836032</v>
      </c>
    </row>
    <row r="2857" spans="1:19" x14ac:dyDescent="0.3">
      <c r="A2857">
        <v>2.855</v>
      </c>
      <c r="B2857">
        <f>Uo*COS(2*PI()*Wn*Sheet2!A2857) + (Vo/Wn - (Po*(w/Wn))/(K*(1-(w/Wn)^2)))*SIN(2*PI()*Wn*Sheet2!A2857) +(Po*SIN(2*PI()*w*Sheet2!A2857))/(K*(1-(w/Wn)^2))</f>
        <v>4.6259762785749476</v>
      </c>
      <c r="C2857">
        <f t="shared" si="178"/>
        <v>0.51734724031220625</v>
      </c>
      <c r="D2857">
        <f t="shared" si="179"/>
        <v>84.506004133291029</v>
      </c>
      <c r="R2857">
        <f t="shared" si="176"/>
        <v>2.855</v>
      </c>
      <c r="S2857">
        <f t="shared" si="177"/>
        <v>0.51734724031220625</v>
      </c>
    </row>
    <row r="2858" spans="1:19" x14ac:dyDescent="0.3">
      <c r="A2858">
        <v>2.8559999999999999</v>
      </c>
      <c r="B2858">
        <f>Uo*COS(2*PI()*Wn*Sheet2!A2858) + (Vo/Wn - (Po*(w/Wn))/(K*(1-(w/Wn)^2)))*SIN(2*PI()*Wn*Sheet2!A2858) +(Po*SIN(2*PI()*w*Sheet2!A2858))/(K*(1-(w/Wn)^2))</f>
        <v>4.2735512801054103</v>
      </c>
      <c r="C2858">
        <f t="shared" si="178"/>
        <v>0.49107413869463845</v>
      </c>
      <c r="D2858">
        <f t="shared" si="179"/>
        <v>80.214428454741551</v>
      </c>
      <c r="R2858">
        <f t="shared" si="176"/>
        <v>2.8559999999999999</v>
      </c>
      <c r="S2858">
        <f t="shared" si="177"/>
        <v>0.49107413869463845</v>
      </c>
    </row>
    <row r="2859" spans="1:19" x14ac:dyDescent="0.3">
      <c r="A2859">
        <v>2.8570000000000002</v>
      </c>
      <c r="B2859">
        <f>Uo*COS(2*PI()*Wn*Sheet2!A2859) + (Vo/Wn - (Po*(w/Wn))/(K*(1-(w/Wn)^2)))*SIN(2*PI()*Wn*Sheet2!A2859) +(Po*SIN(2*PI()*w*Sheet2!A2859))/(K*(1-(w/Wn)^2))</f>
        <v>3.9197301945114149</v>
      </c>
      <c r="C2859">
        <f t="shared" si="178"/>
        <v>0.46468820206336947</v>
      </c>
      <c r="D2859">
        <f t="shared" si="179"/>
        <v>75.904421758509514</v>
      </c>
      <c r="R2859">
        <f t="shared" si="176"/>
        <v>2.8570000000000002</v>
      </c>
      <c r="S2859">
        <f t="shared" si="177"/>
        <v>0.46468820206336947</v>
      </c>
    </row>
    <row r="2860" spans="1:19" x14ac:dyDescent="0.3">
      <c r="A2860">
        <v>2.8580000000000001</v>
      </c>
      <c r="B2860">
        <f>Uo*COS(2*PI()*Wn*Sheet2!A2860) + (Vo/Wn - (Po*(w/Wn))/(K*(1-(w/Wn)^2)))*SIN(2*PI()*Wn*Sheet2!A2860) +(Po*SIN(2*PI()*w*Sheet2!A2860))/(K*(1-(w/Wn)^2))</f>
        <v>3.5646286083461867</v>
      </c>
      <c r="C2860">
        <f t="shared" si="178"/>
        <v>0.43819824617201192</v>
      </c>
      <c r="D2860">
        <f t="shared" si="179"/>
        <v>71.577424052491324</v>
      </c>
      <c r="R2860">
        <f t="shared" si="176"/>
        <v>2.8580000000000001</v>
      </c>
      <c r="S2860">
        <f t="shared" si="177"/>
        <v>0.43819824617201192</v>
      </c>
    </row>
    <row r="2861" spans="1:19" x14ac:dyDescent="0.3">
      <c r="A2861">
        <v>2.859</v>
      </c>
      <c r="B2861">
        <f>Uo*COS(2*PI()*Wn*Sheet2!A2861) + (Vo/Wn - (Po*(w/Wn))/(K*(1-(w/Wn)^2)))*SIN(2*PI()*Wn*Sheet2!A2861) +(Po*SIN(2*PI()*w*Sheet2!A2861))/(K*(1-(w/Wn)^2))</f>
        <v>3.2083625264778965</v>
      </c>
      <c r="C2861">
        <f t="shared" si="178"/>
        <v>0.41161310480485624</v>
      </c>
      <c r="D2861">
        <f t="shared" si="179"/>
        <v>67.234878289801614</v>
      </c>
      <c r="R2861">
        <f t="shared" si="176"/>
        <v>2.859</v>
      </c>
      <c r="S2861">
        <f t="shared" si="177"/>
        <v>0.41161310480485624</v>
      </c>
    </row>
    <row r="2862" spans="1:19" x14ac:dyDescent="0.3">
      <c r="A2862">
        <v>2.86</v>
      </c>
      <c r="B2862">
        <f>Uo*COS(2*PI()*Wn*Sheet2!A2862) + (Vo/Wn - (Po*(w/Wn))/(K*(1-(w/Wn)^2)))*SIN(2*PI()*Wn*Sheet2!A2862) +(Po*SIN(2*PI()*w*Sheet2!A2862))/(K*(1-(w/Wn)^2))</f>
        <v>2.851048334192817</v>
      </c>
      <c r="C2862">
        <f t="shared" si="178"/>
        <v>0.38494162686114153</v>
      </c>
      <c r="D2862">
        <f t="shared" si="179"/>
        <v>62.878229892503967</v>
      </c>
      <c r="R2862">
        <f t="shared" si="176"/>
        <v>2.86</v>
      </c>
      <c r="S2862">
        <f t="shared" si="177"/>
        <v>0.38494162686114153</v>
      </c>
    </row>
    <row r="2863" spans="1:19" x14ac:dyDescent="0.3">
      <c r="A2863">
        <v>2.8610000000000002</v>
      </c>
      <c r="B2863">
        <f>Uo*COS(2*PI()*Wn*Sheet2!A2863) + (Vo/Wn - (Po*(w/Wn))/(K*(1-(w/Wn)^2)))*SIN(2*PI()*Wn*Sheet2!A2863) +(Po*SIN(2*PI()*w*Sheet2!A2863))/(K*(1-(w/Wn)^2))</f>
        <v>2.4928027591746198</v>
      </c>
      <c r="C2863">
        <f t="shared" si="178"/>
        <v>0.35819267343954175</v>
      </c>
      <c r="D2863">
        <f t="shared" si="179"/>
        <v>58.508926275376723</v>
      </c>
      <c r="R2863">
        <f t="shared" si="176"/>
        <v>2.8610000000000002</v>
      </c>
      <c r="S2863">
        <f t="shared" si="177"/>
        <v>0.35819267343954175</v>
      </c>
    </row>
    <row r="2864" spans="1:19" x14ac:dyDescent="0.3">
      <c r="A2864">
        <v>2.8620000000000001</v>
      </c>
      <c r="B2864">
        <f>Uo*COS(2*PI()*Wn*Sheet2!A2864) + (Vo/Wn - (Po*(w/Wn))/(K*(1-(w/Wn)^2)))*SIN(2*PI()*Wn*Sheet2!A2864) +(Po*SIN(2*PI()*w*Sheet2!A2864))/(K*(1-(w/Wn)^2))</f>
        <v>2.1337428333726725</v>
      </c>
      <c r="C2864">
        <f t="shared" si="178"/>
        <v>0.33137511492410637</v>
      </c>
      <c r="D2864">
        <f t="shared" si="179"/>
        <v>54.128416369916444</v>
      </c>
      <c r="R2864">
        <f t="shared" si="176"/>
        <v>2.8620000000000001</v>
      </c>
      <c r="S2864">
        <f t="shared" si="177"/>
        <v>0.33137511492410637</v>
      </c>
    </row>
    <row r="2865" spans="1:19" x14ac:dyDescent="0.3">
      <c r="A2865">
        <v>2.863</v>
      </c>
      <c r="B2865">
        <f>Uo*COS(2*PI()*Wn*Sheet2!A2865) + (Vo/Wn - (Po*(w/Wn))/(K*(1-(w/Wn)^2)))*SIN(2*PI()*Wn*Sheet2!A2865) +(Po*SIN(2*PI()*w*Sheet2!A2865))/(K*(1-(w/Wn)^2))</f>
        <v>1.7739858547681178</v>
      </c>
      <c r="C2865">
        <f t="shared" si="178"/>
        <v>0.30449782807221898</v>
      </c>
      <c r="D2865">
        <f t="shared" si="179"/>
        <v>49.738150148670968</v>
      </c>
      <c r="R2865">
        <f t="shared" si="176"/>
        <v>2.863</v>
      </c>
      <c r="S2865">
        <f t="shared" si="177"/>
        <v>0.30449782807221898</v>
      </c>
    </row>
    <row r="2866" spans="1:19" x14ac:dyDescent="0.3">
      <c r="A2866">
        <v>2.8639999999999999</v>
      </c>
      <c r="B2866">
        <f>Uo*COS(2*PI()*Wn*Sheet2!A2866) + (Vo/Wn - (Po*(w/Wn))/(K*(1-(w/Wn)^2)))*SIN(2*PI()*Wn*Sheet2!A2866) +(Po*SIN(2*PI()*w*Sheet2!A2866))/(K*(1-(w/Wn)^2))</f>
        <v>1.413649349056566</v>
      </c>
      <c r="C2866">
        <f t="shared" si="178"/>
        <v>0.27756969310589463</v>
      </c>
      <c r="D2866">
        <f t="shared" si="179"/>
        <v>45.339578150117809</v>
      </c>
      <c r="R2866">
        <f t="shared" si="176"/>
        <v>2.8639999999999999</v>
      </c>
      <c r="S2866">
        <f t="shared" si="177"/>
        <v>0.27756969310589463</v>
      </c>
    </row>
    <row r="2867" spans="1:19" x14ac:dyDescent="0.3">
      <c r="A2867">
        <v>2.8650000000000002</v>
      </c>
      <c r="B2867">
        <f>Uo*COS(2*PI()*Wn*Sheet2!A2867) + (Vo/Wn - (Po*(w/Wn))/(K*(1-(w/Wn)^2)))*SIN(2*PI()*Wn*Sheet2!A2867) +(Po*SIN(2*PI()*w*Sheet2!A2867))/(K*(1-(w/Wn)^2))</f>
        <v>1.0528510312534376</v>
      </c>
      <c r="C2867">
        <f t="shared" si="178"/>
        <v>0.25059959080712396</v>
      </c>
      <c r="D2867">
        <f t="shared" si="179"/>
        <v>40.934151004203599</v>
      </c>
      <c r="R2867">
        <f t="shared" si="176"/>
        <v>2.8650000000000002</v>
      </c>
      <c r="S2867">
        <f t="shared" si="177"/>
        <v>0.25059959080712396</v>
      </c>
    </row>
    <row r="2868" spans="1:19" x14ac:dyDescent="0.3">
      <c r="A2868">
        <v>2.8660000000000001</v>
      </c>
      <c r="B2868">
        <f>Uo*COS(2*PI()*Wn*Sheet2!A2868) + (Vo/Wn - (Po*(w/Wn))/(K*(1-(w/Wn)^2)))*SIN(2*PI()*Wn*Sheet2!A2868) +(Po*SIN(2*PI()*w*Sheet2!A2868))/(K*(1-(w/Wn)^2))</f>
        <v>0.69170876723971775</v>
      </c>
      <c r="C2868">
        <f t="shared" si="178"/>
        <v>0.22359639961834438</v>
      </c>
      <c r="D2868">
        <f t="shared" si="179"/>
        <v>36.523318958721021</v>
      </c>
      <c r="R2868">
        <f t="shared" si="176"/>
        <v>2.8660000000000001</v>
      </c>
      <c r="S2868">
        <f t="shared" si="177"/>
        <v>0.22359639961834438</v>
      </c>
    </row>
    <row r="2869" spans="1:19" x14ac:dyDescent="0.3">
      <c r="A2869">
        <v>2.867</v>
      </c>
      <c r="B2869">
        <f>Uo*COS(2*PI()*Wn*Sheet2!A2869) + (Vo/Wn - (Po*(w/Wn))/(K*(1-(w/Wn)^2)))*SIN(2*PI()*Wn*Sheet2!A2869) +(Po*SIN(2*PI()*w*Sheet2!A2869))/(K*(1-(w/Wn)^2))</f>
        <v>0.33034053525701368</v>
      </c>
      <c r="C2869">
        <f t="shared" si="178"/>
        <v>0.19656899274880352</v>
      </c>
      <c r="D2869">
        <f t="shared" si="179"/>
        <v>32.10853140664819</v>
      </c>
      <c r="R2869">
        <f t="shared" si="176"/>
        <v>2.867</v>
      </c>
      <c r="S2869">
        <f t="shared" si="177"/>
        <v>0.19656899274880352</v>
      </c>
    </row>
    <row r="2870" spans="1:19" x14ac:dyDescent="0.3">
      <c r="A2870">
        <v>2.8679999999999999</v>
      </c>
      <c r="B2870">
        <f>Uo*COS(2*PI()*Wn*Sheet2!A2870) + (Vo/Wn - (Po*(w/Wn))/(K*(1-(w/Wn)^2)))*SIN(2*PI()*Wn*Sheet2!A2870) +(Po*SIN(2*PI()*w*Sheet2!A2870))/(K*(1-(w/Wn)^2))</f>
        <v>-3.1135612634098406E-2</v>
      </c>
      <c r="C2870">
        <f t="shared" si="178"/>
        <v>0.16952623528796334</v>
      </c>
      <c r="D2870">
        <f t="shared" si="179"/>
        <v>27.691236414638109</v>
      </c>
      <c r="R2870">
        <f t="shared" si="176"/>
        <v>2.8679999999999999</v>
      </c>
      <c r="S2870">
        <f t="shared" si="177"/>
        <v>0.16952623528796334</v>
      </c>
    </row>
    <row r="2871" spans="1:19" x14ac:dyDescent="0.3">
      <c r="A2871">
        <v>2.8690000000000002</v>
      </c>
      <c r="B2871">
        <f>Uo*COS(2*PI()*Wn*Sheet2!A2871) + (Vo/Wn - (Po*(w/Wn))/(K*(1-(w/Wn)^2)))*SIN(2*PI()*Wn*Sheet2!A2871) +(Po*SIN(2*PI()*w*Sheet2!A2871))/(K*(1-(w/Wn)^2))</f>
        <v>-0.39260158911856124</v>
      </c>
      <c r="C2871">
        <f t="shared" si="178"/>
        <v>0.14247698132670278</v>
      </c>
      <c r="D2871">
        <f t="shared" si="179"/>
        <v>23.272880252781931</v>
      </c>
      <c r="R2871">
        <f t="shared" si="176"/>
        <v>2.8690000000000002</v>
      </c>
      <c r="S2871">
        <f t="shared" si="177"/>
        <v>0.14247698132670278</v>
      </c>
    </row>
    <row r="2872" spans="1:19" x14ac:dyDescent="0.3">
      <c r="A2872">
        <v>2.87</v>
      </c>
      <c r="B2872">
        <f>Uo*COS(2*PI()*Wn*Sheet2!A2872) + (Vo/Wn - (Po*(w/Wn))/(K*(1-(w/Wn)^2)))*SIN(2*PI()*Wn*Sheet2!A2872) +(Po*SIN(2*PI()*w*Sheet2!A2872))/(K*(1-(w/Wn)^2))</f>
        <v>-0.75393931020412086</v>
      </c>
      <c r="C2872">
        <f t="shared" si="178"/>
        <v>0.11543007108738355</v>
      </c>
      <c r="D2872">
        <f t="shared" si="179"/>
        <v>18.85490692582006</v>
      </c>
      <c r="R2872">
        <f t="shared" si="176"/>
        <v>2.87</v>
      </c>
      <c r="S2872">
        <f t="shared" si="177"/>
        <v>0.11543007108738355</v>
      </c>
    </row>
    <row r="2873" spans="1:19" x14ac:dyDescent="0.3">
      <c r="A2873">
        <v>2.871</v>
      </c>
      <c r="B2873">
        <f>Uo*COS(2*PI()*Wn*Sheet2!A2873) + (Vo/Wn - (Po*(w/Wn))/(K*(1-(w/Wn)^2)))*SIN(2*PI()*Wn*Sheet2!A2873) +(Po*SIN(2*PI()*w*Sheet2!A2873))/(K*(1-(w/Wn)^2))</f>
        <v>-1.1150307337975249</v>
      </c>
      <c r="C2873">
        <f t="shared" si="178"/>
        <v>8.8394328063465394E-2</v>
      </c>
      <c r="D2873">
        <f t="shared" si="179"/>
        <v>14.438757705912995</v>
      </c>
      <c r="R2873">
        <f t="shared" si="176"/>
        <v>2.871</v>
      </c>
      <c r="S2873">
        <f t="shared" si="177"/>
        <v>8.8394328063465394E-2</v>
      </c>
    </row>
    <row r="2874" spans="1:19" x14ac:dyDescent="0.3">
      <c r="A2874">
        <v>2.8719999999999999</v>
      </c>
      <c r="B2874">
        <f>Uo*COS(2*PI()*Wn*Sheet2!A2874) + (Vo/Wn - (Po*(w/Wn))/(K*(1-(w/Wn)^2)))*SIN(2*PI()*Wn*Sheet2!A2874) +(Po*SIN(2*PI()*w*Sheet2!A2874))/(K*(1-(w/Wn)^2))</f>
        <v>-1.4757578982656139</v>
      </c>
      <c r="C2874">
        <f t="shared" si="178"/>
        <v>6.1378556169959214E-2</v>
      </c>
      <c r="D2874">
        <f t="shared" si="179"/>
        <v>10.025870667182586</v>
      </c>
      <c r="R2874">
        <f t="shared" si="176"/>
        <v>2.8719999999999999</v>
      </c>
      <c r="S2874">
        <f t="shared" si="177"/>
        <v>6.1378556169959214E-2</v>
      </c>
    </row>
    <row r="2875" spans="1:19" x14ac:dyDescent="0.3">
      <c r="A2875">
        <v>2.8730000000000002</v>
      </c>
      <c r="B2875">
        <f>Uo*COS(2*PI()*Wn*Sheet2!A2875) + (Vo/Wn - (Po*(w/Wn))/(K*(1-(w/Wn)^2)))*SIN(2*PI()*Wn*Sheet2!A2875) +(Po*SIN(2*PI()*w*Sheet2!A2875))/(K*(1-(w/Wn)^2))</f>
        <v>-1.8360029609723965</v>
      </c>
      <c r="C2875">
        <f t="shared" si="178"/>
        <v>3.4391536905246309E-2</v>
      </c>
      <c r="D2875">
        <f t="shared" si="179"/>
        <v>5.6176802221098168</v>
      </c>
      <c r="R2875">
        <f t="shared" si="176"/>
        <v>2.8730000000000002</v>
      </c>
      <c r="S2875">
        <f t="shared" si="177"/>
        <v>3.4391536905246309E-2</v>
      </c>
    </row>
    <row r="2876" spans="1:19" x14ac:dyDescent="0.3">
      <c r="A2876">
        <v>2.8740000000000001</v>
      </c>
      <c r="B2876">
        <f>Uo*COS(2*PI()*Wn*Sheet2!A2876) + (Vo/Wn - (Po*(w/Wn))/(K*(1-(w/Wn)^2)))*SIN(2*PI()*Wn*Sheet2!A2876) +(Po*SIN(2*PI()*w*Sheet2!A2876))/(K*(1-(w/Wn)^2))</f>
        <v>-2.1956482367742765</v>
      </c>
      <c r="C2876">
        <f t="shared" si="178"/>
        <v>7.442026525456163E-3</v>
      </c>
      <c r="D2876">
        <f t="shared" si="179"/>
        <v>1.2156166599839924</v>
      </c>
      <c r="R2876">
        <f t="shared" si="176"/>
        <v>2.8740000000000001</v>
      </c>
      <c r="S2876">
        <f t="shared" si="177"/>
        <v>7.442026525456163E-3</v>
      </c>
    </row>
    <row r="2877" spans="1:19" x14ac:dyDescent="0.3">
      <c r="A2877">
        <v>2.875</v>
      </c>
      <c r="B2877">
        <f>Uo*COS(2*PI()*Wn*Sheet2!A2877) + (Vo/Wn - (Po*(w/Wn))/(K*(1-(w/Wn)^2)))*SIN(2*PI()*Wn*Sheet2!A2877) +(Po*SIN(2*PI()*w*Sheet2!A2877))/(K*(1-(w/Wn)^2))</f>
        <v>-2.5545762364673696</v>
      </c>
      <c r="C2877">
        <f t="shared" si="178"/>
        <v>-1.9461246767931473E-2</v>
      </c>
      <c r="D2877">
        <f t="shared" si="179"/>
        <v>-3.1788943124879587</v>
      </c>
      <c r="R2877">
        <f t="shared" si="176"/>
        <v>2.875</v>
      </c>
      <c r="S2877">
        <f t="shared" si="177"/>
        <v>-1.9461246767931473E-2</v>
      </c>
    </row>
    <row r="2878" spans="1:19" x14ac:dyDescent="0.3">
      <c r="A2878">
        <v>2.8759999999999999</v>
      </c>
      <c r="B2878">
        <f>Uo*COS(2*PI()*Wn*Sheet2!A2878) + (Vo/Wn - (Po*(w/Wn))/(K*(1-(w/Wn)^2)))*SIN(2*PI()*Wn*Sheet2!A2878) +(Po*SIN(2*PI()*w*Sheet2!A2878))/(K*(1-(w/Wn)^2))</f>
        <v>-2.912669705167978</v>
      </c>
      <c r="C2878">
        <f t="shared" si="178"/>
        <v>-4.6309585626142784E-2</v>
      </c>
      <c r="D2878">
        <f t="shared" si="179"/>
        <v>-7.5644320282295388</v>
      </c>
      <c r="R2878">
        <f t="shared" si="176"/>
        <v>2.8759999999999999</v>
      </c>
      <c r="S2878">
        <f t="shared" si="177"/>
        <v>-4.6309585626142784E-2</v>
      </c>
    </row>
    <row r="2879" spans="1:19" x14ac:dyDescent="0.3">
      <c r="A2879">
        <v>2.8769999999999998</v>
      </c>
      <c r="B2879">
        <f>Uo*COS(2*PI()*Wn*Sheet2!A2879) + (Vo/Wn - (Po*(w/Wn))/(K*(1-(w/Wn)^2)))*SIN(2*PI()*Wn*Sheet2!A2879) +(Po*SIN(2*PI()*w*Sheet2!A2879))/(K*(1-(w/Wn)^2))</f>
        <v>-3.2698116606172274</v>
      </c>
      <c r="C2879">
        <f t="shared" si="178"/>
        <v>-7.3094326336086091E-2</v>
      </c>
      <c r="D2879">
        <f t="shared" si="179"/>
        <v>-11.939581314379492</v>
      </c>
      <c r="R2879">
        <f t="shared" si="176"/>
        <v>2.8769999999999998</v>
      </c>
      <c r="S2879">
        <f t="shared" si="177"/>
        <v>-7.3094326336086091E-2</v>
      </c>
    </row>
    <row r="2880" spans="1:19" x14ac:dyDescent="0.3">
      <c r="A2880">
        <v>2.8780000000000001</v>
      </c>
      <c r="B2880">
        <f>Uo*COS(2*PI()*Wn*Sheet2!A2880) + (Vo/Wn - (Po*(w/Wn))/(K*(1-(w/Wn)^2)))*SIN(2*PI()*Wn*Sheet2!A2880) +(Po*SIN(2*PI()*w*Sheet2!A2880))/(K*(1-(w/Wn)^2))</f>
        <v>-3.6258854313979105</v>
      </c>
      <c r="C2880">
        <f t="shared" si="178"/>
        <v>-9.9806841587376877E-2</v>
      </c>
      <c r="D2880">
        <f t="shared" si="179"/>
        <v>-16.302932944271078</v>
      </c>
      <c r="R2880">
        <f t="shared" si="176"/>
        <v>2.8780000000000001</v>
      </c>
      <c r="S2880">
        <f t="shared" si="177"/>
        <v>-9.9806841587376877E-2</v>
      </c>
    </row>
    <row r="2881" spans="1:19" x14ac:dyDescent="0.3">
      <c r="A2881">
        <v>2.879</v>
      </c>
      <c r="B2881">
        <f>Uo*COS(2*PI()*Wn*Sheet2!A2881) + (Vo/Wn - (Po*(w/Wn))/(K*(1-(w/Wn)^2)))*SIN(2*PI()*Wn*Sheet2!A2881) +(Po*SIN(2*PI()*w*Sheet2!A2881))/(K*(1-(w/Wn)^2))</f>
        <v>-3.9807746950478147</v>
      </c>
      <c r="C2881">
        <f t="shared" si="178"/>
        <v>-0.12643854322232673</v>
      </c>
      <c r="D2881">
        <f t="shared" si="179"/>
        <v>-20.653084086628581</v>
      </c>
      <c r="R2881">
        <f t="shared" ref="R2881:R2944" si="180">A2881</f>
        <v>2.879</v>
      </c>
      <c r="S2881">
        <f t="shared" ref="S2881:S2944" si="181">C2881</f>
        <v>-0.12643854322232673</v>
      </c>
    </row>
    <row r="2882" spans="1:19" x14ac:dyDescent="0.3">
      <c r="A2882">
        <v>2.88</v>
      </c>
      <c r="B2882">
        <f>Uo*COS(2*PI()*Wn*Sheet2!A2882) + (Vo/Wn - (Po*(w/Wn))/(K*(1-(w/Wn)^2)))*SIN(2*PI()*Wn*Sheet2!A2882) +(Po*SIN(2*PI()*w*Sheet2!A2882))/(K*(1-(w/Wn)^2))</f>
        <v>-4.3343635160604581</v>
      </c>
      <c r="C2882">
        <f t="shared" ref="C2882:C2945" si="182">EXP(-zeta*Wn*A2882*2*PI())*($H$1*COS(wnD*2*PI()*A2882) + $H$2*SIN(wnD*2*PI()*A2882)) + $H$3*SIN(w*2*PI()*A2882) + $H$4*COS(w*2*PI()*A2882)</f>
        <v>-0.15298088496839779</v>
      </c>
      <c r="D2882">
        <f t="shared" ref="D2882:D2945" si="183">K*C2882</f>
        <v>-24.988638751899661</v>
      </c>
      <c r="R2882">
        <f t="shared" si="180"/>
        <v>2.88</v>
      </c>
      <c r="S2882">
        <f t="shared" si="181"/>
        <v>-0.15298088496839779</v>
      </c>
    </row>
    <row r="2883" spans="1:19" x14ac:dyDescent="0.3">
      <c r="A2883">
        <v>2.8809999999999998</v>
      </c>
      <c r="B2883">
        <f>Uo*COS(2*PI()*Wn*Sheet2!A2883) + (Vo/Wn - (Po*(w/Wn))/(K*(1-(w/Wn)^2)))*SIN(2*PI()*Wn*Sheet2!A2883) +(Po*SIN(2*PI()*w*Sheet2!A2883))/(K*(1-(w/Wn)^2))</f>
        <v>-4.6865363837592708</v>
      </c>
      <c r="C2883">
        <f t="shared" si="182"/>
        <v>-0.1794253651518945</v>
      </c>
      <c r="D2883">
        <f t="shared" si="183"/>
        <v>-29.308208235522901</v>
      </c>
      <c r="R2883">
        <f t="shared" si="180"/>
        <v>2.8809999999999998</v>
      </c>
      <c r="S2883">
        <f t="shared" si="181"/>
        <v>-0.1794253651518945</v>
      </c>
    </row>
    <row r="2884" spans="1:19" x14ac:dyDescent="0.3">
      <c r="A2884">
        <v>2.8820000000000001</v>
      </c>
      <c r="B2884">
        <f>Uo*COS(2*PI()*Wn*Sheet2!A2884) + (Vo/Wn - (Po*(w/Wn))/(K*(1-(w/Wn)^2)))*SIN(2*PI()*Wn*Sheet2!A2884) +(Po*SIN(2*PI()*w*Sheet2!A2884))/(K*(1-(w/Wn)^2))</f>
        <v>-5.0371782500325715</v>
      </c>
      <c r="C2884">
        <f t="shared" si="182"/>
        <v>-0.20576352939227233</v>
      </c>
      <c r="D2884">
        <f t="shared" si="183"/>
        <v>-33.610411558029256</v>
      </c>
      <c r="R2884">
        <f t="shared" si="180"/>
        <v>2.8820000000000001</v>
      </c>
      <c r="S2884">
        <f t="shared" si="181"/>
        <v>-0.20576352939227233</v>
      </c>
    </row>
    <row r="2885" spans="1:19" x14ac:dyDescent="0.3">
      <c r="A2885">
        <v>2.883</v>
      </c>
      <c r="B2885">
        <f>Uo*COS(2*PI()*Wn*Sheet2!A2885) + (Vo/Wn - (Po*(w/Wn))/(K*(1-(w/Wn)^2)))*SIN(2*PI()*Wn*Sheet2!A2885) +(Po*SIN(2*PI()*w*Sheet2!A2885))/(K*(1-(w/Wn)^2))</f>
        <v>-5.3861745669166101</v>
      </c>
      <c r="C2885">
        <f t="shared" si="182"/>
        <v>-0.23198697327608159</v>
      </c>
      <c r="D2885">
        <f t="shared" si="183"/>
        <v>-37.893875901816969</v>
      </c>
      <c r="R2885">
        <f t="shared" si="180"/>
        <v>2.883</v>
      </c>
      <c r="S2885">
        <f t="shared" si="181"/>
        <v>-0.23198697327608159</v>
      </c>
    </row>
    <row r="2886" spans="1:19" x14ac:dyDescent="0.3">
      <c r="A2886">
        <v>2.8839999999999999</v>
      </c>
      <c r="B2886">
        <f>Uo*COS(2*PI()*Wn*Sheet2!A2886) + (Vo/Wn - (Po*(w/Wn))/(K*(1-(w/Wn)^2)))*SIN(2*PI()*Wn*Sheet2!A2886) +(Po*SIN(2*PI()*w*Sheet2!A2886))/(K*(1-(w/Wn)^2))</f>
        <v>-5.7334113240179851</v>
      </c>
      <c r="C2886">
        <f t="shared" si="182"/>
        <v>-0.25808734500987979</v>
      </c>
      <c r="D2886">
        <f t="shared" si="183"/>
        <v>-42.157237044491154</v>
      </c>
      <c r="R2886">
        <f t="shared" si="180"/>
        <v>2.8839999999999999</v>
      </c>
      <c r="S2886">
        <f t="shared" si="181"/>
        <v>-0.25808734500987979</v>
      </c>
    </row>
    <row r="2887" spans="1:19" x14ac:dyDescent="0.3">
      <c r="A2887">
        <v>2.8849999999999998</v>
      </c>
      <c r="B2887">
        <f>Uo*COS(2*PI()*Wn*Sheet2!A2887) + (Vo/Wn - (Po*(w/Wn))/(K*(1-(w/Wn)^2)))*SIN(2*PI()*Wn*Sheet2!A2887) +(Po*SIN(2*PI()*w*Sheet2!A2887))/(K*(1-(w/Wn)^2))</f>
        <v>-6.0787750857569947</v>
      </c>
      <c r="C2887">
        <f t="shared" si="182"/>
        <v>-0.28405634805107288</v>
      </c>
      <c r="D2887">
        <f t="shared" si="183"/>
        <v>-46.399139788598113</v>
      </c>
      <c r="R2887">
        <f t="shared" si="180"/>
        <v>2.8849999999999998</v>
      </c>
      <c r="S2887">
        <f t="shared" si="181"/>
        <v>-0.28405634805107288</v>
      </c>
    </row>
    <row r="2888" spans="1:19" x14ac:dyDescent="0.3">
      <c r="A2888">
        <v>2.8860000000000001</v>
      </c>
      <c r="B2888">
        <f>Uo*COS(2*PI()*Wn*Sheet2!A2888) + (Vo/Wn - (Po*(w/Wn))/(K*(1-(w/Wn)^2)))*SIN(2*PI()*Wn*Sheet2!A2888) +(Po*SIN(2*PI()*w*Sheet2!A2888))/(K*(1-(w/Wn)^2))</f>
        <v>-6.4221530284260906</v>
      </c>
      <c r="C2888">
        <f t="shared" si="182"/>
        <v>-0.30988574371602617</v>
      </c>
      <c r="D2888">
        <f t="shared" si="183"/>
        <v>-50.618238387646841</v>
      </c>
      <c r="R2888">
        <f t="shared" si="180"/>
        <v>2.8860000000000001</v>
      </c>
      <c r="S2888">
        <f t="shared" si="181"/>
        <v>-0.30988574371602617</v>
      </c>
    </row>
    <row r="2889" spans="1:19" x14ac:dyDescent="0.3">
      <c r="A2889">
        <v>2.887</v>
      </c>
      <c r="B2889">
        <f>Uo*COS(2*PI()*Wn*Sheet2!A2889) + (Vo/Wn - (Po*(w/Wn))/(K*(1-(w/Wn)^2)))*SIN(2*PI()*Wn*Sheet2!A2889) +(Po*SIN(2*PI()*w*Sheet2!A2889))/(K*(1-(w/Wn)^2))</f>
        <v>-6.7634329770462713</v>
      </c>
      <c r="C2889">
        <f t="shared" si="182"/>
        <v>-0.33556735376457009</v>
      </c>
      <c r="D2889">
        <f t="shared" si="183"/>
        <v>-54.813196968274674</v>
      </c>
      <c r="R2889">
        <f t="shared" si="180"/>
        <v>2.887</v>
      </c>
      <c r="S2889">
        <f t="shared" si="181"/>
        <v>-0.33556735376457009</v>
      </c>
    </row>
    <row r="2890" spans="1:19" x14ac:dyDescent="0.3">
      <c r="A2890">
        <v>2.8879999999999999</v>
      </c>
      <c r="B2890">
        <f>Uo*COS(2*PI()*Wn*Sheet2!A2890) + (Vo/Wn - (Po*(w/Wn))/(K*(1-(w/Wn)^2)))*SIN(2*PI()*Wn*Sheet2!A2890) +(Po*SIN(2*PI()*w*Sheet2!A2890))/(K*(1-(w/Wn)^2))</f>
        <v>-7.1025034420128952</v>
      </c>
      <c r="C2890">
        <f t="shared" si="182"/>
        <v>-0.36109306296011112</v>
      </c>
      <c r="D2890">
        <f t="shared" si="183"/>
        <v>-58.982689948428259</v>
      </c>
      <c r="R2890">
        <f t="shared" si="180"/>
        <v>2.8879999999999999</v>
      </c>
      <c r="S2890">
        <f t="shared" si="181"/>
        <v>-0.36109306296011112</v>
      </c>
    </row>
    <row r="2891" spans="1:19" x14ac:dyDescent="0.3">
      <c r="A2891">
        <v>2.8889999999999998</v>
      </c>
      <c r="B2891">
        <f>Uo*COS(2*PI()*Wn*Sheet2!A2891) + (Vo/Wn - (Po*(w/Wn))/(K*(1-(w/Wn)^2)))*SIN(2*PI()*Wn*Sheet2!A2891) +(Po*SIN(2*PI()*w*Sheet2!A2891))/(K*(1-(w/Wn)^2))</f>
        <v>-7.4392536555175983</v>
      </c>
      <c r="C2891">
        <f t="shared" si="182"/>
        <v>-0.38645482160455474</v>
      </c>
      <c r="D2891">
        <f t="shared" si="183"/>
        <v>-63.125402451430119</v>
      </c>
      <c r="R2891">
        <f t="shared" si="180"/>
        <v>2.8889999999999998</v>
      </c>
      <c r="S2891">
        <f t="shared" si="181"/>
        <v>-0.38645482160455474</v>
      </c>
    </row>
    <row r="2892" spans="1:19" x14ac:dyDescent="0.3">
      <c r="A2892">
        <v>2.89</v>
      </c>
      <c r="B2892">
        <f>Uo*COS(2*PI()*Wn*Sheet2!A2892) + (Vo/Wn - (Po*(w/Wn))/(K*(1-(w/Wn)^2)))*SIN(2*PI()*Wn*Sheet2!A2892) +(Po*SIN(2*PI()*w*Sheet2!A2892))/(K*(1-(w/Wn)^2))</f>
        <v>-7.7735736077332014</v>
      </c>
      <c r="C2892">
        <f t="shared" si="182"/>
        <v>-0.41164464804727319</v>
      </c>
      <c r="D2892">
        <f t="shared" si="183"/>
        <v>-67.240030715805574</v>
      </c>
      <c r="R2892">
        <f t="shared" si="180"/>
        <v>2.89</v>
      </c>
      <c r="S2892">
        <f t="shared" si="181"/>
        <v>-0.41164464804727319</v>
      </c>
    </row>
    <row r="2893" spans="1:19" x14ac:dyDescent="0.3">
      <c r="A2893">
        <v>2.891</v>
      </c>
      <c r="B2893">
        <f>Uo*COS(2*PI()*Wn*Sheet2!A2893) + (Vo/Wn - (Po*(w/Wn))/(K*(1-(w/Wn)^2)))*SIN(2*PI()*Wn*Sheet2!A2893) +(Po*SIN(2*PI()*w*Sheet2!A2893))/(K*(1-(w/Wn)^2))</f>
        <v>-8.1053540827522195</v>
      </c>
      <c r="C2893">
        <f t="shared" si="182"/>
        <v>-0.43665463116727865</v>
      </c>
      <c r="D2893">
        <f t="shared" si="183"/>
        <v>-71.32528250073301</v>
      </c>
      <c r="R2893">
        <f t="shared" si="180"/>
        <v>2.891</v>
      </c>
      <c r="S2893">
        <f t="shared" si="181"/>
        <v>-0.43665463116727865</v>
      </c>
    </row>
    <row r="2894" spans="1:19" x14ac:dyDescent="0.3">
      <c r="A2894">
        <v>2.8919999999999999</v>
      </c>
      <c r="B2894">
        <f>Uo*COS(2*PI()*Wn*Sheet2!A2894) + (Vo/Wn - (Po*(w/Wn))/(K*(1-(w/Wn)^2)))*SIN(2*PI()*Wn*Sheet2!A2894) +(Po*SIN(2*PI()*w*Sheet2!A2894))/(K*(1-(w/Wn)^2))</f>
        <v>-8.4344866942659831</v>
      </c>
      <c r="C2894">
        <f t="shared" si="182"/>
        <v>-0.46147693282799856</v>
      </c>
      <c r="D2894">
        <f t="shared" si="183"/>
        <v>-75.379877487018675</v>
      </c>
      <c r="R2894">
        <f t="shared" si="180"/>
        <v>2.8919999999999999</v>
      </c>
      <c r="S2894">
        <f t="shared" si="181"/>
        <v>-0.46147693282799856</v>
      </c>
    </row>
    <row r="2895" spans="1:19" x14ac:dyDescent="0.3">
      <c r="A2895">
        <v>2.8929999999999998</v>
      </c>
      <c r="B2895">
        <f>Uo*COS(2*PI()*Wn*Sheet2!A2895) + (Vo/Wn - (Po*(w/Wn))/(K*(1-(w/Wn)^2)))*SIN(2*PI()*Wn*Sheet2!A2895) +(Po*SIN(2*PI()*w*Sheet2!A2895))/(K*(1-(w/Wn)^2))</f>
        <v>-8.7608639209714525</v>
      </c>
      <c r="C2895">
        <f t="shared" si="182"/>
        <v>-0.48610379030369183</v>
      </c>
      <c r="D2895">
        <f t="shared" si="183"/>
        <v>-79.402547673439301</v>
      </c>
      <c r="R2895">
        <f t="shared" si="180"/>
        <v>2.8929999999999998</v>
      </c>
      <c r="S2895">
        <f t="shared" si="181"/>
        <v>-0.48610379030369183</v>
      </c>
    </row>
    <row r="2896" spans="1:19" x14ac:dyDescent="0.3">
      <c r="A2896">
        <v>2.8940000000000001</v>
      </c>
      <c r="B2896">
        <f>Uo*COS(2*PI()*Wn*Sheet2!A2896) + (Vo/Wn - (Po*(w/Wn))/(K*(1-(w/Wn)^2)))*SIN(2*PI()*Wn*Sheet2!A2896) +(Po*SIN(2*PI()*w*Sheet2!A2896))/(K*(1-(w/Wn)^2))</f>
        <v>-9.0843791416975304</v>
      </c>
      <c r="C2896">
        <f t="shared" si="182"/>
        <v>-0.51052751867693469</v>
      </c>
      <c r="D2896">
        <f t="shared" si="183"/>
        <v>-83.392037768359103</v>
      </c>
      <c r="R2896">
        <f t="shared" si="180"/>
        <v>2.8940000000000001</v>
      </c>
      <c r="S2896">
        <f t="shared" si="181"/>
        <v>-0.51052751867693469</v>
      </c>
    </row>
    <row r="2897" spans="1:19" x14ac:dyDescent="0.3">
      <c r="A2897">
        <v>2.895</v>
      </c>
      <c r="B2897">
        <f>Uo*COS(2*PI()*Wn*Sheet2!A2897) + (Vo/Wn - (Po*(w/Wn))/(K*(1-(w/Wn)^2)))*SIN(2*PI()*Wn*Sheet2!A2897) +(Po*SIN(2*PI()*w*Sheet2!A2897))/(K*(1-(w/Wn)^2))</f>
        <v>-9.4049266702346124</v>
      </c>
      <c r="C2897">
        <f t="shared" si="182"/>
        <v>-0.53474051320631266</v>
      </c>
      <c r="D2897">
        <f t="shared" si="183"/>
        <v>-87.347105576479947</v>
      </c>
      <c r="R2897">
        <f t="shared" si="180"/>
        <v>2.895</v>
      </c>
      <c r="S2897">
        <f t="shared" si="181"/>
        <v>-0.53474051320631266</v>
      </c>
    </row>
    <row r="2898" spans="1:19" x14ac:dyDescent="0.3">
      <c r="A2898">
        <v>2.8959999999999999</v>
      </c>
      <c r="B2898">
        <f>Uo*COS(2*PI()*Wn*Sheet2!A2898) + (Vo/Wn - (Po*(w/Wn))/(K*(1-(w/Wn)^2)))*SIN(2*PI()*Wn*Sheet2!A2898) +(Po*SIN(2*PI()*w*Sheet2!A2898))/(K*(1-(w/Wn)^2))</f>
        <v>-9.7224017898618946</v>
      </c>
      <c r="C2898">
        <f t="shared" si="182"/>
        <v>-0.55873525166381</v>
      </c>
      <c r="D2898">
        <f t="shared" si="183"/>
        <v>-91.266522380641973</v>
      </c>
      <c r="R2898">
        <f t="shared" si="180"/>
        <v>2.8959999999999999</v>
      </c>
      <c r="S2898">
        <f t="shared" si="181"/>
        <v>-0.55873525166381</v>
      </c>
    </row>
    <row r="2899" spans="1:19" x14ac:dyDescent="0.3">
      <c r="A2899">
        <v>2.8969999999999998</v>
      </c>
      <c r="B2899">
        <f>Uo*COS(2*PI()*Wn*Sheet2!A2899) + (Vo/Wn - (Po*(w/Wn))/(K*(1-(w/Wn)^2)))*SIN(2*PI()*Wn*Sheet2!A2899) +(Po*SIN(2*PI()*w*Sheet2!A2899))/(K*(1-(w/Wn)^2))</f>
        <v>-10.036700787555423</v>
      </c>
      <c r="C2899">
        <f t="shared" si="182"/>
        <v>-0.5825042966408579</v>
      </c>
      <c r="D2899">
        <f t="shared" si="183"/>
        <v>-95.149073318504577</v>
      </c>
      <c r="R2899">
        <f t="shared" si="180"/>
        <v>2.8969999999999998</v>
      </c>
      <c r="S2899">
        <f t="shared" si="181"/>
        <v>-0.5825042966408579</v>
      </c>
    </row>
    <row r="2900" spans="1:19" x14ac:dyDescent="0.3">
      <c r="A2900">
        <v>2.8980000000000001</v>
      </c>
      <c r="B2900">
        <f>Uo*COS(2*PI()*Wn*Sheet2!A2900) + (Vo/Wn - (Po*(w/Wn))/(K*(1-(w/Wn)^2)))*SIN(2*PI()*Wn*Sheet2!A2900) +(Po*SIN(2*PI()*w*Sheet2!A2900))/(K*(1-(w/Wn)^2))</f>
        <v>-10.347720987869033</v>
      </c>
      <c r="C2900">
        <f t="shared" si="182"/>
        <v>-0.60604029782268787</v>
      </c>
      <c r="D2900">
        <f t="shared" si="183"/>
        <v>-98.993557754050414</v>
      </c>
      <c r="R2900">
        <f t="shared" si="180"/>
        <v>2.8980000000000001</v>
      </c>
      <c r="S2900">
        <f t="shared" si="181"/>
        <v>-0.60604029782268787</v>
      </c>
    </row>
    <row r="2901" spans="1:19" x14ac:dyDescent="0.3">
      <c r="A2901">
        <v>2.899</v>
      </c>
      <c r="B2901">
        <f>Uo*COS(2*PI()*Wn*Sheet2!A2901) + (Vo/Wn - (Po*(w/Wn))/(K*(1-(w/Wn)^2)))*SIN(2*PI()*Wn*Sheet2!A2901) +(Po*SIN(2*PI()*w*Sheet2!A2901))/(K*(1-(w/Wn)^2))</f>
        <v>-10.655360786476693</v>
      </c>
      <c r="C2901">
        <f t="shared" si="182"/>
        <v>-0.62933599423004549</v>
      </c>
      <c r="D2901">
        <f t="shared" si="183"/>
        <v>-102.79878964375769</v>
      </c>
      <c r="R2901">
        <f t="shared" si="180"/>
        <v>2.899</v>
      </c>
      <c r="S2901">
        <f t="shared" si="181"/>
        <v>-0.62933599423004549</v>
      </c>
    </row>
    <row r="2902" spans="1:19" x14ac:dyDescent="0.3">
      <c r="A2902">
        <v>2.9</v>
      </c>
      <c r="B2902">
        <f>Uo*COS(2*PI()*Wn*Sheet2!A2902) + (Vo/Wn - (Po*(w/Wn))/(K*(1-(w/Wn)^2)))*SIN(2*PI()*Wn*Sheet2!A2902) +(Po*SIN(2*PI()*w*Sheet2!A2902))/(K*(1-(w/Wn)^2))</f>
        <v>-10.959519683365045</v>
      </c>
      <c r="C2902">
        <f t="shared" si="182"/>
        <v>-0.65238421642780287</v>
      </c>
      <c r="D2902">
        <f t="shared" si="183"/>
        <v>-106.56359789736564</v>
      </c>
      <c r="R2902">
        <f t="shared" si="180"/>
        <v>2.9</v>
      </c>
      <c r="S2902">
        <f t="shared" si="181"/>
        <v>-0.65238421642780287</v>
      </c>
    </row>
    <row r="2903" spans="1:19" x14ac:dyDescent="0.3">
      <c r="A2903">
        <v>2.9009999999999998</v>
      </c>
      <c r="B2903">
        <f>Uo*COS(2*PI()*Wn*Sheet2!A2903) + (Vo/Wn - (Po*(w/Wn))/(K*(1-(w/Wn)^2)))*SIN(2*PI()*Wn*Sheet2!A2903) +(Po*SIN(2*PI()*w*Sheet2!A2903))/(K*(1-(w/Wn)^2))</f>
        <v>-11.260098315663988</v>
      </c>
      <c r="C2903">
        <f t="shared" si="182"/>
        <v>-0.67517788869961037</v>
      </c>
      <c r="D2903">
        <f t="shared" si="183"/>
        <v>-110.28682673309274</v>
      </c>
      <c r="R2903">
        <f t="shared" si="180"/>
        <v>2.9009999999999998</v>
      </c>
      <c r="S2903">
        <f t="shared" si="181"/>
        <v>-0.67517788869961037</v>
      </c>
    </row>
    <row r="2904" spans="1:19" x14ac:dyDescent="0.3">
      <c r="A2904">
        <v>2.9020000000000001</v>
      </c>
      <c r="B2904">
        <f>Uo*COS(2*PI()*Wn*Sheet2!A2904) + (Vo/Wn - (Po*(w/Wn))/(K*(1-(w/Wn)^2)))*SIN(2*PI()*Wn*Sheet2!A2904) +(Po*SIN(2*PI()*w*Sheet2!A2904))/(K*(1-(w/Wn)^2))</f>
        <v>-11.556998490107693</v>
      </c>
      <c r="C2904">
        <f t="shared" si="182"/>
        <v>-0.69771003118808728</v>
      </c>
      <c r="D2904">
        <f t="shared" si="183"/>
        <v>-113.96733602722574</v>
      </c>
      <c r="R2904">
        <f t="shared" si="180"/>
        <v>2.9020000000000001</v>
      </c>
      <c r="S2904">
        <f t="shared" si="181"/>
        <v>-0.69771003118808728</v>
      </c>
    </row>
    <row r="2905" spans="1:19" x14ac:dyDescent="0.3">
      <c r="A2905">
        <v>2.903</v>
      </c>
      <c r="B2905">
        <f>Uo*COS(2*PI()*Wn*Sheet2!A2905) + (Vo/Wn - (Po*(w/Wn))/(K*(1-(w/Wn)^2)))*SIN(2*PI()*Wn*Sheet2!A2905) +(Po*SIN(2*PI()*w*Sheet2!A2905))/(K*(1-(w/Wn)^2))</f>
        <v>-11.850123215111037</v>
      </c>
      <c r="C2905">
        <f t="shared" si="182"/>
        <v>-0.71997376199980023</v>
      </c>
      <c r="D2905">
        <f t="shared" si="183"/>
        <v>-117.60400165795706</v>
      </c>
      <c r="R2905">
        <f t="shared" si="180"/>
        <v>2.903</v>
      </c>
      <c r="S2905">
        <f t="shared" si="181"/>
        <v>-0.71997376199980023</v>
      </c>
    </row>
    <row r="2906" spans="1:19" x14ac:dyDescent="0.3">
      <c r="A2906">
        <v>2.9039999999999999</v>
      </c>
      <c r="B2906">
        <f>Uo*COS(2*PI()*Wn*Sheet2!A2906) + (Vo/Wn - (Po*(w/Wn))/(K*(1-(w/Wn)^2)))*SIN(2*PI()*Wn*Sheet2!A2906) +(Po*SIN(2*PI()*w*Sheet2!A2906))/(K*(1-(w/Wn)^2))</f>
        <v>-12.139376732456427</v>
      </c>
      <c r="C2906">
        <f t="shared" si="182"/>
        <v>-0.741962299274598</v>
      </c>
      <c r="D2906">
        <f t="shared" si="183"/>
        <v>-121.19571584339995</v>
      </c>
      <c r="R2906">
        <f t="shared" si="180"/>
        <v>2.9039999999999999</v>
      </c>
      <c r="S2906">
        <f t="shared" si="181"/>
        <v>-0.741962299274598</v>
      </c>
    </row>
    <row r="2907" spans="1:19" x14ac:dyDescent="0.3">
      <c r="A2907">
        <v>2.9049999999999998</v>
      </c>
      <c r="B2907">
        <f>Uo*COS(2*PI()*Wn*Sheet2!A2907) + (Vo/Wn - (Po*(w/Wn))/(K*(1-(w/Wn)^2)))*SIN(2*PI()*Wn*Sheet2!A2907) +(Po*SIN(2*PI()*w*Sheet2!A2907))/(K*(1-(w/Wn)^2))</f>
        <v>-12.424664548575329</v>
      </c>
      <c r="C2907">
        <f t="shared" si="182"/>
        <v>-0.76366896321838118</v>
      </c>
      <c r="D2907">
        <f t="shared" si="183"/>
        <v>-124.74138747363097</v>
      </c>
      <c r="R2907">
        <f t="shared" si="180"/>
        <v>2.9049999999999998</v>
      </c>
      <c r="S2907">
        <f t="shared" si="181"/>
        <v>-0.76366896321838118</v>
      </c>
    </row>
    <row r="2908" spans="1:19" x14ac:dyDescent="0.3">
      <c r="A2908">
        <v>2.9060000000000001</v>
      </c>
      <c r="B2908">
        <f>Uo*COS(2*PI()*Wn*Sheet2!A2908) + (Vo/Wn - (Po*(w/Wn))/(K*(1-(w/Wn)^2)))*SIN(2*PI()*Wn*Sheet2!A2908) +(Po*SIN(2*PI()*w*Sheet2!A2908))/(K*(1-(w/Wn)^2))</f>
        <v>-12.705893465417414</v>
      </c>
      <c r="C2908">
        <f t="shared" si="182"/>
        <v>-0.78508717809903339</v>
      </c>
      <c r="D2908">
        <f t="shared" si="183"/>
        <v>-128.23994243671504</v>
      </c>
      <c r="R2908">
        <f t="shared" si="180"/>
        <v>2.9060000000000001</v>
      </c>
      <c r="S2908">
        <f t="shared" si="181"/>
        <v>-0.78508717809903339</v>
      </c>
    </row>
    <row r="2909" spans="1:19" x14ac:dyDescent="0.3">
      <c r="A2909">
        <v>2.907</v>
      </c>
      <c r="B2909">
        <f>Uo*COS(2*PI()*Wn*Sheet2!A2909) + (Vo/Wn - (Po*(w/Wn))/(K*(1-(w/Wn)^2)))*SIN(2*PI()*Wn*Sheet2!A2909) +(Po*SIN(2*PI()*w*Sheet2!A2909))/(K*(1-(w/Wn)^2))</f>
        <v>-12.982971610896792</v>
      </c>
      <c r="C2909">
        <f t="shared" si="182"/>
        <v>-0.80621047420468495</v>
      </c>
      <c r="D2909">
        <f t="shared" si="183"/>
        <v>-131.69032393857768</v>
      </c>
      <c r="R2909">
        <f t="shared" si="180"/>
        <v>2.907</v>
      </c>
      <c r="S2909">
        <f t="shared" si="181"/>
        <v>-0.80621047420468495</v>
      </c>
    </row>
    <row r="2910" spans="1:19" x14ac:dyDescent="0.3">
      <c r="A2910">
        <v>2.9079999999999999</v>
      </c>
      <c r="B2910">
        <f>Uo*COS(2*PI()*Wn*Sheet2!A2910) + (Vo/Wn - (Po*(w/Wn))/(K*(1-(w/Wn)^2)))*SIN(2*PI()*Wn*Sheet2!A2910) +(Po*SIN(2*PI()*w*Sheet2!A2910))/(K*(1-(w/Wn)^2))</f>
        <v>-13.255808468905188</v>
      </c>
      <c r="C2910">
        <f t="shared" si="182"/>
        <v>-0.82703248976393251</v>
      </c>
      <c r="D2910">
        <f t="shared" si="183"/>
        <v>-135.09149281666302</v>
      </c>
      <c r="R2910">
        <f t="shared" si="180"/>
        <v>2.9079999999999999</v>
      </c>
      <c r="S2910">
        <f t="shared" si="181"/>
        <v>-0.82703248976393251</v>
      </c>
    </row>
    <row r="2911" spans="1:19" x14ac:dyDescent="0.3">
      <c r="A2911">
        <v>2.9089999999999998</v>
      </c>
      <c r="B2911">
        <f>Uo*COS(2*PI()*Wn*Sheet2!A2911) + (Vo/Wn - (Po*(w/Wn))/(K*(1-(w/Wn)^2)))*SIN(2*PI()*Wn*Sheet2!A2911) +(Po*SIN(2*PI()*w*Sheet2!A2911))/(K*(1-(w/Wn)^2))</f>
        <v>-13.524314908881045</v>
      </c>
      <c r="C2911">
        <f t="shared" si="182"/>
        <v>-0.84754697282727354</v>
      </c>
      <c r="D2911">
        <f t="shared" si="183"/>
        <v>-138.44242784725648</v>
      </c>
      <c r="R2911">
        <f t="shared" si="180"/>
        <v>2.9089999999999998</v>
      </c>
      <c r="S2911">
        <f t="shared" si="181"/>
        <v>-0.84754697282727354</v>
      </c>
    </row>
    <row r="2912" spans="1:19" x14ac:dyDescent="0.3">
      <c r="A2912">
        <v>2.91</v>
      </c>
      <c r="B2912">
        <f>Uo*COS(2*PI()*Wn*Sheet2!A2912) + (Vo/Wn - (Po*(w/Wn))/(K*(1-(w/Wn)^2)))*SIN(2*PI()*Wn*Sheet2!A2912) +(Po*SIN(2*PI()*w*Sheet2!A2912))/(K*(1-(w/Wn)^2))</f>
        <v>-13.788403214927742</v>
      </c>
      <c r="C2912">
        <f t="shared" si="182"/>
        <v>-0.86774778310935274</v>
      </c>
      <c r="D2912">
        <f t="shared" si="183"/>
        <v>-141.7421260464061</v>
      </c>
      <c r="R2912">
        <f t="shared" si="180"/>
        <v>2.91</v>
      </c>
      <c r="S2912">
        <f t="shared" si="181"/>
        <v>-0.86774778310935274</v>
      </c>
    </row>
    <row r="2913" spans="1:19" x14ac:dyDescent="0.3">
      <c r="A2913">
        <v>2.911</v>
      </c>
      <c r="B2913">
        <f>Uo*COS(2*PI()*Wn*Sheet2!A2913) + (Vo/Wn - (Po*(w/Wn))/(K*(1-(w/Wn)^2)))*SIN(2*PI()*Wn*Sheet2!A2913) +(Po*SIN(2*PI()*w*Sheet2!A2913))/(K*(1-(w/Wn)^2))</f>
        <v>-14.047987114467421</v>
      </c>
      <c r="C2913">
        <f t="shared" si="182"/>
        <v>-0.88762889379138599</v>
      </c>
      <c r="D2913">
        <f t="shared" si="183"/>
        <v>-144.9896029643393</v>
      </c>
      <c r="R2913">
        <f t="shared" si="180"/>
        <v>2.911</v>
      </c>
      <c r="S2913">
        <f t="shared" si="181"/>
        <v>-0.88762889379138599</v>
      </c>
    </row>
    <row r="2914" spans="1:19" x14ac:dyDescent="0.3">
      <c r="A2914">
        <v>2.9119999999999999</v>
      </c>
      <c r="B2914">
        <f>Uo*COS(2*PI()*Wn*Sheet2!A2914) + (Vo/Wn - (Po*(w/Wn))/(K*(1-(w/Wn)^2)))*SIN(2*PI()*Wn*Sheet2!A2914) +(Po*SIN(2*PI()*w*Sheet2!A2914))/(K*(1-(w/Wn)^2))</f>
        <v>-14.302981806425947</v>
      </c>
      <c r="C2914">
        <f t="shared" si="182"/>
        <v>-0.90718439328336475</v>
      </c>
      <c r="D2914">
        <f t="shared" si="183"/>
        <v>-148.18389297330975</v>
      </c>
      <c r="R2914">
        <f t="shared" si="180"/>
        <v>2.9119999999999999</v>
      </c>
      <c r="S2914">
        <f t="shared" si="181"/>
        <v>-0.90718439328336475</v>
      </c>
    </row>
    <row r="2915" spans="1:19" x14ac:dyDescent="0.3">
      <c r="A2915">
        <v>2.9129999999999998</v>
      </c>
      <c r="B2915">
        <f>Uo*COS(2*PI()*Wn*Sheet2!A2915) + (Vo/Wn - (Po*(w/Wn))/(K*(1-(w/Wn)^2)))*SIN(2*PI()*Wn*Sheet2!A2915) +(Po*SIN(2*PI()*w*Sheet2!A2915))/(K*(1-(w/Wn)^2))</f>
        <v>-14.553303988935046</v>
      </c>
      <c r="C2915">
        <f t="shared" si="182"/>
        <v>-0.92640848694543532</v>
      </c>
      <c r="D2915">
        <f t="shared" si="183"/>
        <v>-151.32404954877603</v>
      </c>
      <c r="R2915">
        <f t="shared" si="180"/>
        <v>2.9129999999999998</v>
      </c>
      <c r="S2915">
        <f t="shared" si="181"/>
        <v>-0.92640848694543532</v>
      </c>
    </row>
    <row r="2916" spans="1:19" x14ac:dyDescent="0.3">
      <c r="A2916">
        <v>2.9140000000000001</v>
      </c>
      <c r="B2916">
        <f>Uo*COS(2*PI()*Wn*Sheet2!A2916) + (Vo/Wn - (Po*(w/Wn))/(K*(1-(w/Wn)^2)))*SIN(2*PI()*Wn*Sheet2!A2916) +(Po*SIN(2*PI()*w*Sheet2!A2916))/(K*(1-(w/Wn)^2))</f>
        <v>-14.798871886545337</v>
      </c>
      <c r="C2916">
        <f t="shared" si="182"/>
        <v>-0.94529549876796104</v>
      </c>
      <c r="D2916">
        <f t="shared" si="183"/>
        <v>-154.4091455438309</v>
      </c>
      <c r="R2916">
        <f t="shared" si="180"/>
        <v>2.9140000000000001</v>
      </c>
      <c r="S2916">
        <f t="shared" si="181"/>
        <v>-0.94529549876796104</v>
      </c>
    </row>
    <row r="2917" spans="1:19" x14ac:dyDescent="0.3">
      <c r="A2917">
        <v>2.915</v>
      </c>
      <c r="B2917">
        <f>Uo*COS(2*PI()*Wn*Sheet2!A2917) + (Vo/Wn - (Po*(w/Wn))/(K*(1-(w/Wn)^2)))*SIN(2*PI()*Wn*Sheet2!A2917) +(Po*SIN(2*PI()*w*Sheet2!A2917))/(K*(1-(w/Wn)^2))</f>
        <v>-15.039605276941117</v>
      </c>
      <c r="C2917">
        <f t="shared" si="182"/>
        <v>-0.96383987300986829</v>
      </c>
      <c r="D2917">
        <f t="shared" si="183"/>
        <v>-157.43827345681677</v>
      </c>
      <c r="R2917">
        <f t="shared" si="180"/>
        <v>2.915</v>
      </c>
      <c r="S2917">
        <f t="shared" si="181"/>
        <v>-0.96383987300986829</v>
      </c>
    </row>
    <row r="2918" spans="1:19" x14ac:dyDescent="0.3">
      <c r="A2918">
        <v>2.9159999999999999</v>
      </c>
      <c r="B2918">
        <f>Uo*COS(2*PI()*Wn*Sheet2!A2918) + (Vo/Wn - (Po*(w/Wn))/(K*(1-(w/Wn)^2)))*SIN(2*PI()*Wn*Sheet2!A2918) +(Po*SIN(2*PI()*w*Sheet2!A2918))/(K*(1-(w/Wn)^2))</f>
        <v>-15.275425517147232</v>
      </c>
      <c r="C2918">
        <f t="shared" si="182"/>
        <v>-0.98203617579481284</v>
      </c>
      <c r="D2918">
        <f t="shared" si="183"/>
        <v>-160.41054569205124</v>
      </c>
      <c r="R2918">
        <f t="shared" si="180"/>
        <v>2.9159999999999999</v>
      </c>
      <c r="S2918">
        <f t="shared" si="181"/>
        <v>-0.98203617579481284</v>
      </c>
    </row>
    <row r="2919" spans="1:19" x14ac:dyDescent="0.3">
      <c r="A2919">
        <v>2.9169999999999998</v>
      </c>
      <c r="B2919">
        <f>Uo*COS(2*PI()*Wn*Sheet2!A2919) + (Vo/Wn - (Po*(w/Wn))/(K*(1-(w/Wn)^2)))*SIN(2*PI()*Wn*Sheet2!A2919) +(Po*SIN(2*PI()*w*Sheet2!A2919))/(K*(1-(w/Wn)^2))</f>
        <v>-15.506255569220526</v>
      </c>
      <c r="C2919">
        <f t="shared" si="182"/>
        <v>-0.9998790966646266</v>
      </c>
      <c r="D2919">
        <f t="shared" si="183"/>
        <v>-163.32509481357457</v>
      </c>
      <c r="R2919">
        <f t="shared" si="180"/>
        <v>2.9169999999999998</v>
      </c>
      <c r="S2919">
        <f t="shared" si="181"/>
        <v>-0.9998790966646266</v>
      </c>
    </row>
    <row r="2920" spans="1:19" x14ac:dyDescent="0.3">
      <c r="A2920">
        <v>2.9180000000000001</v>
      </c>
      <c r="B2920">
        <f>Uo*COS(2*PI()*Wn*Sheet2!A2920) + (Vo/Wn - (Po*(w/Wn))/(K*(1-(w/Wn)^2)))*SIN(2*PI()*Wn*Sheet2!A2920) +(Po*SIN(2*PI()*w*Sheet2!A2920))/(K*(1-(w/Wn)^2))</f>
        <v>-15.73202002541654</v>
      </c>
      <c r="C2920">
        <f t="shared" si="182"/>
        <v>-1.0173634500897151</v>
      </c>
      <c r="D2920">
        <f t="shared" si="183"/>
        <v>-166.18107379186543</v>
      </c>
      <c r="R2920">
        <f t="shared" si="180"/>
        <v>2.9180000000000001</v>
      </c>
      <c r="S2920">
        <f t="shared" si="181"/>
        <v>-1.0173634500897151</v>
      </c>
    </row>
    <row r="2921" spans="1:19" x14ac:dyDescent="0.3">
      <c r="A2921">
        <v>2.919</v>
      </c>
      <c r="B2921">
        <f>Uo*COS(2*PI()*Wn*Sheet2!A2921) + (Vo/Wn - (Po*(w/Wn))/(K*(1-(w/Wn)^2)))*SIN(2*PI()*Wn*Sheet2!A2921) +(Po*SIN(2*PI()*w*Sheet2!A2921))/(K*(1-(w/Wn)^2))</f>
        <v>-15.952645132823172</v>
      </c>
      <c r="C2921">
        <f t="shared" si="182"/>
        <v>-1.0344841769359154</v>
      </c>
      <c r="D2921">
        <f t="shared" si="183"/>
        <v>-168.97765624344444</v>
      </c>
      <c r="R2921">
        <f t="shared" si="180"/>
        <v>2.919</v>
      </c>
      <c r="S2921">
        <f t="shared" si="181"/>
        <v>-1.0344841769359154</v>
      </c>
    </row>
    <row r="2922" spans="1:19" x14ac:dyDescent="0.3">
      <c r="A2922">
        <v>2.92</v>
      </c>
      <c r="B2922">
        <f>Uo*COS(2*PI()*Wn*Sheet2!A2922) + (Vo/Wn - (Po*(w/Wn))/(K*(1-(w/Wn)^2)))*SIN(2*PI()*Wn*Sheet2!A2922) +(Po*SIN(2*PI()*w*Sheet2!A2922))/(K*(1-(w/Wn)^2))</f>
        <v>-16.168058817455385</v>
      </c>
      <c r="C2922">
        <f t="shared" si="182"/>
        <v>-1.0512363458875122</v>
      </c>
      <c r="D2922">
        <f t="shared" si="183"/>
        <v>-171.71403666331665</v>
      </c>
      <c r="R2922">
        <f t="shared" si="180"/>
        <v>2.92</v>
      </c>
      <c r="S2922">
        <f t="shared" si="181"/>
        <v>-1.0512363458875122</v>
      </c>
    </row>
    <row r="2923" spans="1:19" x14ac:dyDescent="0.3">
      <c r="A2923">
        <v>2.9209999999999998</v>
      </c>
      <c r="B2923">
        <f>Uo*COS(2*PI()*Wn*Sheet2!A2923) + (Vo/Wn - (Po*(w/Wn))/(K*(1-(w/Wn)^2)))*SIN(2*PI()*Wn*Sheet2!A2923) +(Po*SIN(2*PI()*w*Sheet2!A2923))/(K*(1-(w/Wn)^2))</f>
        <v>-16.378190707799792</v>
      </c>
      <c r="C2923">
        <f t="shared" si="182"/>
        <v>-1.0676151548259314</v>
      </c>
      <c r="D2923">
        <f t="shared" si="183"/>
        <v>-174.38943065017381</v>
      </c>
      <c r="R2923">
        <f t="shared" si="180"/>
        <v>2.9209999999999998</v>
      </c>
      <c r="S2923">
        <f t="shared" si="181"/>
        <v>-1.0676151548259314</v>
      </c>
    </row>
    <row r="2924" spans="1:19" x14ac:dyDescent="0.3">
      <c r="A2924">
        <v>2.9220000000000002</v>
      </c>
      <c r="B2924">
        <f>Uo*COS(2*PI()*Wn*Sheet2!A2924) + (Vo/Wn - (Po*(w/Wn))/(K*(1-(w/Wn)^2)))*SIN(2*PI()*Wn*Sheet2!A2924) +(Po*SIN(2*PI()*w*Sheet2!A2924))/(K*(1-(w/Wn)^2))</f>
        <v>-16.582972157803567</v>
      </c>
      <c r="C2924">
        <f t="shared" si="182"/>
        <v>-1.0836159321637462</v>
      </c>
      <c r="D2924">
        <f t="shared" si="183"/>
        <v>-177.00307512429771</v>
      </c>
      <c r="R2924">
        <f t="shared" si="180"/>
        <v>2.9220000000000002</v>
      </c>
      <c r="S2924">
        <f t="shared" si="181"/>
        <v>-1.0836159321637462</v>
      </c>
    </row>
    <row r="2925" spans="1:19" x14ac:dyDescent="0.3">
      <c r="A2925">
        <v>2.923</v>
      </c>
      <c r="B2925">
        <f>Uo*COS(2*PI()*Wn*Sheet2!A2925) + (Vo/Wn - (Po*(w/Wn))/(K*(1-(w/Wn)^2)))*SIN(2*PI()*Wn*Sheet2!A2925) +(Po*SIN(2*PI()*w*Sheet2!A2925))/(K*(1-(w/Wn)^2))</f>
        <v>-16.782336269300082</v>
      </c>
      <c r="C2925">
        <f t="shared" si="182"/>
        <v>-1.099234138133705</v>
      </c>
      <c r="D2925">
        <f t="shared" si="183"/>
        <v>-179.55422853811595</v>
      </c>
      <c r="R2925">
        <f t="shared" si="180"/>
        <v>2.923</v>
      </c>
      <c r="S2925">
        <f t="shared" si="181"/>
        <v>-1.099234138133705</v>
      </c>
    </row>
    <row r="2926" spans="1:19" x14ac:dyDescent="0.3">
      <c r="A2926">
        <v>2.9239999999999999</v>
      </c>
      <c r="B2926">
        <f>Uo*COS(2*PI()*Wn*Sheet2!A2926) + (Vo/Wn - (Po*(w/Wn))/(K*(1-(w/Wn)^2)))*SIN(2*PI()*Wn*Sheet2!A2926) +(Po*SIN(2*PI()*w*Sheet2!A2926))/(K*(1-(w/Wn)^2))</f>
        <v>-16.976217913863071</v>
      </c>
      <c r="C2926">
        <f t="shared" si="182"/>
        <v>-1.1144653660324322</v>
      </c>
      <c r="D2926">
        <f t="shared" si="183"/>
        <v>-182.04217107935418</v>
      </c>
      <c r="R2926">
        <f t="shared" si="180"/>
        <v>2.9239999999999999</v>
      </c>
      <c r="S2926">
        <f t="shared" si="181"/>
        <v>-1.1144653660324322</v>
      </c>
    </row>
    <row r="2927" spans="1:19" x14ac:dyDescent="0.3">
      <c r="A2927">
        <v>2.9249999999999998</v>
      </c>
      <c r="B2927">
        <f>Uo*COS(2*PI()*Wn*Sheet2!A2927) + (Vo/Wn - (Po*(w/Wn))/(K*(1-(w/Wn)^2)))*SIN(2*PI()*Wn*Sheet2!A2927) +(Po*SIN(2*PI()*w*Sheet2!A2927))/(K*(1-(w/Wn)^2))</f>
        <v>-17.164553754083073</v>
      </c>
      <c r="C2927">
        <f t="shared" si="182"/>
        <v>-1.1293053434183988</v>
      </c>
      <c r="D2927">
        <f t="shared" si="183"/>
        <v>-184.46620486671844</v>
      </c>
      <c r="R2927">
        <f t="shared" si="180"/>
        <v>2.9249999999999998</v>
      </c>
      <c r="S2927">
        <f t="shared" si="181"/>
        <v>-1.1293053434183988</v>
      </c>
    </row>
    <row r="2928" spans="1:19" x14ac:dyDescent="0.3">
      <c r="A2928">
        <v>2.9260000000000002</v>
      </c>
      <c r="B2928">
        <f>Uo*COS(2*PI()*Wn*Sheet2!A2928) + (Vo/Wn - (Po*(w/Wn))/(K*(1-(w/Wn)^2)))*SIN(2*PI()*Wn*Sheet2!A2928) +(Po*SIN(2*PI()*w*Sheet2!A2928))/(K*(1-(w/Wn)^2))</f>
        <v>-17.347282264258457</v>
      </c>
      <c r="C2928">
        <f t="shared" si="182"/>
        <v>-1.1437499332639456</v>
      </c>
      <c r="D2928">
        <f t="shared" si="183"/>
        <v>-186.82565413807211</v>
      </c>
      <c r="R2928">
        <f t="shared" si="180"/>
        <v>2.9260000000000002</v>
      </c>
      <c r="S2928">
        <f t="shared" si="181"/>
        <v>-1.1437499332639456</v>
      </c>
    </row>
    <row r="2929" spans="1:19" x14ac:dyDescent="0.3">
      <c r="A2929">
        <v>2.927</v>
      </c>
      <c r="B2929">
        <f>Uo*COS(2*PI()*Wn*Sheet2!A2929) + (Vo/Wn - (Po*(w/Wn))/(K*(1-(w/Wn)^2)))*SIN(2*PI()*Wn*Sheet2!A2929) +(Po*SIN(2*PI()*w*Sheet2!A2929))/(K*(1-(w/Wn)^2))</f>
        <v>-17.524343750494189</v>
      </c>
      <c r="C2929">
        <f t="shared" si="182"/>
        <v>-1.1577951350609919</v>
      </c>
      <c r="D2929">
        <f t="shared" si="183"/>
        <v>-189.11986543104786</v>
      </c>
      <c r="R2929">
        <f t="shared" si="180"/>
        <v>2.927</v>
      </c>
      <c r="S2929">
        <f t="shared" si="181"/>
        <v>-1.1577951350609919</v>
      </c>
    </row>
    <row r="2930" spans="1:19" x14ac:dyDescent="0.3">
      <c r="A2930">
        <v>2.9279999999999999</v>
      </c>
      <c r="B2930">
        <f>Uo*COS(2*PI()*Wn*Sheet2!A2930) + (Vo/Wn - (Po*(w/Wn))/(K*(1-(w/Wn)^2)))*SIN(2*PI()*Wn*Sheet2!A2930) +(Po*SIN(2*PI()*w*Sheet2!A2930))/(K*(1-(w/Wn)^2))</f>
        <v>-17.695680370203551</v>
      </c>
      <c r="C2930">
        <f t="shared" si="182"/>
        <v>-1.171437085880245</v>
      </c>
      <c r="D2930">
        <f t="shared" si="183"/>
        <v>-191.34820775606394</v>
      </c>
      <c r="R2930">
        <f t="shared" si="180"/>
        <v>2.9279999999999999</v>
      </c>
      <c r="S2930">
        <f t="shared" si="181"/>
        <v>-1.171437085880245</v>
      </c>
    </row>
    <row r="2931" spans="1:19" x14ac:dyDescent="0.3">
      <c r="A2931">
        <v>2.9289999999999998</v>
      </c>
      <c r="B2931">
        <f>Uo*COS(2*PI()*Wn*Sheet2!A2931) + (Vo/Wn - (Po*(w/Wn))/(K*(1-(w/Wn)^2)))*SIN(2*PI()*Wn*Sheet2!A2931) +(Po*SIN(2*PI()*w*Sheet2!A2931))/(K*(1-(w/Wn)^2))</f>
        <v>-17.861236151003681</v>
      </c>
      <c r="C2931">
        <f t="shared" si="182"/>
        <v>-1.1846720613835608</v>
      </c>
      <c r="D2931">
        <f t="shared" si="183"/>
        <v>-193.51007276168815</v>
      </c>
      <c r="R2931">
        <f t="shared" si="180"/>
        <v>2.9289999999999998</v>
      </c>
      <c r="S2931">
        <f t="shared" si="181"/>
        <v>-1.1846720613835608</v>
      </c>
    </row>
    <row r="2932" spans="1:19" x14ac:dyDescent="0.3">
      <c r="A2932">
        <v>2.93</v>
      </c>
      <c r="B2932">
        <f>Uo*COS(2*PI()*Wn*Sheet2!A2932) + (Vo/Wn - (Po*(w/Wn))/(K*(1-(w/Wn)^2)))*SIN(2*PI()*Wn*Sheet2!A2932) +(Po*SIN(2*PI()*w*Sheet2!A2932))/(K*(1-(w/Wn)^2))</f>
        <v>-18.020957009000625</v>
      </c>
      <c r="C2932">
        <f t="shared" si="182"/>
        <v>-1.1974964767892207</v>
      </c>
      <c r="D2932">
        <f t="shared" si="183"/>
        <v>-195.60487489231073</v>
      </c>
      <c r="R2932">
        <f t="shared" si="180"/>
        <v>2.93</v>
      </c>
      <c r="S2932">
        <f t="shared" si="181"/>
        <v>-1.1974964767892207</v>
      </c>
    </row>
    <row r="2933" spans="1:19" x14ac:dyDescent="0.3">
      <c r="A2933">
        <v>2.931</v>
      </c>
      <c r="B2933">
        <f>Uo*COS(2*PI()*Wn*Sheet2!A2933) + (Vo/Wn - (Po*(w/Wn))/(K*(1-(w/Wn)^2)))*SIN(2*PI()*Wn*Sheet2!A2933) +(Po*SIN(2*PI()*w*Sheet2!A2933))/(K*(1-(w/Wn)^2))</f>
        <v>-18.174790766457718</v>
      </c>
      <c r="C2933">
        <f t="shared" si="182"/>
        <v>-1.2099068877899402</v>
      </c>
      <c r="D2933">
        <f t="shared" si="183"/>
        <v>-197.63205153809656</v>
      </c>
      <c r="R2933">
        <f t="shared" si="180"/>
        <v>2.931</v>
      </c>
      <c r="S2933">
        <f t="shared" si="181"/>
        <v>-1.2099068877899402</v>
      </c>
    </row>
    <row r="2934" spans="1:19" x14ac:dyDescent="0.3">
      <c r="A2934">
        <v>2.9319999999999999</v>
      </c>
      <c r="B2934">
        <f>Uo*COS(2*PI()*Wn*Sheet2!A2934) + (Vo/Wn - (Po*(w/Wn))/(K*(1-(w/Wn)^2)))*SIN(2*PI()*Wn*Sheet2!A2934) +(Po*SIN(2*PI()*w*Sheet2!A2934))/(K*(1-(w/Wn)^2))</f>
        <v>-18.322687168840911</v>
      </c>
      <c r="C2934">
        <f t="shared" si="182"/>
        <v>-1.2218999914233957</v>
      </c>
      <c r="D2934">
        <f t="shared" si="183"/>
        <v>-199.5910631771809</v>
      </c>
      <c r="R2934">
        <f t="shared" si="180"/>
        <v>2.9319999999999999</v>
      </c>
      <c r="S2934">
        <f t="shared" si="181"/>
        <v>-1.2218999914233957</v>
      </c>
    </row>
    <row r="2935" spans="1:19" x14ac:dyDescent="0.3">
      <c r="A2935">
        <v>2.9329999999999998</v>
      </c>
      <c r="B2935">
        <f>Uo*COS(2*PI()*Wn*Sheet2!A2935) + (Vo/Wn - (Po*(w/Wn))/(K*(1-(w/Wn)^2)))*SIN(2*PI()*Wn*Sheet2!A2935) +(Po*SIN(2*PI()*w*Sheet2!A2935))/(K*(1-(w/Wn)^2))</f>
        <v>-18.464597901236143</v>
      </c>
      <c r="C2935">
        <f t="shared" si="182"/>
        <v>-1.2334726268950005</v>
      </c>
      <c r="D2935">
        <f t="shared" si="183"/>
        <v>-201.48139351006589</v>
      </c>
      <c r="R2935">
        <f t="shared" si="180"/>
        <v>2.9329999999999998</v>
      </c>
      <c r="S2935">
        <f t="shared" si="181"/>
        <v>-1.2334726268950005</v>
      </c>
    </row>
    <row r="2936" spans="1:19" x14ac:dyDescent="0.3">
      <c r="A2936">
        <v>2.9340000000000002</v>
      </c>
      <c r="B2936">
        <f>Uo*COS(2*PI()*Wn*Sheet2!A2936) + (Vo/Wn - (Po*(w/Wn))/(K*(1-(w/Wn)^2)))*SIN(2*PI()*Wn*Sheet2!A2936) +(Po*SIN(2*PI()*w*Sheet2!A2936))/(K*(1-(w/Wn)^2))</f>
        <v>-18.600476604132815</v>
      </c>
      <c r="C2936">
        <f t="shared" si="182"/>
        <v>-1.2446217763528205</v>
      </c>
      <c r="D2936">
        <f t="shared" si="183"/>
        <v>-203.30254958619889</v>
      </c>
      <c r="R2936">
        <f t="shared" si="180"/>
        <v>2.9340000000000002</v>
      </c>
      <c r="S2936">
        <f t="shared" si="181"/>
        <v>-1.2446217763528205</v>
      </c>
    </row>
    <row r="2937" spans="1:19" x14ac:dyDescent="0.3">
      <c r="A2937">
        <v>2.9350000000000001</v>
      </c>
      <c r="B2937">
        <f>Uo*COS(2*PI()*Wn*Sheet2!A2937) + (Vo/Wn - (Po*(w/Wn))/(K*(1-(w/Wn)^2)))*SIN(2*PI()*Wn*Sheet2!A2937) +(Po*SIN(2*PI()*w*Sheet2!A2937))/(K*(1-(w/Wn)^2))</f>
        <v>-18.730278888568197</v>
      </c>
      <c r="C2937">
        <f t="shared" si="182"/>
        <v>-1.2553445656144144</v>
      </c>
      <c r="D2937">
        <f t="shared" si="183"/>
        <v>-205.05406192269814</v>
      </c>
      <c r="R2937">
        <f t="shared" si="180"/>
        <v>2.9350000000000001</v>
      </c>
      <c r="S2937">
        <f t="shared" si="181"/>
        <v>-1.2553445656144144</v>
      </c>
    </row>
    <row r="2938" spans="1:19" x14ac:dyDescent="0.3">
      <c r="A2938">
        <v>2.9359999999999999</v>
      </c>
      <c r="B2938">
        <f>Uo*COS(2*PI()*Wn*Sheet2!A2938) + (Vo/Wn - (Po*(w/Wn))/(K*(1-(w/Wn)^2)))*SIN(2*PI()*Wn*Sheet2!A2938) +(Po*SIN(2*PI()*w*Sheet2!A2938))/(K*(1-(w/Wn)^2))</f>
        <v>-18.853962350629136</v>
      </c>
      <c r="C2938">
        <f t="shared" si="182"/>
        <v>-1.2656382648455065</v>
      </c>
      <c r="D2938">
        <f t="shared" si="183"/>
        <v>-206.73548461521037</v>
      </c>
      <c r="R2938">
        <f t="shared" si="180"/>
        <v>2.9359999999999999</v>
      </c>
      <c r="S2938">
        <f t="shared" si="181"/>
        <v>-1.2656382648455065</v>
      </c>
    </row>
    <row r="2939" spans="1:19" x14ac:dyDescent="0.3">
      <c r="A2939">
        <v>2.9369999999999998</v>
      </c>
      <c r="B2939">
        <f>Uo*COS(2*PI()*Wn*Sheet2!A2939) + (Vo/Wn - (Po*(w/Wn))/(K*(1-(w/Wn)^2)))*SIN(2*PI()*Wn*Sheet2!A2939) +(Po*SIN(2*PI()*w*Sheet2!A2939))/(K*(1-(w/Wn)^2))</f>
        <v>-18.971486585303978</v>
      </c>
      <c r="C2939">
        <f t="shared" si="182"/>
        <v>-1.27550028919028</v>
      </c>
      <c r="D2939">
        <f t="shared" si="183"/>
        <v>-208.3463954408661</v>
      </c>
      <c r="R2939">
        <f t="shared" si="180"/>
        <v>2.9369999999999998</v>
      </c>
      <c r="S2939">
        <f t="shared" si="181"/>
        <v>-1.27550028919028</v>
      </c>
    </row>
    <row r="2940" spans="1:19" x14ac:dyDescent="0.3">
      <c r="A2940">
        <v>2.9380000000000002</v>
      </c>
      <c r="B2940">
        <f>Uo*COS(2*PI()*Wn*Sheet2!A2940) + (Vo/Wn - (Po*(w/Wn))/(K*(1-(w/Wn)^2)))*SIN(2*PI()*Wn*Sheet2!A2940) +(Po*SIN(2*PI()*w*Sheet2!A2940))/(K*(1-(w/Wn)^2))</f>
        <v>-19.082813199682548</v>
      </c>
      <c r="C2940">
        <f t="shared" si="182"/>
        <v>-1.2849281993532558</v>
      </c>
      <c r="D2940">
        <f t="shared" si="183"/>
        <v>-209.8863959533264</v>
      </c>
      <c r="R2940">
        <f t="shared" si="180"/>
        <v>2.9380000000000002</v>
      </c>
      <c r="S2940">
        <f t="shared" si="181"/>
        <v>-1.2849281993532558</v>
      </c>
    </row>
    <row r="2941" spans="1:19" x14ac:dyDescent="0.3">
      <c r="A2941">
        <v>2.9390000000000001</v>
      </c>
      <c r="B2941">
        <f>Uo*COS(2*PI()*Wn*Sheet2!A2941) + (Vo/Wn - (Po*(w/Wn))/(K*(1-(w/Wn)^2)))*SIN(2*PI()*Wn*Sheet2!A2941) +(Po*SIN(2*PI()*w*Sheet2!A2941))/(K*(1-(w/Wn)^2))</f>
        <v>-19.187905825498039</v>
      </c>
      <c r="C2941">
        <f t="shared" si="182"/>
        <v>-1.2939197021325457</v>
      </c>
      <c r="D2941">
        <f t="shared" si="183"/>
        <v>-211.35511156988721</v>
      </c>
      <c r="R2941">
        <f t="shared" si="180"/>
        <v>2.9390000000000001</v>
      </c>
      <c r="S2941">
        <f t="shared" si="181"/>
        <v>-1.2939197021325457</v>
      </c>
    </row>
    <row r="2942" spans="1:19" x14ac:dyDescent="0.3">
      <c r="A2942">
        <v>2.94</v>
      </c>
      <c r="B2942">
        <f>Uo*COS(2*PI()*Wn*Sheet2!A2942) + (Vo/Wn - (Po*(w/Wn))/(K*(1-(w/Wn)^2)))*SIN(2*PI()*Wn*Sheet2!A2942) +(Po*SIN(2*PI()*w*Sheet2!A2942))/(K*(1-(w/Wn)^2))</f>
        <v>-19.286730131008003</v>
      </c>
      <c r="C2942">
        <f t="shared" si="182"/>
        <v>-1.3024726509045428</v>
      </c>
      <c r="D2942">
        <f t="shared" si="183"/>
        <v>-212.75219165065084</v>
      </c>
      <c r="R2942">
        <f t="shared" si="180"/>
        <v>2.94</v>
      </c>
      <c r="S2942">
        <f t="shared" si="181"/>
        <v>-1.3024726509045428</v>
      </c>
    </row>
    <row r="2943" spans="1:19" x14ac:dyDescent="0.3">
      <c r="A2943">
        <v>2.9409999999999998</v>
      </c>
      <c r="B2943">
        <f>Uo*COS(2*PI()*Wn*Sheet2!A2943) + (Vo/Wn - (Po*(w/Wn))/(K*(1-(w/Wn)^2)))*SIN(2*PI()*Wn*Sheet2!A2943) +(Po*SIN(2*PI()*w*Sheet2!A2943))/(K*(1-(w/Wn)^2))</f>
        <v>-19.379253832209912</v>
      </c>
      <c r="C2943">
        <f t="shared" si="182"/>
        <v>-1.3105850460598334</v>
      </c>
      <c r="D2943">
        <f t="shared" si="183"/>
        <v>-214.07730956973003</v>
      </c>
      <c r="R2943">
        <f t="shared" si="180"/>
        <v>2.9409999999999998</v>
      </c>
      <c r="S2943">
        <f t="shared" si="181"/>
        <v>-1.3105850460598334</v>
      </c>
    </row>
    <row r="2944" spans="1:19" x14ac:dyDescent="0.3">
      <c r="A2944">
        <v>2.9420000000000002</v>
      </c>
      <c r="B2944">
        <f>Uo*COS(2*PI()*Wn*Sheet2!A2944) + (Vo/Wn - (Po*(w/Wn))/(K*(1-(w/Wn)^2)))*SIN(2*PI()*Wn*Sheet2!A2944) +(Po*SIN(2*PI()*w*Sheet2!A2944))/(K*(1-(w/Wn)^2))</f>
        <v>-19.465446703387684</v>
      </c>
      <c r="C2944">
        <f t="shared" si="182"/>
        <v>-1.3182550353903679</v>
      </c>
      <c r="D2944">
        <f t="shared" si="183"/>
        <v>-215.33016277849038</v>
      </c>
      <c r="R2944">
        <f t="shared" si="180"/>
        <v>2.9420000000000002</v>
      </c>
      <c r="S2944">
        <f t="shared" si="181"/>
        <v>-1.3182550353903679</v>
      </c>
    </row>
    <row r="2945" spans="1:19" x14ac:dyDescent="0.3">
      <c r="A2945">
        <v>2.9430000000000001</v>
      </c>
      <c r="B2945">
        <f>Uo*COS(2*PI()*Wn*Sheet2!A2945) + (Vo/Wn - (Po*(w/Wn))/(K*(1-(w/Wn)^2)))*SIN(2*PI()*Wn*Sheet2!A2945) +(Po*SIN(2*PI()*w*Sheet2!A2945))/(K*(1-(w/Wn)^2))</f>
        <v>-19.545280586985612</v>
      </c>
      <c r="C2945">
        <f t="shared" si="182"/>
        <v>-1.3254809144278015</v>
      </c>
      <c r="D2945">
        <f t="shared" si="183"/>
        <v>-216.51047286081635</v>
      </c>
      <c r="R2945">
        <f t="shared" ref="R2945:R3008" si="184">A2945</f>
        <v>2.9430000000000001</v>
      </c>
      <c r="S2945">
        <f t="shared" ref="S2945:S3008" si="185">C2945</f>
        <v>-1.3254809144278015</v>
      </c>
    </row>
    <row r="2946" spans="1:19" x14ac:dyDescent="0.3">
      <c r="A2946">
        <v>2.944</v>
      </c>
      <c r="B2946">
        <f>Uo*COS(2*PI()*Wn*Sheet2!A2946) + (Vo/Wn - (Po*(w/Wn))/(K*(1-(w/Wn)^2)))*SIN(2*PI()*Wn*Sheet2!A2946) +(Po*SIN(2*PI()*w*Sheet2!A2946))/(K*(1-(w/Wn)^2))</f>
        <v>-19.618729402807332</v>
      </c>
      <c r="C2946">
        <f t="shared" ref="C2946:C3009" si="186">EXP(-zeta*Wn*A2946*2*PI())*($H$1*COS(wnD*2*PI()*A2946) + $H$2*SIN(wnD*2*PI()*A2946)) + $H$3*SIN(w*2*PI()*A2946) + $H$4*COS(w*2*PI()*A2946)</f>
        <v>-1.3322611267330333</v>
      </c>
      <c r="D2946">
        <f t="shared" ref="D2946:D3009" si="187">K*C2946</f>
        <v>-217.61798558040627</v>
      </c>
      <c r="R2946">
        <f t="shared" si="184"/>
        <v>2.944</v>
      </c>
      <c r="S2946">
        <f t="shared" si="185"/>
        <v>-1.3322611267330333</v>
      </c>
    </row>
    <row r="2947" spans="1:19" x14ac:dyDescent="0.3">
      <c r="A2947">
        <v>2.9449999999999998</v>
      </c>
      <c r="B2947">
        <f>Uo*COS(2*PI()*Wn*Sheet2!A2947) + (Vo/Wn - (Po*(w/Wn))/(K*(1-(w/Wn)^2)))*SIN(2*PI()*Wn*Sheet2!A2947) +(Po*SIN(2*PI()*w*Sheet2!A2947))/(K*(1-(w/Wn)^2))</f>
        <v>-19.685769156535333</v>
      </c>
      <c r="C2947">
        <f t="shared" si="186"/>
        <v>-1.3385942641368778</v>
      </c>
      <c r="D2947">
        <f t="shared" si="187"/>
        <v>-218.65247092008451</v>
      </c>
      <c r="R2947">
        <f t="shared" si="184"/>
        <v>2.9449999999999998</v>
      </c>
      <c r="S2947">
        <f t="shared" si="185"/>
        <v>-1.3385942641368778</v>
      </c>
    </row>
    <row r="2948" spans="1:19" x14ac:dyDescent="0.3">
      <c r="A2948">
        <v>2.9460000000000002</v>
      </c>
      <c r="B2948">
        <f>Uo*COS(2*PI()*Wn*Sheet2!A2948) + (Vo/Wn - (Po*(w/Wn))/(K*(1-(w/Wn)^2)))*SIN(2*PI()*Wn*Sheet2!A2948) +(Po*SIN(2*PI()*w*Sheet2!A2948))/(K*(1-(w/Wn)^2))</f>
        <v>-19.746377947569705</v>
      </c>
      <c r="C2948">
        <f t="shared" si="186"/>
        <v>-1.3444790669319404</v>
      </c>
      <c r="D2948">
        <f t="shared" si="187"/>
        <v>-219.61372311314361</v>
      </c>
      <c r="R2948">
        <f t="shared" si="184"/>
        <v>2.9460000000000002</v>
      </c>
      <c r="S2948">
        <f t="shared" si="185"/>
        <v>-1.3444790669319404</v>
      </c>
    </row>
    <row r="2949" spans="1:19" x14ac:dyDescent="0.3">
      <c r="A2949">
        <v>2.9470000000000001</v>
      </c>
      <c r="B2949">
        <f>Uo*COS(2*PI()*Wn*Sheet2!A2949) + (Vo/Wn - (Po*(w/Wn))/(K*(1-(w/Wn)^2)))*SIN(2*PI()*Wn*Sheet2!A2949) +(Po*SIN(2*PI()*w*Sheet2!A2949))/(K*(1-(w/Wn)^2))</f>
        <v>-19.800535976182459</v>
      </c>
      <c r="C2949">
        <f t="shared" si="186"/>
        <v>-1.3499144240156393</v>
      </c>
      <c r="D2949">
        <f t="shared" si="187"/>
        <v>-220.50156066670584</v>
      </c>
      <c r="R2949">
        <f t="shared" si="184"/>
        <v>2.9470000000000001</v>
      </c>
      <c r="S2949">
        <f t="shared" si="185"/>
        <v>-1.3499144240156393</v>
      </c>
    </row>
    <row r="2950" spans="1:19" x14ac:dyDescent="0.3">
      <c r="A2950">
        <v>2.948</v>
      </c>
      <c r="B2950">
        <f>Uo*COS(2*PI()*Wn*Sheet2!A2950) + (Vo/Wn - (Po*(w/Wn))/(K*(1-(w/Wn)^2)))*SIN(2*PI()*Wn*Sheet2!A2950) +(Po*SIN(2*PI()*w*Sheet2!A2950))/(K*(1-(w/Wn)^2))</f>
        <v>-19.848225549985802</v>
      </c>
      <c r="C2950">
        <f t="shared" si="186"/>
        <v>-1.3548993729845327</v>
      </c>
      <c r="D2950">
        <f t="shared" si="187"/>
        <v>-221.31582637713146</v>
      </c>
      <c r="R2950">
        <f t="shared" si="184"/>
        <v>2.948</v>
      </c>
      <c r="S2950">
        <f t="shared" si="185"/>
        <v>-1.3548993729845327</v>
      </c>
    </row>
    <row r="2951" spans="1:19" x14ac:dyDescent="0.3">
      <c r="A2951">
        <v>2.9489999999999998</v>
      </c>
      <c r="B2951">
        <f>Uo*COS(2*PI()*Wn*Sheet2!A2951) + (Vo/Wn - (Po*(w/Wn))/(K*(1-(w/Wn)^2)))*SIN(2*PI()*Wn*Sheet2!A2951) +(Po*SIN(2*PI()*w*Sheet2!A2951))/(K*(1-(w/Wn)^2))</f>
        <v>-19.889431089711934</v>
      </c>
      <c r="C2951">
        <f t="shared" si="186"/>
        <v>-1.3594331001798929</v>
      </c>
      <c r="D2951">
        <f t="shared" si="187"/>
        <v>-222.0563873374627</v>
      </c>
      <c r="R2951">
        <f t="shared" si="184"/>
        <v>2.9489999999999998</v>
      </c>
      <c r="S2951">
        <f t="shared" si="185"/>
        <v>-1.3594331001798929</v>
      </c>
    </row>
    <row r="2952" spans="1:19" x14ac:dyDescent="0.3">
      <c r="A2952">
        <v>2.95</v>
      </c>
      <c r="B2952">
        <f>Uo*COS(2*PI()*Wn*Sheet2!A2952) + (Vo/Wn - (Po*(w/Wn))/(K*(1-(w/Wn)^2)))*SIN(2*PI()*Wn*Sheet2!A2952) +(Po*SIN(2*PI()*w*Sheet2!A2952))/(K*(1-(w/Wn)^2))</f>
        <v>-19.92413913430245</v>
      </c>
      <c r="C2952">
        <f t="shared" si="186"/>
        <v>-1.3635149406846687</v>
      </c>
      <c r="D2952">
        <f t="shared" si="187"/>
        <v>-222.72313493692772</v>
      </c>
      <c r="R2952">
        <f t="shared" si="184"/>
        <v>2.95</v>
      </c>
      <c r="S2952">
        <f t="shared" si="185"/>
        <v>-1.3635149406846687</v>
      </c>
    </row>
    <row r="2953" spans="1:19" x14ac:dyDescent="0.3">
      <c r="A2953">
        <v>2.9510000000000001</v>
      </c>
      <c r="B2953">
        <f>Uo*COS(2*PI()*Wn*Sheet2!A2953) + (Vo/Wn - (Po*(w/Wn))/(K*(1-(w/Wn)^2)))*SIN(2*PI()*Wn*Sheet2!A2953) +(Po*SIN(2*PI()*w*Sheet2!A2953))/(K*(1-(w/Wn)^2))</f>
        <v>-19.952338345305748</v>
      </c>
      <c r="C2953">
        <f t="shared" si="186"/>
        <v>-1.3671443782719024</v>
      </c>
      <c r="D2953">
        <f t="shared" si="187"/>
        <v>-223.31598485251479</v>
      </c>
      <c r="R2953">
        <f t="shared" si="184"/>
        <v>2.9510000000000001</v>
      </c>
      <c r="S2953">
        <f t="shared" si="185"/>
        <v>-1.3671443782719024</v>
      </c>
    </row>
    <row r="2954" spans="1:19" x14ac:dyDescent="0.3">
      <c r="A2954">
        <v>2.952</v>
      </c>
      <c r="B2954">
        <f>Uo*COS(2*PI()*Wn*Sheet2!A2954) + (Vo/Wn - (Po*(w/Wn))/(K*(1-(w/Wn)^2)))*SIN(2*PI()*Wn*Sheet2!A2954) +(Po*SIN(2*PI()*w*Sheet2!A2954))/(K*(1-(w/Wn)^2))</f>
        <v>-19.974019510581225</v>
      </c>
      <c r="C2954">
        <f t="shared" si="186"/>
        <v>-1.3703210453047141</v>
      </c>
      <c r="D2954">
        <f t="shared" si="187"/>
        <v>-223.83487703263518</v>
      </c>
      <c r="R2954">
        <f t="shared" si="184"/>
        <v>2.952</v>
      </c>
      <c r="S2954">
        <f t="shared" si="185"/>
        <v>-1.3703210453047141</v>
      </c>
    </row>
    <row r="2955" spans="1:19" x14ac:dyDescent="0.3">
      <c r="A2955">
        <v>2.9529999999999998</v>
      </c>
      <c r="B2955">
        <f>Uo*COS(2*PI()*Wn*Sheet2!A2955) + (Vo/Wn - (Po*(w/Wn))/(K*(1-(w/Wn)^2)))*SIN(2*PI()*Wn*Sheet2!A2955) +(Po*SIN(2*PI()*w*Sheet2!A2955))/(K*(1-(w/Wn)^2))</f>
        <v>-19.989175547308584</v>
      </c>
      <c r="C2955">
        <f t="shared" si="186"/>
        <v>-1.3730447225879652</v>
      </c>
      <c r="D2955">
        <f t="shared" si="187"/>
        <v>-224.27977567289327</v>
      </c>
      <c r="R2955">
        <f t="shared" si="184"/>
        <v>2.9529999999999998</v>
      </c>
      <c r="S2955">
        <f t="shared" si="185"/>
        <v>-1.3730447225879652</v>
      </c>
    </row>
    <row r="2956" spans="1:19" x14ac:dyDescent="0.3">
      <c r="A2956">
        <v>2.9540000000000002</v>
      </c>
      <c r="B2956">
        <f>Uo*COS(2*PI()*Wn*Sheet2!A2956) + (Vo/Wn - (Po*(w/Wn))/(K*(1-(w/Wn)^2)))*SIN(2*PI()*Wn*Sheet2!A2956) +(Po*SIN(2*PI()*w*Sheet2!A2956))/(K*(1-(w/Wn)^2))</f>
        <v>-19.997801504301723</v>
      </c>
      <c r="C2956">
        <f t="shared" si="186"/>
        <v>-1.3753153391717374</v>
      </c>
      <c r="D2956">
        <f t="shared" si="187"/>
        <v>-224.65066918398568</v>
      </c>
      <c r="R2956">
        <f t="shared" si="184"/>
        <v>2.9540000000000002</v>
      </c>
      <c r="S2956">
        <f t="shared" si="185"/>
        <v>-1.3753153391717374</v>
      </c>
    </row>
    <row r="2957" spans="1:19" x14ac:dyDescent="0.3">
      <c r="A2957">
        <v>2.9550000000000001</v>
      </c>
      <c r="B2957">
        <f>Uo*COS(2*PI()*Wn*Sheet2!A2957) + (Vo/Wn - (Po*(w/Wn))/(K*(1-(w/Wn)^2)))*SIN(2*PI()*Wn*Sheet2!A2957) +(Po*SIN(2*PI()*w*Sheet2!A2957))/(K*(1-(w/Wn)^2))</f>
        <v>-19.999894563626167</v>
      </c>
      <c r="C2957">
        <f t="shared" si="186"/>
        <v>-1.3771329721067904</v>
      </c>
      <c r="D2957">
        <f t="shared" si="187"/>
        <v>-224.94757015175679</v>
      </c>
      <c r="R2957">
        <f t="shared" si="184"/>
        <v>2.9550000000000001</v>
      </c>
      <c r="S2957">
        <f t="shared" si="185"/>
        <v>-1.3771329721067904</v>
      </c>
    </row>
    <row r="2958" spans="1:19" x14ac:dyDescent="0.3">
      <c r="A2958">
        <v>2.956</v>
      </c>
      <c r="B2958">
        <f>Uo*COS(2*PI()*Wn*Sheet2!A2958) + (Vo/Wn - (Po*(w/Wn))/(K*(1-(w/Wn)^2)))*SIN(2*PI()*Wn*Sheet2!A2958) +(Po*SIN(2*PI()*w*Sheet2!A2958))/(K*(1-(w/Wn)^2))</f>
        <v>-19.995454041519633</v>
      </c>
      <c r="C2958">
        <f t="shared" si="186"/>
        <v>-1.3784978461521447</v>
      </c>
      <c r="D2958">
        <f t="shared" si="187"/>
        <v>-225.17051528943361</v>
      </c>
      <c r="R2958">
        <f t="shared" si="184"/>
        <v>2.956</v>
      </c>
      <c r="S2958">
        <f t="shared" si="185"/>
        <v>-1.3784978461521447</v>
      </c>
    </row>
    <row r="2959" spans="1:19" x14ac:dyDescent="0.3">
      <c r="A2959">
        <v>2.9569999999999999</v>
      </c>
      <c r="B2959">
        <f>Uo*COS(2*PI()*Wn*Sheet2!A2959) + (Vo/Wn - (Po*(w/Wn))/(K*(1-(w/Wn)^2)))*SIN(2*PI()*Wn*Sheet2!A2959) +(Po*SIN(2*PI()*w*Sheet2!A2959))/(K*(1-(w/Wn)^2))</f>
        <v>-19.984481388615404</v>
      </c>
      <c r="C2959">
        <f t="shared" si="186"/>
        <v>-1.3794103334349939</v>
      </c>
      <c r="D2959">
        <f t="shared" si="187"/>
        <v>-225.31956538207447</v>
      </c>
      <c r="R2959">
        <f t="shared" si="184"/>
        <v>2.9569999999999999</v>
      </c>
      <c r="S2959">
        <f t="shared" si="185"/>
        <v>-1.3794103334349939</v>
      </c>
    </row>
    <row r="2960" spans="1:19" x14ac:dyDescent="0.3">
      <c r="A2960">
        <v>2.9580000000000002</v>
      </c>
      <c r="B2960">
        <f>Uo*COS(2*PI()*Wn*Sheet2!A2960) + (Vo/Wn - (Po*(w/Wn))/(K*(1-(w/Wn)^2)))*SIN(2*PI()*Wn*Sheet2!A2960) +(Po*SIN(2*PI()*w*Sheet2!A2960))/(K*(1-(w/Wn)^2))</f>
        <v>-19.96698018946844</v>
      </c>
      <c r="C2960">
        <f t="shared" si="186"/>
        <v>-1.3798709530631224</v>
      </c>
      <c r="D2960">
        <f t="shared" si="187"/>
        <v>-225.39480522325931</v>
      </c>
      <c r="R2960">
        <f t="shared" si="184"/>
        <v>2.9580000000000002</v>
      </c>
      <c r="S2960">
        <f t="shared" si="185"/>
        <v>-1.3798709530631224</v>
      </c>
    </row>
    <row r="2961" spans="1:19" x14ac:dyDescent="0.3">
      <c r="A2961">
        <v>2.9590000000000001</v>
      </c>
      <c r="B2961">
        <f>Uo*COS(2*PI()*Wn*Sheet2!A2961) + (Vo/Wn - (Po*(w/Wn))/(K*(1-(w/Wn)^2)))*SIN(2*PI()*Wn*Sheet2!A2961) +(Po*SIN(2*PI()*w*Sheet2!A2961))/(K*(1-(w/Wn)^2))</f>
        <v>-19.942956161384387</v>
      </c>
      <c r="C2961">
        <f t="shared" si="186"/>
        <v>-1.3798803706900578</v>
      </c>
      <c r="D2961">
        <f t="shared" si="187"/>
        <v>-225.39634354405956</v>
      </c>
      <c r="R2961">
        <f t="shared" si="184"/>
        <v>2.9590000000000001</v>
      </c>
      <c r="S2961">
        <f t="shared" si="185"/>
        <v>-1.3798803706900578</v>
      </c>
    </row>
    <row r="2962" spans="1:19" x14ac:dyDescent="0.3">
      <c r="A2962">
        <v>2.96</v>
      </c>
      <c r="B2962">
        <f>Uo*COS(2*PI()*Wn*Sheet2!A2962) + (Vo/Wn - (Po*(w/Wn))/(K*(1-(w/Wn)^2)))*SIN(2*PI()*Wn*Sheet2!A2962) +(Po*SIN(2*PI()*w*Sheet2!A2962))/(K*(1-(w/Wn)^2))</f>
        <v>-19.912417152551779</v>
      </c>
      <c r="C2962">
        <f t="shared" si="186"/>
        <v>-1.3794393980331743</v>
      </c>
      <c r="D2962">
        <f t="shared" si="187"/>
        <v>-225.3243129343229</v>
      </c>
      <c r="R2962">
        <f t="shared" si="184"/>
        <v>2.96</v>
      </c>
      <c r="S2962">
        <f t="shared" si="185"/>
        <v>-1.3794393980331743</v>
      </c>
    </row>
    <row r="2963" spans="1:19" x14ac:dyDescent="0.3">
      <c r="A2963">
        <v>2.9609999999999999</v>
      </c>
      <c r="B2963">
        <f>Uo*COS(2*PI()*Wn*Sheet2!A2963) + (Vo/Wn - (Po*(w/Wn))/(K*(1-(w/Wn)^2)))*SIN(2*PI()*Wn*Sheet2!A2963) +(Po*SIN(2*PI()*w*Sheet2!A2963))/(K*(1-(w/Wn)^2))</f>
        <v>-19.875373139478292</v>
      </c>
      <c r="C2963">
        <f t="shared" si="186"/>
        <v>-1.3785489923449943</v>
      </c>
      <c r="D2963">
        <f t="shared" si="187"/>
        <v>-225.17886975631302</v>
      </c>
      <c r="R2963">
        <f t="shared" si="184"/>
        <v>2.9609999999999999</v>
      </c>
      <c r="S2963">
        <f t="shared" si="185"/>
        <v>-1.3785489923449943</v>
      </c>
    </row>
    <row r="2964" spans="1:19" x14ac:dyDescent="0.3">
      <c r="A2964">
        <v>2.9620000000000002</v>
      </c>
      <c r="B2964">
        <f>Uo*COS(2*PI()*Wn*Sheet2!A2964) + (Vo/Wn - (Po*(w/Wn))/(K*(1-(w/Wn)^2)))*SIN(2*PI()*Wn*Sheet2!A2964) +(Po*SIN(2*PI()*w*Sheet2!A2964))/(K*(1-(w/Wn)^2))</f>
        <v>-19.831836223731475</v>
      </c>
      <c r="C2964">
        <f t="shared" si="186"/>
        <v>-1.3772102558379438</v>
      </c>
      <c r="D2964">
        <f t="shared" si="187"/>
        <v>-224.96019405074645</v>
      </c>
      <c r="R2964">
        <f t="shared" si="184"/>
        <v>2.9620000000000002</v>
      </c>
      <c r="S2964">
        <f t="shared" si="185"/>
        <v>-1.3772102558379438</v>
      </c>
    </row>
    <row r="2965" spans="1:19" x14ac:dyDescent="0.3">
      <c r="A2965">
        <v>2.9630000000000001</v>
      </c>
      <c r="B2965">
        <f>Uo*COS(2*PI()*Wn*Sheet2!A2965) + (Vo/Wn - (Po*(w/Wn))/(K*(1-(w/Wn)^2)))*SIN(2*PI()*Wn*Sheet2!A2965) +(Po*SIN(2*PI()*w*Sheet2!A2965))/(K*(1-(w/Wn)^2))</f>
        <v>-19.781820627985581</v>
      </c>
      <c r="C2965">
        <f t="shared" si="186"/>
        <v>-1.375424435062836</v>
      </c>
      <c r="D2965">
        <f t="shared" si="187"/>
        <v>-224.66848943527094</v>
      </c>
      <c r="R2965">
        <f t="shared" si="184"/>
        <v>2.9630000000000001</v>
      </c>
      <c r="S2965">
        <f t="shared" si="185"/>
        <v>-1.375424435062836</v>
      </c>
    </row>
    <row r="2966" spans="1:19" x14ac:dyDescent="0.3">
      <c r="A2966">
        <v>2.964</v>
      </c>
      <c r="B2966">
        <f>Uo*COS(2*PI()*Wn*Sheet2!A2966) + (Vo/Wn - (Po*(w/Wn))/(K*(1-(w/Wn)^2)))*SIN(2*PI()*Wn*Sheet2!A2966) +(Po*SIN(2*PI()*w*Sheet2!A2966))/(K*(1-(w/Wn)^2))</f>
        <v>-19.725342691375111</v>
      </c>
      <c r="C2966">
        <f t="shared" si="186"/>
        <v>-1.3731929202413602</v>
      </c>
      <c r="D2966">
        <f t="shared" si="187"/>
        <v>-224.3039829954312</v>
      </c>
      <c r="R2966">
        <f t="shared" si="184"/>
        <v>2.964</v>
      </c>
      <c r="S2966">
        <f t="shared" si="185"/>
        <v>-1.3731929202413602</v>
      </c>
    </row>
    <row r="2967" spans="1:19" x14ac:dyDescent="0.3">
      <c r="A2967">
        <v>2.9649999999999999</v>
      </c>
      <c r="B2967">
        <f>Uo*COS(2*PI()*Wn*Sheet2!A2967) + (Vo/Wn - (Po*(w/Wn))/(K*(1-(w/Wn)^2)))*SIN(2*PI()*Wn*Sheet2!A2967) +(Po*SIN(2*PI()*w*Sheet2!A2967))/(K*(1-(w/Wn)^2))</f>
        <v>-19.662420864157188</v>
      </c>
      <c r="C2967">
        <f t="shared" si="186"/>
        <v>-1.3705172445528968</v>
      </c>
      <c r="D2967">
        <f t="shared" si="187"/>
        <v>-223.86692516817345</v>
      </c>
      <c r="R2967">
        <f t="shared" si="184"/>
        <v>2.9649999999999999</v>
      </c>
      <c r="S2967">
        <f t="shared" si="185"/>
        <v>-1.3705172445528968</v>
      </c>
    </row>
    <row r="2968" spans="1:19" x14ac:dyDescent="0.3">
      <c r="A2968">
        <v>2.9660000000000002</v>
      </c>
      <c r="B2968">
        <f>Uo*COS(2*PI()*Wn*Sheet2!A2968) + (Vo/Wn - (Po*(w/Wn))/(K*(1-(w/Wn)^2)))*SIN(2*PI()*Wn*Sheet2!A2968) +(Po*SIN(2*PI()*w*Sheet2!A2968))/(K*(1-(w/Wn)^2))</f>
        <v>-19.593075701684295</v>
      </c>
      <c r="C2968">
        <f t="shared" si="186"/>
        <v>-1.3673990833759424</v>
      </c>
      <c r="D2968">
        <f t="shared" si="187"/>
        <v>-223.35758961793653</v>
      </c>
      <c r="R2968">
        <f t="shared" si="184"/>
        <v>2.9660000000000002</v>
      </c>
      <c r="S2968">
        <f t="shared" si="185"/>
        <v>-1.3673990833759424</v>
      </c>
    </row>
    <row r="2969" spans="1:19" x14ac:dyDescent="0.3">
      <c r="A2969">
        <v>2.9670000000000001</v>
      </c>
      <c r="B2969">
        <f>Uo*COS(2*PI()*Wn*Sheet2!A2969) + (Vo/Wn - (Po*(w/Wn))/(K*(1-(w/Wn)^2)))*SIN(2*PI()*Wn*Sheet2!A2969) +(Po*SIN(2*PI()*w*Sheet2!A2969))/(K*(1-(w/Wn)^2))</f>
        <v>-19.517329857689184</v>
      </c>
      <c r="C2969">
        <f t="shared" si="186"/>
        <v>-1.3638402534845164</v>
      </c>
      <c r="D2969">
        <f t="shared" si="187"/>
        <v>-222.77627310538873</v>
      </c>
      <c r="R2969">
        <f t="shared" si="184"/>
        <v>2.9670000000000001</v>
      </c>
      <c r="S2969">
        <f t="shared" si="185"/>
        <v>-1.3638402534845164</v>
      </c>
    </row>
    <row r="2970" spans="1:19" x14ac:dyDescent="0.3">
      <c r="A2970">
        <v>2.968</v>
      </c>
      <c r="B2970">
        <f>Uo*COS(2*PI()*Wn*Sheet2!A2970) + (Vo/Wn - (Po*(w/Wn))/(K*(1-(w/Wn)^2)))*SIN(2*PI()*Wn*Sheet2!A2970) +(Po*SIN(2*PI()*w*Sheet2!A2970))/(K*(1-(w/Wn)^2))</f>
        <v>-19.435208076884237</v>
      </c>
      <c r="C2970">
        <f t="shared" si="186"/>
        <v>-1.359842712199848</v>
      </c>
      <c r="D2970">
        <f t="shared" si="187"/>
        <v>-222.12329534886038</v>
      </c>
      <c r="R2970">
        <f t="shared" si="184"/>
        <v>2.968</v>
      </c>
      <c r="S2970">
        <f t="shared" si="185"/>
        <v>-1.359842712199848</v>
      </c>
    </row>
    <row r="2971" spans="1:19" x14ac:dyDescent="0.3">
      <c r="A2971">
        <v>2.9689999999999999</v>
      </c>
      <c r="B2971">
        <f>Uo*COS(2*PI()*Wn*Sheet2!A2971) + (Vo/Wn - (Po*(w/Wn))/(K*(1-(w/Wn)^2)))*SIN(2*PI()*Wn*Sheet2!A2971) +(Po*SIN(2*PI()*w*Sheet2!A2971))/(K*(1-(w/Wn)^2))</f>
        <v>-19.346737186878055</v>
      </c>
      <c r="C2971">
        <f t="shared" si="186"/>
        <v>-1.3554085564977292</v>
      </c>
      <c r="D2971">
        <f t="shared" si="187"/>
        <v>-221.39899887853463</v>
      </c>
      <c r="R2971">
        <f t="shared" si="184"/>
        <v>2.9689999999999999</v>
      </c>
      <c r="S2971">
        <f t="shared" si="185"/>
        <v>-1.3554085564977292</v>
      </c>
    </row>
    <row r="2972" spans="1:19" x14ac:dyDescent="0.3">
      <c r="A2972">
        <v>2.97</v>
      </c>
      <c r="B2972">
        <f>Uo*COS(2*PI()*Wn*Sheet2!A2972) + (Vo/Wn - (Po*(w/Wn))/(K*(1-(w/Wn)^2)))*SIN(2*PI()*Wn*Sheet2!A2972) +(Po*SIN(2*PI()*w*Sheet2!A2972))/(K*(1-(w/Wn)^2))</f>
        <v>-19.251946089411103</v>
      </c>
      <c r="C2972">
        <f t="shared" si="186"/>
        <v>-1.3505400220719062</v>
      </c>
      <c r="D2972">
        <f t="shared" si="187"/>
        <v>-220.60374888345706</v>
      </c>
      <c r="R2972">
        <f t="shared" si="184"/>
        <v>2.97</v>
      </c>
      <c r="S2972">
        <f t="shared" si="185"/>
        <v>-1.3505400220719062</v>
      </c>
    </row>
    <row r="2973" spans="1:19" x14ac:dyDescent="0.3">
      <c r="A2973">
        <v>2.9710000000000001</v>
      </c>
      <c r="B2973">
        <f>Uo*COS(2*PI()*Wn*Sheet2!A2973) + (Vo/Wn - (Po*(w/Wn))/(K*(1-(w/Wn)^2)))*SIN(2*PI()*Wn*Sheet2!A2973) +(Po*SIN(2*PI()*w*Sheet2!A2973))/(K*(1-(w/Wn)^2))</f>
        <v>-19.150865750914484</v>
      </c>
      <c r="C2973">
        <f t="shared" si="186"/>
        <v>-1.3452394823538862</v>
      </c>
      <c r="D2973">
        <f t="shared" si="187"/>
        <v>-219.73793305142644</v>
      </c>
      <c r="R2973">
        <f t="shared" si="184"/>
        <v>2.9710000000000001</v>
      </c>
      <c r="S2973">
        <f t="shared" si="185"/>
        <v>-1.3452394823538862</v>
      </c>
    </row>
    <row r="2974" spans="1:19" x14ac:dyDescent="0.3">
      <c r="A2974">
        <v>2.972</v>
      </c>
      <c r="B2974">
        <f>Uo*COS(2*PI()*Wn*Sheet2!A2974) + (Vo/Wn - (Po*(w/Wn))/(K*(1-(w/Wn)^2)))*SIN(2*PI()*Wn*Sheet2!A2974) +(Po*SIN(2*PI()*w*Sheet2!A2974))/(K*(1-(w/Wn)^2))</f>
        <v>-19.043529192393347</v>
      </c>
      <c r="C2974">
        <f t="shared" si="186"/>
        <v>-1.3395094474895322</v>
      </c>
      <c r="D2974">
        <f t="shared" si="187"/>
        <v>-218.80196140182645</v>
      </c>
      <c r="R2974">
        <f t="shared" si="184"/>
        <v>2.972</v>
      </c>
      <c r="S2974">
        <f t="shared" si="185"/>
        <v>-1.3395094474895322</v>
      </c>
    </row>
    <row r="2975" spans="1:19" x14ac:dyDescent="0.3">
      <c r="A2975">
        <v>2.9729999999999999</v>
      </c>
      <c r="B2975">
        <f>Uo*COS(2*PI()*Wn*Sheet2!A2975) + (Vo/Wn - (Po*(w/Wn))/(K*(1-(w/Wn)^2)))*SIN(2*PI()*Wn*Sheet2!A2975) +(Po*SIN(2*PI()*w*Sheet2!A2975))/(K*(1-(w/Wn)^2))</f>
        <v>-18.929971478639775</v>
      </c>
      <c r="C2975">
        <f t="shared" si="186"/>
        <v>-1.3333525632729273</v>
      </c>
      <c r="D2975">
        <f t="shared" si="187"/>
        <v>-217.7962661114783</v>
      </c>
      <c r="R2975">
        <f t="shared" si="184"/>
        <v>2.9729999999999999</v>
      </c>
      <c r="S2975">
        <f t="shared" si="185"/>
        <v>-1.3333525632729273</v>
      </c>
    </row>
    <row r="2976" spans="1:19" x14ac:dyDescent="0.3">
      <c r="A2976">
        <v>2.9740000000000002</v>
      </c>
      <c r="B2976">
        <f>Uo*COS(2*PI()*Wn*Sheet2!A2976) + (Vo/Wn - (Po*(w/Wn))/(K*(1-(w/Wn)^2)))*SIN(2*PI()*Wn*Sheet2!A2976) +(Po*SIN(2*PI()*w*Sheet2!A2976))/(K*(1-(w/Wn)^2))</f>
        <v>-18.810229706777882</v>
      </c>
      <c r="C2976">
        <f t="shared" si="186"/>
        <v>-1.3267716100378548</v>
      </c>
      <c r="D2976">
        <f t="shared" si="187"/>
        <v>-216.72130133356933</v>
      </c>
      <c r="R2976">
        <f t="shared" si="184"/>
        <v>2.9740000000000002</v>
      </c>
      <c r="S2976">
        <f t="shared" si="185"/>
        <v>-1.3267716100378548</v>
      </c>
    </row>
    <row r="2977" spans="1:19" x14ac:dyDescent="0.3">
      <c r="A2977">
        <v>2.9750000000000001</v>
      </c>
      <c r="B2977">
        <f>Uo*COS(2*PI()*Wn*Sheet2!A2977) + (Vo/Wn - (Po*(w/Wn))/(K*(1-(w/Wn)^2)))*SIN(2*PI()*Wn*Sheet2!A2977) +(Po*SIN(2*PI()*w*Sheet2!A2977))/(K*(1-(w/Wn)^2))</f>
        <v>-18.684342994144789</v>
      </c>
      <c r="C2977">
        <f t="shared" si="186"/>
        <v>-1.319769501507394</v>
      </c>
      <c r="D2977">
        <f t="shared" si="187"/>
        <v>-215.57754300974065</v>
      </c>
      <c r="R2977">
        <f t="shared" si="184"/>
        <v>2.9750000000000001</v>
      </c>
      <c r="S2977">
        <f t="shared" si="185"/>
        <v>-1.319769501507394</v>
      </c>
    </row>
    <row r="2978" spans="1:19" x14ac:dyDescent="0.3">
      <c r="A2978">
        <v>2.976</v>
      </c>
      <c r="B2978">
        <f>Uo*COS(2*PI()*Wn*Sheet2!A2978) + (Vo/Wn - (Po*(w/Wn))/(K*(1-(w/Wn)^2)))*SIN(2*PI()*Wn*Sheet2!A2978) +(Po*SIN(2*PI()*w*Sheet2!A2978))/(K*(1-(w/Wn)^2))</f>
        <v>-18.552352465511607</v>
      </c>
      <c r="C2978">
        <f t="shared" si="186"/>
        <v>-1.3123492836020323</v>
      </c>
      <c r="D2978">
        <f t="shared" si="187"/>
        <v>-214.36548867539838</v>
      </c>
      <c r="R2978">
        <f t="shared" si="184"/>
        <v>2.976</v>
      </c>
      <c r="S2978">
        <f t="shared" si="185"/>
        <v>-1.3123492836020323</v>
      </c>
    </row>
    <row r="2979" spans="1:19" x14ac:dyDescent="0.3">
      <c r="A2979">
        <v>2.9769999999999999</v>
      </c>
      <c r="B2979">
        <f>Uo*COS(2*PI()*Wn*Sheet2!A2979) + (Vo/Wn - (Po*(w/Wn))/(K*(1-(w/Wn)^2)))*SIN(2*PI()*Wn*Sheet2!A2979) +(Po*SIN(2*PI()*w*Sheet2!A2979))/(K*(1-(w/Wn)^2))</f>
        <v>-18.414301239649099</v>
      </c>
      <c r="C2979">
        <f t="shared" si="186"/>
        <v>-1.3045141332068009</v>
      </c>
      <c r="D2979">
        <f t="shared" si="187"/>
        <v>-213.08565725833157</v>
      </c>
      <c r="R2979">
        <f t="shared" si="184"/>
        <v>2.9769999999999999</v>
      </c>
      <c r="S2979">
        <f t="shared" si="185"/>
        <v>-1.3045141332068009</v>
      </c>
    </row>
    <row r="2980" spans="1:19" x14ac:dyDescent="0.3">
      <c r="A2980">
        <v>2.9780000000000002</v>
      </c>
      <c r="B2980">
        <f>Uo*COS(2*PI()*Wn*Sheet2!A2980) + (Vo/Wn - (Po*(w/Wn))/(K*(1-(w/Wn)^2)))*SIN(2*PI()*Wn*Sheet2!A2980) +(Po*SIN(2*PI()*w*Sheet2!A2980))/(K*(1-(w/Wn)^2))</f>
        <v>-18.270234415241141</v>
      </c>
      <c r="C2980">
        <f t="shared" si="186"/>
        <v>-1.2962673568978833</v>
      </c>
      <c r="D2980">
        <f t="shared" si="187"/>
        <v>-211.73858887071023</v>
      </c>
      <c r="R2980">
        <f t="shared" si="184"/>
        <v>2.9780000000000002</v>
      </c>
      <c r="S2980">
        <f t="shared" si="185"/>
        <v>-1.2962673568978833</v>
      </c>
    </row>
    <row r="2981" spans="1:19" x14ac:dyDescent="0.3">
      <c r="A2981">
        <v>2.9790000000000001</v>
      </c>
      <c r="B2981">
        <f>Uo*COS(2*PI()*Wn*Sheet2!A2981) + (Vo/Wn - (Po*(w/Wn))/(K*(1-(w/Wn)^2)))*SIN(2*PI()*Wn*Sheet2!A2981) +(Po*SIN(2*PI()*w*Sheet2!A2981))/(K*(1-(w/Wn)^2))</f>
        <v>-18.120199056152511</v>
      </c>
      <c r="C2981">
        <f t="shared" si="186"/>
        <v>-1.2876123896292089</v>
      </c>
      <c r="D2981">
        <f t="shared" si="187"/>
        <v>-210.32484459454724</v>
      </c>
      <c r="R2981">
        <f t="shared" si="184"/>
        <v>2.9790000000000001</v>
      </c>
      <c r="S2981">
        <f t="shared" si="185"/>
        <v>-1.2876123896292089</v>
      </c>
    </row>
    <row r="2982" spans="1:19" x14ac:dyDescent="0.3">
      <c r="A2982">
        <v>2.98</v>
      </c>
      <c r="B2982">
        <f>Uo*COS(2*PI()*Wn*Sheet2!A2982) + (Vo/Wn - (Po*(w/Wn))/(K*(1-(w/Wn)^2)))*SIN(2*PI()*Wn*Sheet2!A2982) +(Po*SIN(2*PI()*w*Sheet2!A2982))/(K*(1-(w/Wn)^2))</f>
        <v>-17.964244176053302</v>
      </c>
      <c r="C2982">
        <f t="shared" si="186"/>
        <v>-1.2785527933794893</v>
      </c>
      <c r="D2982">
        <f t="shared" si="187"/>
        <v>-208.84500626069871</v>
      </c>
      <c r="R2982">
        <f t="shared" si="184"/>
        <v>2.98</v>
      </c>
      <c r="S2982">
        <f t="shared" si="185"/>
        <v>-1.2785527933794893</v>
      </c>
    </row>
    <row r="2983" spans="1:19" x14ac:dyDescent="0.3">
      <c r="A2983">
        <v>2.9809999999999999</v>
      </c>
      <c r="B2983">
        <f>Uo*COS(2*PI()*Wn*Sheet2!A2983) + (Vo/Wn - (Po*(w/Wn))/(K*(1-(w/Wn)^2)))*SIN(2*PI()*Wn*Sheet2!A2983) +(Po*SIN(2*PI()*w*Sheet2!A2983))/(K*(1-(w/Wn)^2))</f>
        <v>-17.802420722407458</v>
      </c>
      <c r="C2983">
        <f t="shared" si="186"/>
        <v>-1.2690922557602553</v>
      </c>
      <c r="D2983">
        <f t="shared" si="187"/>
        <v>-207.29967622149394</v>
      </c>
      <c r="R2983">
        <f t="shared" si="184"/>
        <v>2.9809999999999999</v>
      </c>
      <c r="S2983">
        <f t="shared" si="185"/>
        <v>-1.2690922557602553</v>
      </c>
    </row>
    <row r="2984" spans="1:19" x14ac:dyDescent="0.3">
      <c r="A2984">
        <v>2.9820000000000002</v>
      </c>
      <c r="B2984">
        <f>Uo*COS(2*PI()*Wn*Sheet2!A2984) + (Vo/Wn - (Po*(w/Wn))/(K*(1-(w/Wn)^2)))*SIN(2*PI()*Wn*Sheet2!A2984) +(Po*SIN(2*PI()*w*Sheet2!A2984))/(K*(1-(w/Wn)^2))</f>
        <v>-17.634781559829335</v>
      </c>
      <c r="C2984">
        <f t="shared" si="186"/>
        <v>-1.2592345885854115</v>
      </c>
      <c r="D2984">
        <f t="shared" si="187"/>
        <v>-205.68947711707958</v>
      </c>
      <c r="R2984">
        <f t="shared" si="184"/>
        <v>2.9820000000000002</v>
      </c>
      <c r="S2984">
        <f t="shared" si="185"/>
        <v>-1.2592345885854115</v>
      </c>
    </row>
    <row r="2985" spans="1:19" x14ac:dyDescent="0.3">
      <c r="A2985">
        <v>2.9830000000000001</v>
      </c>
      <c r="B2985">
        <f>Uo*COS(2*PI()*Wn*Sheet2!A2985) + (Vo/Wn - (Po*(w/Wn))/(K*(1-(w/Wn)^2)))*SIN(2*PI()*Wn*Sheet2!A2985) +(Po*SIN(2*PI()*w*Sheet2!A2985))/(K*(1-(w/Wn)^2))</f>
        <v>-17.461381452813619</v>
      </c>
      <c r="C2985">
        <f t="shared" si="186"/>
        <v>-1.2489837264028345</v>
      </c>
      <c r="D2985">
        <f t="shared" si="187"/>
        <v>-204.01505163556374</v>
      </c>
      <c r="R2985">
        <f t="shared" si="184"/>
        <v>2.9830000000000001</v>
      </c>
      <c r="S2985">
        <f t="shared" si="185"/>
        <v>-1.2489837264028345</v>
      </c>
    </row>
    <row r="2986" spans="1:19" x14ac:dyDescent="0.3">
      <c r="A2986">
        <v>2.984</v>
      </c>
      <c r="B2986">
        <f>Uo*COS(2*PI()*Wn*Sheet2!A2986) + (Vo/Wn - (Po*(w/Wn))/(K*(1-(w/Wn)^2)))*SIN(2*PI()*Wn*Sheet2!A2986) +(Po*SIN(2*PI()*w*Sheet2!A2986))/(K*(1-(w/Wn)^2))</f>
        <v>-17.282277047844982</v>
      </c>
      <c r="C2986">
        <f t="shared" si="186"/>
        <v>-1.2383437249885358</v>
      </c>
      <c r="D2986">
        <f t="shared" si="187"/>
        <v>-202.27706226704535</v>
      </c>
      <c r="R2986">
        <f t="shared" si="184"/>
        <v>2.984</v>
      </c>
      <c r="S2986">
        <f t="shared" si="185"/>
        <v>-1.2383437249885358</v>
      </c>
    </row>
    <row r="2987" spans="1:19" x14ac:dyDescent="0.3">
      <c r="A2987">
        <v>2.9849999999999999</v>
      </c>
      <c r="B2987">
        <f>Uo*COS(2*PI()*Wn*Sheet2!A2987) + (Vo/Wn - (Po*(w/Wn))/(K*(1-(w/Wn)^2)))*SIN(2*PI()*Wn*Sheet2!A2987) +(Po*SIN(2*PI()*w*Sheet2!A2987))/(K*(1-(w/Wn)^2))</f>
        <v>-17.097526854892532</v>
      </c>
      <c r="C2987">
        <f t="shared" si="186"/>
        <v>-1.2273187598040078</v>
      </c>
      <c r="D2987">
        <f t="shared" si="187"/>
        <v>-200.47619105162943</v>
      </c>
      <c r="R2987">
        <f t="shared" si="184"/>
        <v>2.9849999999999999</v>
      </c>
      <c r="S2987">
        <f t="shared" si="185"/>
        <v>-1.2273187598040078</v>
      </c>
    </row>
    <row r="2988" spans="1:19" x14ac:dyDescent="0.3">
      <c r="A2988">
        <v>2.9860000000000002</v>
      </c>
      <c r="B2988">
        <f>Uo*COS(2*PI()*Wn*Sheet2!A2988) + (Vo/Wn - (Po*(w/Wn))/(K*(1-(w/Wn)^2)))*SIN(2*PI()*Wn*Sheet2!A2988) +(Po*SIN(2*PI()*w*Sheet2!A2988))/(K*(1-(w/Wn)^2))</f>
        <v>-16.907191228295805</v>
      </c>
      <c r="C2988">
        <f t="shared" si="186"/>
        <v>-1.2159131244172801</v>
      </c>
      <c r="D2988">
        <f t="shared" si="187"/>
        <v>-198.61313932151492</v>
      </c>
      <c r="R2988">
        <f t="shared" si="184"/>
        <v>2.9860000000000002</v>
      </c>
      <c r="S2988">
        <f t="shared" si="185"/>
        <v>-1.2159131244172801</v>
      </c>
    </row>
    <row r="2989" spans="1:19" x14ac:dyDescent="0.3">
      <c r="A2989">
        <v>2.9870000000000001</v>
      </c>
      <c r="B2989">
        <f>Uo*COS(2*PI()*Wn*Sheet2!A2989) + (Vo/Wn - (Po*(w/Wn))/(K*(1-(w/Wn)^2)))*SIN(2*PI()*Wn*Sheet2!A2989) +(Po*SIN(2*PI()*w*Sheet2!A2989))/(K*(1-(w/Wn)^2))</f>
        <v>-16.711332347048668</v>
      </c>
      <c r="C2989">
        <f t="shared" si="186"/>
        <v>-1.2041312288882973</v>
      </c>
      <c r="D2989">
        <f t="shared" si="187"/>
        <v>-196.68862743725441</v>
      </c>
      <c r="R2989">
        <f t="shared" si="184"/>
        <v>2.9870000000000001</v>
      </c>
      <c r="S2989">
        <f t="shared" si="185"/>
        <v>-1.2041312288882973</v>
      </c>
    </row>
    <row r="2990" spans="1:19" x14ac:dyDescent="0.3">
      <c r="A2990">
        <v>2.988</v>
      </c>
      <c r="B2990">
        <f>Uo*COS(2*PI()*Wn*Sheet2!A2990) + (Vo/Wn - (Po*(w/Wn))/(K*(1-(w/Wn)^2)))*SIN(2*PI()*Wn*Sheet2!A2990) +(Po*SIN(2*PI()*w*Sheet2!A2990))/(K*(1-(w/Wn)^2))</f>
        <v>-16.510014194485766</v>
      </c>
      <c r="C2990">
        <f t="shared" si="186"/>
        <v>-1.1919775981191461</v>
      </c>
      <c r="D2990">
        <f t="shared" si="187"/>
        <v>-194.70339451827221</v>
      </c>
      <c r="R2990">
        <f t="shared" si="184"/>
        <v>2.988</v>
      </c>
      <c r="S2990">
        <f t="shared" si="185"/>
        <v>-1.1919775981191461</v>
      </c>
    </row>
    <row r="2991" spans="1:19" x14ac:dyDescent="0.3">
      <c r="A2991">
        <v>2.9889999999999999</v>
      </c>
      <c r="B2991">
        <f>Uo*COS(2*PI()*Wn*Sheet2!A2991) + (Vo/Wn - (Po*(w/Wn))/(K*(1-(w/Wn)^2)))*SIN(2*PI()*Wn*Sheet2!A2991) +(Po*SIN(2*PI()*w*Sheet2!A2991))/(K*(1-(w/Wn)^2))</f>
        <v>-16.303302537380894</v>
      </c>
      <c r="C2991">
        <f t="shared" si="186"/>
        <v>-1.1794568701698176</v>
      </c>
      <c r="D2991">
        <f t="shared" si="187"/>
        <v>-192.65819816775289</v>
      </c>
      <c r="R2991">
        <f t="shared" si="184"/>
        <v>2.9889999999999999</v>
      </c>
      <c r="S2991">
        <f t="shared" si="185"/>
        <v>-1.1794568701698176</v>
      </c>
    </row>
    <row r="2992" spans="1:19" x14ac:dyDescent="0.3">
      <c r="A2992">
        <v>2.99</v>
      </c>
      <c r="B2992">
        <f>Uo*COS(2*PI()*Wn*Sheet2!A2992) + (Vo/Wn - (Po*(w/Wn))/(K*(1-(w/Wn)^2)))*SIN(2*PI()*Wn*Sheet2!A2992) +(Po*SIN(2*PI()*w*Sheet2!A2992))/(K*(1-(w/Wn)^2))</f>
        <v>-16.091264904462346</v>
      </c>
      <c r="C2992">
        <f t="shared" si="186"/>
        <v>-1.1665737945400756</v>
      </c>
      <c r="D2992">
        <f t="shared" si="187"/>
        <v>-190.55381419199324</v>
      </c>
      <c r="R2992">
        <f t="shared" si="184"/>
        <v>2.99</v>
      </c>
      <c r="S2992">
        <f t="shared" si="185"/>
        <v>-1.1665737945400756</v>
      </c>
    </row>
    <row r="2993" spans="1:19" x14ac:dyDescent="0.3">
      <c r="A2993">
        <v>2.9910000000000001</v>
      </c>
      <c r="B2993">
        <f>Uo*COS(2*PI()*Wn*Sheet2!A2993) + (Vo/Wn - (Po*(w/Wn))/(K*(1-(w/Wn)^2)))*SIN(2*PI()*Wn*Sheet2!A2993) +(Po*SIN(2*PI()*w*Sheet2!A2993))/(K*(1-(w/Wn)^2))</f>
        <v>-15.873970564352351</v>
      </c>
      <c r="C2993">
        <f t="shared" si="186"/>
        <v>-1.1533332304180508</v>
      </c>
      <c r="D2993">
        <f t="shared" si="187"/>
        <v>-188.39103631431925</v>
      </c>
      <c r="R2993">
        <f t="shared" si="184"/>
        <v>2.9910000000000001</v>
      </c>
      <c r="S2993">
        <f t="shared" si="185"/>
        <v>-1.1533332304180508</v>
      </c>
    </row>
    <row r="2994" spans="1:19" x14ac:dyDescent="0.3">
      <c r="A2994">
        <v>2.992</v>
      </c>
      <c r="B2994">
        <f>Uo*COS(2*PI()*Wn*Sheet2!A2994) + (Vo/Wn - (Po*(w/Wn))/(K*(1-(w/Wn)^2)))*SIN(2*PI()*Wn*Sheet2!A2994) +(Po*SIN(2*PI()*w*Sheet2!A2994))/(K*(1-(w/Wn)^2))</f>
        <v>-15.651490502938504</v>
      </c>
      <c r="C2994">
        <f t="shared" si="186"/>
        <v>-1.1397401448961737</v>
      </c>
      <c r="D2994">
        <f t="shared" si="187"/>
        <v>-186.17067588366785</v>
      </c>
      <c r="R2994">
        <f t="shared" si="184"/>
        <v>2.992</v>
      </c>
      <c r="S2994">
        <f t="shared" si="185"/>
        <v>-1.1397401448961737</v>
      </c>
    </row>
    <row r="2995" spans="1:19" x14ac:dyDescent="0.3">
      <c r="A2995">
        <v>2.9929999999999999</v>
      </c>
      <c r="B2995">
        <f>Uo*COS(2*PI()*Wn*Sheet2!A2995) + (Vo/Wn - (Po*(w/Wn))/(K*(1-(w/Wn)^2)))*SIN(2*PI()*Wn*Sheet2!A2995) +(Po*SIN(2*PI()*w*Sheet2!A2995))/(K*(1-(w/Wn)^2))</f>
        <v>-15.423897400183774</v>
      </c>
      <c r="C2995">
        <f t="shared" si="186"/>
        <v>-1.1257996111551438</v>
      </c>
      <c r="D2995">
        <f t="shared" si="187"/>
        <v>-183.89356157794771</v>
      </c>
      <c r="R2995">
        <f t="shared" si="184"/>
        <v>2.9929999999999999</v>
      </c>
      <c r="S2995">
        <f t="shared" si="185"/>
        <v>-1.1257996111551438</v>
      </c>
    </row>
    <row r="2996" spans="1:19" x14ac:dyDescent="0.3">
      <c r="A2996">
        <v>2.9940000000000002</v>
      </c>
      <c r="B2996">
        <f>Uo*COS(2*PI()*Wn*Sheet2!A2996) + (Vo/Wn - (Po*(w/Wn))/(K*(1-(w/Wn)^2)))*SIN(2*PI()*Wn*Sheet2!A2996) +(Po*SIN(2*PI()*w*Sheet2!A2996))/(K*(1-(w/Wn)^2))</f>
        <v>-15.191265606383439</v>
      </c>
      <c r="C2996">
        <f t="shared" si="186"/>
        <v>-1.1115168066165313</v>
      </c>
      <c r="D2996">
        <f t="shared" si="187"/>
        <v>-181.56053910227627</v>
      </c>
      <c r="R2996">
        <f t="shared" si="184"/>
        <v>2.9940000000000002</v>
      </c>
      <c r="S2996">
        <f t="shared" si="185"/>
        <v>-1.1115168066165313</v>
      </c>
    </row>
    <row r="2997" spans="1:19" x14ac:dyDescent="0.3">
      <c r="A2997">
        <v>2.9950000000000001</v>
      </c>
      <c r="B2997">
        <f>Uo*COS(2*PI()*Wn*Sheet2!A2997) + (Vo/Wn - (Po*(w/Wn))/(K*(1-(w/Wn)^2)))*SIN(2*PI()*Wn*Sheet2!A2997) +(Po*SIN(2*PI()*w*Sheet2!A2997))/(K*(1-(w/Wn)^2))</f>
        <v>-14.953671117876917</v>
      </c>
      <c r="C2997">
        <f t="shared" si="186"/>
        <v>-1.0968970110647209</v>
      </c>
      <c r="D2997">
        <f t="shared" si="187"/>
        <v>-179.17247088220887</v>
      </c>
      <c r="R2997">
        <f t="shared" si="184"/>
        <v>2.9950000000000001</v>
      </c>
      <c r="S2997">
        <f t="shared" si="185"/>
        <v>-1.0968970110647209</v>
      </c>
    </row>
    <row r="2998" spans="1:19" x14ac:dyDescent="0.3">
      <c r="A2998">
        <v>2.996</v>
      </c>
      <c r="B2998">
        <f>Uo*COS(2*PI()*Wn*Sheet2!A2998) + (Vo/Wn - (Po*(w/Wn))/(K*(1-(w/Wn)^2)))*SIN(2*PI()*Wn*Sheet2!A2998) +(Po*SIN(2*PI()*w*Sheet2!A2998))/(K*(1-(w/Wn)^2))</f>
        <v>-14.711191552220114</v>
      </c>
      <c r="C2998">
        <f t="shared" si="186"/>
        <v>-1.0819456047387908</v>
      </c>
      <c r="D2998">
        <f t="shared" si="187"/>
        <v>-176.73023575205704</v>
      </c>
      <c r="R2998">
        <f t="shared" si="184"/>
        <v>2.996</v>
      </c>
      <c r="S2998">
        <f t="shared" si="185"/>
        <v>-1.0819456047387908</v>
      </c>
    </row>
    <row r="2999" spans="1:19" x14ac:dyDescent="0.3">
      <c r="A2999">
        <v>2.9969999999999999</v>
      </c>
      <c r="B2999">
        <f>Uo*COS(2*PI()*Wn*Sheet2!A2999) + (Vo/Wn - (Po*(w/Wn))/(K*(1-(w/Wn)^2)))*SIN(2*PI()*Wn*Sheet2!A2999) +(Po*SIN(2*PI()*w*Sheet2!A2999))/(K*(1-(w/Wn)^2))</f>
        <v>-14.463906122829918</v>
      </c>
      <c r="C2999">
        <f t="shared" si="186"/>
        <v>-1.0666680663950732</v>
      </c>
      <c r="D2999">
        <f t="shared" si="187"/>
        <v>-174.23472863841783</v>
      </c>
      <c r="R2999">
        <f t="shared" si="184"/>
        <v>2.9969999999999999</v>
      </c>
      <c r="S2999">
        <f t="shared" si="185"/>
        <v>-1.0666680663950732</v>
      </c>
    </row>
    <row r="3000" spans="1:19" x14ac:dyDescent="0.3">
      <c r="A3000">
        <v>2.9980000000000002</v>
      </c>
      <c r="B3000">
        <f>Uo*COS(2*PI()*Wn*Sheet2!A3000) + (Vo/Wn - (Po*(w/Wn))/(K*(1-(w/Wn)^2)))*SIN(2*PI()*Wn*Sheet2!A3000) +(Po*SIN(2*PI()*w*Sheet2!A3000))/(K*(1-(w/Wn)^2))</f>
        <v>-14.21189561310678</v>
      </c>
      <c r="C3000">
        <f t="shared" si="186"/>
        <v>-1.0510699713410845</v>
      </c>
      <c r="D3000">
        <f t="shared" si="187"/>
        <v>-171.68686023902643</v>
      </c>
      <c r="R3000">
        <f t="shared" si="184"/>
        <v>2.9980000000000002</v>
      </c>
      <c r="S3000">
        <f t="shared" si="185"/>
        <v>-1.0510699713410845</v>
      </c>
    </row>
    <row r="3001" spans="1:19" x14ac:dyDescent="0.3">
      <c r="A3001">
        <v>2.9990000000000001</v>
      </c>
      <c r="B3001">
        <f>Uo*COS(2*PI()*Wn*Sheet2!A3001) + (Vo/Wn - (Po*(w/Wn))/(K*(1-(w/Wn)^2)))*SIN(2*PI()*Wn*Sheet2!A3001) +(Po*SIN(2*PI()*w*Sheet2!A3001))/(K*(1-(w/Wn)^2))</f>
        <v>-13.955242350044044</v>
      </c>
      <c r="C3001">
        <f t="shared" si="186"/>
        <v>-1.0351569894414732</v>
      </c>
      <c r="D3001">
        <f t="shared" si="187"/>
        <v>-169.08755669703783</v>
      </c>
      <c r="R3001">
        <f t="shared" si="184"/>
        <v>2.9990000000000001</v>
      </c>
      <c r="S3001">
        <f t="shared" si="185"/>
        <v>-1.0351569894414732</v>
      </c>
    </row>
    <row r="3002" spans="1:19" x14ac:dyDescent="0.3">
      <c r="A3002">
        <v>3</v>
      </c>
      <c r="B3002">
        <f>Uo*COS(2*PI()*Wn*Sheet2!A3002) + (Vo/Wn - (Po*(w/Wn))/(K*(1-(w/Wn)^2)))*SIN(2*PI()*Wn*Sheet2!A3002) +(Po*SIN(2*PI()*w*Sheet2!A3002))/(K*(1-(w/Wn)^2))</f>
        <v>-13.694030177333511</v>
      </c>
      <c r="C3002">
        <f t="shared" si="186"/>
        <v>-1.0189348830966711</v>
      </c>
      <c r="D3002">
        <f t="shared" si="187"/>
        <v>-166.43775927085025</v>
      </c>
      <c r="R3002">
        <f t="shared" si="184"/>
        <v>3</v>
      </c>
      <c r="S3002">
        <f t="shared" si="185"/>
        <v>-1.0189348830966711</v>
      </c>
    </row>
    <row r="3003" spans="1:19" x14ac:dyDescent="0.3">
      <c r="A3003">
        <v>3.0009999999999999</v>
      </c>
      <c r="B3003">
        <f>Uo*COS(2*PI()*Wn*Sheet2!A3003) + (Vo/Wn - (Po*(w/Wn))/(K*(1-(w/Wn)^2)))*SIN(2*PI()*Wn*Sheet2!A3003) +(Po*SIN(2*PI()*w*Sheet2!A3003))/(K*(1-(w/Wn)^2))</f>
        <v>-13.428344427975</v>
      </c>
      <c r="C3003">
        <f t="shared" si="186"/>
        <v>-1.0024095051950483</v>
      </c>
      <c r="D3003">
        <f t="shared" si="187"/>
        <v>-163.73842399959997</v>
      </c>
      <c r="R3003">
        <f t="shared" si="184"/>
        <v>3.0009999999999999</v>
      </c>
      <c r="S3003">
        <f t="shared" si="185"/>
        <v>-1.0024095051950483</v>
      </c>
    </row>
    <row r="3004" spans="1:19" x14ac:dyDescent="0.3">
      <c r="A3004">
        <v>3.0019999999999998</v>
      </c>
      <c r="B3004">
        <f>Uo*COS(2*PI()*Wn*Sheet2!A3004) + (Vo/Wn - (Po*(w/Wn))/(K*(1-(w/Wn)^2)))*SIN(2*PI()*Wn*Sheet2!A3004) +(Po*SIN(2*PI()*w*Sheet2!A3004))/(K*(1-(w/Wn)^2))</f>
        <v>-13.158271896399896</v>
      </c>
      <c r="C3004">
        <f t="shared" si="186"/>
        <v>-0.98558679703920415</v>
      </c>
      <c r="D3004">
        <f t="shared" si="187"/>
        <v>-160.99052136443177</v>
      </c>
      <c r="R3004">
        <f t="shared" si="184"/>
        <v>3.0019999999999998</v>
      </c>
      <c r="S3004">
        <f t="shared" si="185"/>
        <v>-0.98558679703920415</v>
      </c>
    </row>
    <row r="3005" spans="1:19" x14ac:dyDescent="0.3">
      <c r="A3005">
        <v>3.0030000000000001</v>
      </c>
      <c r="B3005">
        <f>Uo*COS(2*PI()*Wn*Sheet2!A3005) + (Vo/Wn - (Po*(w/Wn))/(K*(1-(w/Wn)^2)))*SIN(2*PI()*Wn*Sheet2!A3005) +(Po*SIN(2*PI()*w*Sheet2!A3005))/(K*(1-(w/Wn)^2))</f>
        <v>-12.883900810117284</v>
      </c>
      <c r="C3005">
        <f t="shared" si="186"/>
        <v>-0.96847278624714506</v>
      </c>
      <c r="D3005">
        <f t="shared" si="187"/>
        <v>-158.19503594566706</v>
      </c>
      <c r="R3005">
        <f t="shared" si="184"/>
        <v>3.0030000000000001</v>
      </c>
      <c r="S3005">
        <f t="shared" si="185"/>
        <v>-0.96847278624714506</v>
      </c>
    </row>
    <row r="3006" spans="1:19" x14ac:dyDescent="0.3">
      <c r="A3006">
        <v>3.004</v>
      </c>
      <c r="B3006">
        <f>Uo*COS(2*PI()*Wn*Sheet2!A3006) + (Vo/Wn - (Po*(w/Wn))/(K*(1-(w/Wn)^2)))*SIN(2*PI()*Wn*Sheet2!A3006) +(Po*SIN(2*PI()*w*Sheet2!A3006))/(K*(1-(w/Wn)^2))</f>
        <v>-12.605320800891416</v>
      </c>
      <c r="C3006">
        <f t="shared" si="186"/>
        <v>-0.95107358462910696</v>
      </c>
      <c r="D3006">
        <f t="shared" si="187"/>
        <v>-155.35296607599386</v>
      </c>
      <c r="R3006">
        <f t="shared" si="184"/>
        <v>3.004</v>
      </c>
      <c r="S3006">
        <f t="shared" si="185"/>
        <v>-0.95107358462910696</v>
      </c>
    </row>
    <row r="3007" spans="1:19" x14ac:dyDescent="0.3">
      <c r="A3007">
        <v>3.0049999999999999</v>
      </c>
      <c r="B3007">
        <f>Uo*COS(2*PI()*Wn*Sheet2!A3007) + (Vo/Wn - (Po*(w/Wn))/(K*(1-(w/Wn)^2)))*SIN(2*PI()*Wn*Sheet2!A3007) +(Po*SIN(2*PI()*w*Sheet2!A3007))/(K*(1-(w/Wn)^2))</f>
        <v>-12.322622875460938</v>
      </c>
      <c r="C3007">
        <f t="shared" si="186"/>
        <v>-0.93339538604068339</v>
      </c>
      <c r="D3007">
        <f t="shared" si="187"/>
        <v>-152.46532348978636</v>
      </c>
      <c r="R3007">
        <f t="shared" si="184"/>
        <v>3.0049999999999999</v>
      </c>
      <c r="S3007">
        <f t="shared" si="185"/>
        <v>-0.93339538604068339</v>
      </c>
    </row>
    <row r="3008" spans="1:19" x14ac:dyDescent="0.3">
      <c r="A3008">
        <v>3.0059999999999998</v>
      </c>
      <c r="B3008">
        <f>Uo*COS(2*PI()*Wn*Sheet2!A3008) + (Vo/Wn - (Po*(w/Wn))/(K*(1-(w/Wn)^2)))*SIN(2*PI()*Wn*Sheet2!A3008) +(Po*SIN(2*PI()*w*Sheet2!A3008))/(K*(1-(w/Wn)^2))</f>
        <v>-12.035899385808413</v>
      </c>
      <c r="C3008">
        <f t="shared" si="186"/>
        <v>-0.91544446421307801</v>
      </c>
      <c r="D3008">
        <f t="shared" si="187"/>
        <v>-149.53313296868768</v>
      </c>
      <c r="R3008">
        <f t="shared" si="184"/>
        <v>3.0059999999999998</v>
      </c>
      <c r="S3008">
        <f t="shared" si="185"/>
        <v>-0.91544446421307801</v>
      </c>
    </row>
    <row r="3009" spans="1:19" x14ac:dyDescent="0.3">
      <c r="A3009">
        <v>3.0070000000000001</v>
      </c>
      <c r="B3009">
        <f>Uo*COS(2*PI()*Wn*Sheet2!A3009) + (Vo/Wn - (Po*(w/Wn))/(K*(1-(w/Wn)^2)))*SIN(2*PI()*Wn*Sheet2!A3009) +(Po*SIN(2*PI()*w*Sheet2!A3009))/(K*(1-(w/Wn)^2))</f>
        <v>-11.7452439989908</v>
      </c>
      <c r="C3009">
        <f t="shared" si="186"/>
        <v>-0.8972271705612318</v>
      </c>
      <c r="D3009">
        <f t="shared" si="187"/>
        <v>-146.55743198357899</v>
      </c>
      <c r="R3009">
        <f t="shared" ref="R3009:R3072" si="188">A3009</f>
        <v>3.0070000000000001</v>
      </c>
      <c r="S3009">
        <f t="shared" ref="S3009:S3072" si="189">C3009</f>
        <v>-0.8972271705612318</v>
      </c>
    </row>
    <row r="3010" spans="1:19" x14ac:dyDescent="0.3">
      <c r="A3010">
        <v>3.008</v>
      </c>
      <c r="B3010">
        <f>Uo*COS(2*PI()*Wn*Sheet2!A3010) + (Vo/Wn - (Po*(w/Wn))/(K*(1-(w/Wn)^2)))*SIN(2*PI()*Wn*Sheet2!A3010) +(Po*SIN(2*PI()*w*Sheet2!A3010))/(K*(1-(w/Wn)^2))</f>
        <v>-11.450751666541025</v>
      </c>
      <c r="C3010">
        <f t="shared" ref="C3010:C3073" si="190">EXP(-zeta*Wn*A3010*2*PI())*($H$1*COS(wnD*2*PI()*A3010) + $H$2*SIN(wnD*2*PI()*A3010)) + $H$3*SIN(w*2*PI()*A3010) + $H$4*COS(w*2*PI()*A3010)</f>
        <v>-0.87874993197053208</v>
      </c>
      <c r="D3010">
        <f t="shared" ref="D3010:D3073" si="191">K*C3010</f>
        <v>-143.5392703330497</v>
      </c>
      <c r="R3010">
        <f t="shared" si="188"/>
        <v>3.008</v>
      </c>
      <c r="S3010">
        <f t="shared" si="189"/>
        <v>-0.87874993197053208</v>
      </c>
    </row>
    <row r="3011" spans="1:19" x14ac:dyDescent="0.3">
      <c r="A3011">
        <v>3.0089999999999999</v>
      </c>
      <c r="B3011">
        <f>Uo*COS(2*PI()*Wn*Sheet2!A3011) + (Vo/Wn - (Po*(w/Wn))/(K*(1-(w/Wn)^2)))*SIN(2*PI()*Wn*Sheet2!A3011) +(Po*SIN(2*PI()*w*Sheet2!A3011))/(K*(1-(w/Wn)^2))</f>
        <v>-11.152518593447788</v>
      </c>
      <c r="C3011">
        <f t="shared" si="190"/>
        <v>-0.86001924856284639</v>
      </c>
      <c r="D3011">
        <f t="shared" si="191"/>
        <v>-140.47970977849056</v>
      </c>
      <c r="R3011">
        <f t="shared" si="188"/>
        <v>3.0089999999999999</v>
      </c>
      <c r="S3011">
        <f t="shared" si="189"/>
        <v>-0.86001924856284639</v>
      </c>
    </row>
    <row r="3012" spans="1:19" x14ac:dyDescent="0.3">
      <c r="A3012">
        <v>3.01</v>
      </c>
      <c r="B3012">
        <f>Uo*COS(2*PI()*Wn*Sheet2!A3012) + (Vo/Wn - (Po*(w/Wn))/(K*(1-(w/Wn)^2)))*SIN(2*PI()*Wn*Sheet2!A3012) +(Po*SIN(2*PI()*w*Sheet2!A3012))/(K*(1-(w/Wn)^2))</f>
        <v>-10.850642206728001</v>
      </c>
      <c r="C3012">
        <f t="shared" si="190"/>
        <v>-0.84104169144275054</v>
      </c>
      <c r="D3012">
        <f t="shared" si="191"/>
        <v>-137.3798236759518</v>
      </c>
      <c r="R3012">
        <f t="shared" si="188"/>
        <v>3.01</v>
      </c>
      <c r="S3012">
        <f t="shared" si="189"/>
        <v>-0.84104169144275054</v>
      </c>
    </row>
    <row r="3013" spans="1:19" x14ac:dyDescent="0.3">
      <c r="A3013">
        <v>3.0110000000000001</v>
      </c>
      <c r="B3013">
        <f>Uo*COS(2*PI()*Wn*Sheet2!A3013) + (Vo/Wn - (Po*(w/Wn))/(K*(1-(w/Wn)^2)))*SIN(2*PI()*Wn*Sheet2!A3013) +(Po*SIN(2*PI()*w*Sheet2!A3013))/(K*(1-(w/Wn)^2))</f>
        <v>-10.545221123599411</v>
      </c>
      <c r="C3013">
        <f t="shared" si="190"/>
        <v>-0.82182390042461795</v>
      </c>
      <c r="D3013">
        <f t="shared" si="191"/>
        <v>-134.24069660487478</v>
      </c>
      <c r="R3013">
        <f t="shared" si="188"/>
        <v>3.0110000000000001</v>
      </c>
      <c r="S3013">
        <f t="shared" si="189"/>
        <v>-0.82182390042461795</v>
      </c>
    </row>
    <row r="3014" spans="1:19" x14ac:dyDescent="0.3">
      <c r="A3014">
        <v>3.012</v>
      </c>
      <c r="B3014">
        <f>Uo*COS(2*PI()*Wn*Sheet2!A3014) + (Vo/Wn - (Po*(w/Wn))/(K*(1-(w/Wn)^2)))*SIN(2*PI()*Wn*Sheet2!A3014) +(Po*SIN(2*PI()*w*Sheet2!A3014))/(K*(1-(w/Wn)^2))</f>
        <v>-10.236355119263887</v>
      </c>
      <c r="C3014">
        <f t="shared" si="190"/>
        <v>-0.80237258174143133</v>
      </c>
      <c r="D3014">
        <f t="shared" si="191"/>
        <v>-131.0634239938382</v>
      </c>
      <c r="R3014">
        <f t="shared" si="188"/>
        <v>3.012</v>
      </c>
      <c r="S3014">
        <f t="shared" si="189"/>
        <v>-0.80237258174143133</v>
      </c>
    </row>
    <row r="3015" spans="1:19" x14ac:dyDescent="0.3">
      <c r="A3015">
        <v>3.0129999999999999</v>
      </c>
      <c r="B3015">
        <f>Uo*COS(2*PI()*Wn*Sheet2!A3015) + (Vo/Wn - (Po*(w/Wn))/(K*(1-(w/Wn)^2)))*SIN(2*PI()*Wn*Sheet2!A3015) +(Po*SIN(2*PI()*w*Sheet2!A3015))/(K*(1-(w/Wn)^2))</f>
        <v>-9.9241450943130083</v>
      </c>
      <c r="C3015">
        <f t="shared" si="190"/>
        <v>-0.78269450573598531</v>
      </c>
      <c r="D3015">
        <f t="shared" si="191"/>
        <v>-127.849111743428</v>
      </c>
      <c r="R3015">
        <f t="shared" si="188"/>
        <v>3.0129999999999999</v>
      </c>
      <c r="S3015">
        <f t="shared" si="189"/>
        <v>-0.78269450573598531</v>
      </c>
    </row>
    <row r="3016" spans="1:19" x14ac:dyDescent="0.3">
      <c r="A3016">
        <v>3.0139999999999998</v>
      </c>
      <c r="B3016">
        <f>Uo*COS(2*PI()*Wn*Sheet2!A3016) + (Vo/Wn - (Po*(w/Wn))/(K*(1-(w/Wn)^2)))*SIN(2*PI()*Wn*Sheet2!A3016) +(Po*SIN(2*PI()*w*Sheet2!A3016))/(K*(1-(w/Wn)^2))</f>
        <v>-9.6086930417654219</v>
      </c>
      <c r="C3016">
        <f t="shared" si="190"/>
        <v>-0.76279650453537229</v>
      </c>
      <c r="D3016">
        <f t="shared" si="191"/>
        <v>-124.59887584637654</v>
      </c>
      <c r="R3016">
        <f t="shared" si="188"/>
        <v>3.0139999999999998</v>
      </c>
      <c r="S3016">
        <f t="shared" si="189"/>
        <v>-0.76279650453537229</v>
      </c>
    </row>
    <row r="3017" spans="1:19" x14ac:dyDescent="0.3">
      <c r="A3017">
        <v>3.0150000000000001</v>
      </c>
      <c r="B3017">
        <f>Uo*COS(2*PI()*Wn*Sheet2!A3017) + (Vo/Wn - (Po*(w/Wn))/(K*(1-(w/Wn)^2)))*SIN(2*PI()*Wn*Sheet2!A3017) +(Po*SIN(2*PI()*w*Sheet2!A3017))/(K*(1-(w/Wn)^2))</f>
        <v>-9.2901020137477932</v>
      </c>
      <c r="C3017">
        <f t="shared" si="190"/>
        <v>-0.74268546970953198</v>
      </c>
      <c r="D3017">
        <f t="shared" si="191"/>
        <v>-121.31384200509885</v>
      </c>
      <c r="R3017">
        <f t="shared" si="188"/>
        <v>3.0150000000000001</v>
      </c>
      <c r="S3017">
        <f t="shared" si="189"/>
        <v>-0.74268546970953198</v>
      </c>
    </row>
    <row r="3018" spans="1:19" x14ac:dyDescent="0.3">
      <c r="A3018">
        <v>3.016</v>
      </c>
      <c r="B3018">
        <f>Uo*COS(2*PI()*Wn*Sheet2!A3018) + (Vo/Wn - (Po*(w/Wn))/(K*(1-(w/Wn)^2)))*SIN(2*PI()*Wn*Sheet2!A3018) +(Po*SIN(2*PI()*w*Sheet2!A3018))/(K*(1-(w/Wn)^2))</f>
        <v>-8.9684760878305365</v>
      </c>
      <c r="C3018">
        <f t="shared" si="190"/>
        <v>-0.72236834991459875</v>
      </c>
      <c r="D3018">
        <f t="shared" si="191"/>
        <v>-117.99514524674545</v>
      </c>
      <c r="R3018">
        <f t="shared" si="188"/>
        <v>3.016</v>
      </c>
      <c r="S3018">
        <f t="shared" si="189"/>
        <v>-0.72236834991459875</v>
      </c>
    </row>
    <row r="3019" spans="1:19" x14ac:dyDescent="0.3">
      <c r="A3019">
        <v>3.0169999999999999</v>
      </c>
      <c r="B3019">
        <f>Uo*COS(2*PI()*Wn*Sheet2!A3019) + (Vo/Wn - (Po*(w/Wn))/(K*(1-(w/Wn)^2)))*SIN(2*PI()*Wn*Sheet2!A3019) +(Po*SIN(2*PI()*w*Sheet2!A3019))/(K*(1-(w/Wn)^2))</f>
        <v>-8.6439203330261751</v>
      </c>
      <c r="C3019">
        <f t="shared" si="190"/>
        <v>-0.70185214852183331</v>
      </c>
      <c r="D3019">
        <f t="shared" si="191"/>
        <v>-114.64392953590065</v>
      </c>
      <c r="R3019">
        <f t="shared" si="188"/>
        <v>3.0169999999999999</v>
      </c>
      <c r="S3019">
        <f t="shared" si="189"/>
        <v>-0.70185214852183331</v>
      </c>
    </row>
    <row r="3020" spans="1:19" x14ac:dyDescent="0.3">
      <c r="A3020">
        <v>3.0179999999999998</v>
      </c>
      <c r="B3020">
        <f>Uo*COS(2*PI()*Wn*Sheet2!A3020) + (Vo/Wn - (Po*(w/Wn))/(K*(1-(w/Wn)^2)))*SIN(2*PI()*Wn*Sheet2!A3020) +(Po*SIN(2*PI()*w*Sheet2!A3020))/(K*(1-(w/Wn)^2))</f>
        <v>-8.3165407754661729</v>
      </c>
      <c r="C3020">
        <f t="shared" si="190"/>
        <v>-0.68114392123304601</v>
      </c>
      <c r="D3020">
        <f t="shared" si="191"/>
        <v>-111.2613473850742</v>
      </c>
      <c r="R3020">
        <f t="shared" si="188"/>
        <v>3.0179999999999998</v>
      </c>
      <c r="S3020">
        <f t="shared" si="189"/>
        <v>-0.68114392123304601</v>
      </c>
    </row>
    <row r="3021" spans="1:19" x14ac:dyDescent="0.3">
      <c r="A3021">
        <v>3.0190000000000001</v>
      </c>
      <c r="B3021">
        <f>Uo*COS(2*PI()*Wn*Sheet2!A3021) + (Vo/Wn - (Po*(w/Wn))/(K*(1-(w/Wn)^2)))*SIN(2*PI()*Wn*Sheet2!A3021) +(Po*SIN(2*PI()*w*Sheet2!A3021))/(K*(1-(w/Wn)^2))</f>
        <v>-7.9864443637643792</v>
      </c>
      <c r="C3021">
        <f t="shared" si="190"/>
        <v>-0.66025077368320317</v>
      </c>
      <c r="D3021">
        <f t="shared" si="191"/>
        <v>-107.84855946309943</v>
      </c>
      <c r="R3021">
        <f t="shared" si="188"/>
        <v>3.0190000000000001</v>
      </c>
      <c r="S3021">
        <f t="shared" si="189"/>
        <v>-0.66025077368320317</v>
      </c>
    </row>
    <row r="3022" spans="1:19" x14ac:dyDescent="0.3">
      <c r="A3022">
        <v>3.02</v>
      </c>
      <c r="B3022">
        <f>Uo*COS(2*PI()*Wn*Sheet2!A3022) + (Vo/Wn - (Po*(w/Wn))/(K*(1-(w/Wn)^2)))*SIN(2*PI()*Wn*Sheet2!A3022) +(Po*SIN(2*PI()*w*Sheet2!A3022))/(K*(1-(w/Wn)^2))</f>
        <v>-7.6537389340785831</v>
      </c>
      <c r="C3022">
        <f t="shared" si="190"/>
        <v>-0.63917985903110797</v>
      </c>
      <c r="D3022">
        <f t="shared" si="191"/>
        <v>-104.40673420158335</v>
      </c>
      <c r="R3022">
        <f t="shared" si="188"/>
        <v>3.02</v>
      </c>
      <c r="S3022">
        <f t="shared" si="189"/>
        <v>-0.63917985903110797</v>
      </c>
    </row>
    <row r="3023" spans="1:19" x14ac:dyDescent="0.3">
      <c r="A3023">
        <v>3.0209999999999999</v>
      </c>
      <c r="B3023">
        <f>Uo*COS(2*PI()*Wn*Sheet2!A3023) + (Vo/Wn - (Po*(w/Wn))/(K*(1-(w/Wn)^2)))*SIN(2*PI()*Wn*Sheet2!A3023) +(Po*SIN(2*PI()*w*Sheet2!A3023))/(K*(1-(w/Wn)^2))</f>
        <v>-7.3185331748827718</v>
      </c>
      <c r="C3023">
        <f t="shared" si="190"/>
        <v>-0.61793837553885389</v>
      </c>
      <c r="D3023">
        <f t="shared" si="191"/>
        <v>-100.93704739952291</v>
      </c>
      <c r="R3023">
        <f t="shared" si="188"/>
        <v>3.0209999999999999</v>
      </c>
      <c r="S3023">
        <f t="shared" si="189"/>
        <v>-0.61793837553885389</v>
      </c>
    </row>
    <row r="3024" spans="1:19" x14ac:dyDescent="0.3">
      <c r="A3024">
        <v>3.0219999999999998</v>
      </c>
      <c r="B3024">
        <f>Uo*COS(2*PI()*Wn*Sheet2!A3024) + (Vo/Wn - (Po*(w/Wn))/(K*(1-(w/Wn)^2)))*SIN(2*PI()*Wn*Sheet2!A3024) +(Po*SIN(2*PI()*w*Sheet2!A3024))/(K*(1-(w/Wn)^2))</f>
        <v>-6.9809365914602992</v>
      </c>
      <c r="C3024">
        <f t="shared" si="190"/>
        <v>-0.59653356414096526</v>
      </c>
      <c r="D3024">
        <f t="shared" si="191"/>
        <v>-97.44068182623657</v>
      </c>
      <c r="R3024">
        <f t="shared" si="188"/>
        <v>3.0219999999999998</v>
      </c>
      <c r="S3024">
        <f t="shared" si="189"/>
        <v>-0.59653356414096526</v>
      </c>
    </row>
    <row r="3025" spans="1:19" x14ac:dyDescent="0.3">
      <c r="A3025">
        <v>3.0230000000000001</v>
      </c>
      <c r="B3025">
        <f>Uo*COS(2*PI()*Wn*Sheet2!A3025) + (Vo/Wn - (Po*(w/Wn))/(K*(1-(w/Wn)^2)))*SIN(2*PI()*Wn*Sheet2!A3025) +(Po*SIN(2*PI()*w*Sheet2!A3025))/(K*(1-(w/Wn)^2))</f>
        <v>-6.6410594701307364</v>
      </c>
      <c r="C3025">
        <f t="shared" si="190"/>
        <v>-0.57497270600403128</v>
      </c>
      <c r="D3025">
        <f t="shared" si="191"/>
        <v>-93.918826822743171</v>
      </c>
      <c r="R3025">
        <f t="shared" si="188"/>
        <v>3.0230000000000001</v>
      </c>
      <c r="S3025">
        <f t="shared" si="189"/>
        <v>-0.57497270600403128</v>
      </c>
    </row>
    <row r="3026" spans="1:19" x14ac:dyDescent="0.3">
      <c r="A3026">
        <v>3.024</v>
      </c>
      <c r="B3026">
        <f>Uo*COS(2*PI()*Wn*Sheet2!A3026) + (Vo/Wn - (Po*(w/Wn))/(K*(1-(w/Wn)^2)))*SIN(2*PI()*Wn*Sheet2!A3026) +(Po*SIN(2*PI()*w*Sheet2!A3026))/(K*(1-(w/Wn)^2))</f>
        <v>-6.2990128422223934</v>
      </c>
      <c r="C3026">
        <f t="shared" si="190"/>
        <v>-0.55326312007758871</v>
      </c>
      <c r="D3026">
        <f t="shared" si="191"/>
        <v>-90.372677901711214</v>
      </c>
      <c r="R3026">
        <f t="shared" si="188"/>
        <v>3.024</v>
      </c>
      <c r="S3026">
        <f t="shared" si="189"/>
        <v>-0.55326312007758871</v>
      </c>
    </row>
    <row r="3027" spans="1:19" x14ac:dyDescent="0.3">
      <c r="A3027">
        <v>3.0249999999999999</v>
      </c>
      <c r="B3027">
        <f>Uo*COS(2*PI()*Wn*Sheet2!A3027) + (Vo/Wn - (Po*(w/Wn))/(K*(1-(w/Wn)^2)))*SIN(2*PI()*Wn*Sheet2!A3027) +(Po*SIN(2*PI()*w*Sheet2!A3027))/(K*(1-(w/Wn)^2))</f>
        <v>-5.954908447798771</v>
      </c>
      <c r="C3027">
        <f t="shared" si="190"/>
        <v>-0.53141216063704733</v>
      </c>
      <c r="D3027">
        <f t="shared" si="191"/>
        <v>-86.803436346108398</v>
      </c>
      <c r="R3027">
        <f t="shared" si="188"/>
        <v>3.0249999999999999</v>
      </c>
      <c r="S3027">
        <f t="shared" si="189"/>
        <v>-0.53141216063704733</v>
      </c>
    </row>
    <row r="3028" spans="1:19" x14ac:dyDescent="0.3">
      <c r="A3028">
        <v>3.0259999999999998</v>
      </c>
      <c r="B3028">
        <f>Uo*COS(2*PI()*Wn*Sheet2!A3028) + (Vo/Wn - (Po*(w/Wn))/(K*(1-(w/Wn)^2)))*SIN(2*PI()*Wn*Sheet2!A3028) +(Po*SIN(2*PI()*w*Sheet2!A3028))/(K*(1-(w/Wn)^2))</f>
        <v>-5.6088586991568432</v>
      </c>
      <c r="C3028">
        <f t="shared" si="190"/>
        <v>-0.50942721481960196</v>
      </c>
      <c r="D3028">
        <f t="shared" si="191"/>
        <v>-83.212308806705565</v>
      </c>
      <c r="R3028">
        <f t="shared" si="188"/>
        <v>3.0259999999999998</v>
      </c>
      <c r="S3028">
        <f t="shared" si="189"/>
        <v>-0.50942721481960196</v>
      </c>
    </row>
    <row r="3029" spans="1:19" x14ac:dyDescent="0.3">
      <c r="A3029">
        <v>3.0270000000000001</v>
      </c>
      <c r="B3029">
        <f>Uo*COS(2*PI()*Wn*Sheet2!A3029) + (Vo/Wn - (Po*(w/Wn))/(K*(1-(w/Wn)^2)))*SIN(2*PI()*Wn*Sheet2!A3029) +(Po*SIN(2*PI()*w*Sheet2!A3029))/(K*(1-(w/Wn)^2))</f>
        <v>-5.2609766441029029</v>
      </c>
      <c r="C3029">
        <f t="shared" si="190"/>
        <v>-0.48731570015381581</v>
      </c>
      <c r="D3029">
        <f t="shared" si="191"/>
        <v>-79.600506898546897</v>
      </c>
      <c r="R3029">
        <f t="shared" si="188"/>
        <v>3.0270000000000001</v>
      </c>
      <c r="S3029">
        <f t="shared" si="189"/>
        <v>-0.48731570015381581</v>
      </c>
    </row>
    <row r="3030" spans="1:19" x14ac:dyDescent="0.3">
      <c r="A3030">
        <v>3.028</v>
      </c>
      <c r="B3030">
        <f>Uo*COS(2*PI()*Wn*Sheet2!A3030) + (Vo/Wn - (Po*(w/Wn))/(K*(1-(w/Wn)^2)))*SIN(2*PI()*Wn*Sheet2!A3030) +(Po*SIN(2*PI()*w*Sheet2!A3030))/(K*(1-(w/Wn)^2))</f>
        <v>-4.9113759290229622</v>
      </c>
      <c r="C3030">
        <f t="shared" si="190"/>
        <v>-0.46508506208379868</v>
      </c>
      <c r="D3030">
        <f t="shared" si="191"/>
        <v>-75.969246796537149</v>
      </c>
      <c r="R3030">
        <f t="shared" si="188"/>
        <v>3.028</v>
      </c>
      <c r="S3030">
        <f t="shared" si="189"/>
        <v>-0.46508506208379868</v>
      </c>
    </row>
    <row r="3031" spans="1:19" x14ac:dyDescent="0.3">
      <c r="A3031">
        <v>3.0289999999999999</v>
      </c>
      <c r="B3031">
        <f>Uo*COS(2*PI()*Wn*Sheet2!A3031) + (Vo/Wn - (Po*(w/Wn))/(K*(1-(w/Wn)^2)))*SIN(2*PI()*Wn*Sheet2!A3031) +(Po*SIN(2*PI()*w*Sheet2!A3031))/(K*(1-(w/Wn)^2))</f>
        <v>-4.5601707617562575</v>
      </c>
      <c r="C3031">
        <f t="shared" si="190"/>
        <v>-0.44274277148865748</v>
      </c>
      <c r="D3031">
        <f t="shared" si="191"/>
        <v>-72.319748830256714</v>
      </c>
      <c r="R3031">
        <f t="shared" si="188"/>
        <v>3.0289999999999999</v>
      </c>
      <c r="S3031">
        <f t="shared" si="189"/>
        <v>-0.44274277148865748</v>
      </c>
    </row>
    <row r="3032" spans="1:19" x14ac:dyDescent="0.3">
      <c r="A3032">
        <v>3.03</v>
      </c>
      <c r="B3032">
        <f>Uo*COS(2*PI()*Wn*Sheet2!A3032) + (Vo/Wn - (Po*(w/Wn))/(K*(1-(w/Wn)^2)))*SIN(2*PI()*Wn*Sheet2!A3032) +(Po*SIN(2*PI()*w*Sheet2!A3032))/(K*(1-(w/Wn)^2))</f>
        <v>-4.2074758742854623</v>
      </c>
      <c r="C3032">
        <f t="shared" si="190"/>
        <v>-0.42029632219821944</v>
      </c>
      <c r="D3032">
        <f t="shared" si="191"/>
        <v>-68.653237078167805</v>
      </c>
      <c r="R3032">
        <f t="shared" si="188"/>
        <v>3.03</v>
      </c>
      <c r="S3032">
        <f t="shared" si="189"/>
        <v>-0.42029632219821944</v>
      </c>
    </row>
    <row r="3033" spans="1:19" x14ac:dyDescent="0.3">
      <c r="A3033">
        <v>3.0310000000000001</v>
      </c>
      <c r="B3033">
        <f>Uo*COS(2*PI()*Wn*Sheet2!A3033) + (Vo/Wn - (Po*(w/Wn))/(K*(1-(w/Wn)^2)))*SIN(2*PI()*Wn*Sheet2!A3033) +(Po*SIN(2*PI()*w*Sheet2!A3033))/(K*(1-(w/Wn)^2))</f>
        <v>-3.8534064852560901</v>
      </c>
      <c r="C3033">
        <f t="shared" si="190"/>
        <v>-0.39775322850565675</v>
      </c>
      <c r="D3033">
        <f t="shared" si="191"/>
        <v>-64.970938961314545</v>
      </c>
      <c r="R3033">
        <f t="shared" si="188"/>
        <v>3.0310000000000001</v>
      </c>
      <c r="S3033">
        <f t="shared" si="189"/>
        <v>-0.39775322850565675</v>
      </c>
    </row>
    <row r="3034" spans="1:19" x14ac:dyDescent="0.3">
      <c r="A3034">
        <v>3.032</v>
      </c>
      <c r="B3034">
        <f>Uo*COS(2*PI()*Wn*Sheet2!A3034) + (Vo/Wn - (Po*(w/Wn))/(K*(1-(w/Wn)^2)))*SIN(2*PI()*Wn*Sheet2!A3034) +(Po*SIN(2*PI()*w*Sheet2!A3034))/(K*(1-(w/Wn)^2))</f>
        <v>-3.4980782623377489</v>
      </c>
      <c r="C3034">
        <f t="shared" si="190"/>
        <v>-0.37512102267806197</v>
      </c>
      <c r="D3034">
        <f t="shared" si="191"/>
        <v>-61.274084836688239</v>
      </c>
      <c r="R3034">
        <f t="shared" si="188"/>
        <v>3.032</v>
      </c>
      <c r="S3034">
        <f t="shared" si="189"/>
        <v>-0.37512102267806197</v>
      </c>
    </row>
    <row r="3035" spans="1:19" x14ac:dyDescent="0.3">
      <c r="A3035">
        <v>3.0329999999999999</v>
      </c>
      <c r="B3035">
        <f>Uo*COS(2*PI()*Wn*Sheet2!A3035) + (Vo/Wn - (Po*(w/Wn))/(K*(1-(w/Wn)^2)))*SIN(2*PI()*Wn*Sheet2!A3035) +(Po*SIN(2*PI()*w*Sheet2!A3035))/(K*(1-(w/Wn)^2))</f>
        <v>-3.1416072844359242</v>
      </c>
      <c r="C3035">
        <f t="shared" si="190"/>
        <v>-0.3524072524654781</v>
      </c>
      <c r="D3035">
        <f t="shared" si="191"/>
        <v>-57.563907590340321</v>
      </c>
      <c r="R3035">
        <f t="shared" si="188"/>
        <v>3.0329999999999999</v>
      </c>
      <c r="S3035">
        <f t="shared" si="189"/>
        <v>-0.3524072524654781</v>
      </c>
    </row>
    <row r="3036" spans="1:19" x14ac:dyDescent="0.3">
      <c r="A3036">
        <v>3.0339999999999998</v>
      </c>
      <c r="B3036">
        <f>Uo*COS(2*PI()*Wn*Sheet2!A3036) + (Vo/Wn - (Po*(w/Wn))/(K*(1-(w/Wn)^2)))*SIN(2*PI()*Wn*Sheet2!A3036) +(Po*SIN(2*PI()*w*Sheet2!A3036))/(K*(1-(w/Wn)^2))</f>
        <v>-2.7841100037729074</v>
      </c>
      <c r="C3036">
        <f t="shared" si="190"/>
        <v>-0.32961947860950508</v>
      </c>
      <c r="D3036">
        <f t="shared" si="191"/>
        <v>-53.841642230426075</v>
      </c>
      <c r="R3036">
        <f t="shared" si="188"/>
        <v>3.0339999999999998</v>
      </c>
      <c r="S3036">
        <f t="shared" si="189"/>
        <v>-0.32961947860950508</v>
      </c>
    </row>
    <row r="3037" spans="1:19" x14ac:dyDescent="0.3">
      <c r="A3037">
        <v>3.0350000000000001</v>
      </c>
      <c r="B3037">
        <f>Uo*COS(2*PI()*Wn*Sheet2!A3037) + (Vo/Wn - (Po*(w/Wn))/(K*(1-(w/Wn)^2)))*SIN(2*PI()*Wn*Sheet2!A3037) +(Po*SIN(2*PI()*w*Sheet2!A3037))/(K*(1-(w/Wn)^2))</f>
        <v>-2.4257032078438274</v>
      </c>
      <c r="C3037">
        <f t="shared" si="190"/>
        <v>-0.30676527235210405</v>
      </c>
      <c r="D3037">
        <f t="shared" si="191"/>
        <v>-50.108525480280626</v>
      </c>
      <c r="R3037">
        <f t="shared" si="188"/>
        <v>3.0350000000000001</v>
      </c>
      <c r="S3037">
        <f t="shared" si="189"/>
        <v>-0.30676527235210405</v>
      </c>
    </row>
    <row r="3038" spans="1:19" x14ac:dyDescent="0.3">
      <c r="A3038">
        <v>3.036</v>
      </c>
      <c r="B3038">
        <f>Uo*COS(2*PI()*Wn*Sheet2!A3038) + (Vo/Wn - (Po*(w/Wn))/(K*(1-(w/Wn)^2)))*SIN(2*PI()*Wn*Sheet2!A3038) +(Po*SIN(2*PI()*w*Sheet2!A3038))/(K*(1-(w/Wn)^2))</f>
        <v>-2.0665039812654045</v>
      </c>
      <c r="C3038">
        <f t="shared" si="190"/>
        <v>-0.28385221294552443</v>
      </c>
      <c r="D3038">
        <f t="shared" si="191"/>
        <v>-46.365795371678416</v>
      </c>
      <c r="R3038">
        <f t="shared" si="188"/>
        <v>3.036</v>
      </c>
      <c r="S3038">
        <f t="shared" si="189"/>
        <v>-0.28385221294552443</v>
      </c>
    </row>
    <row r="3039" spans="1:19" x14ac:dyDescent="0.3">
      <c r="A3039">
        <v>3.0369999999999999</v>
      </c>
      <c r="B3039">
        <f>Uo*COS(2*PI()*Wn*Sheet2!A3039) + (Vo/Wn - (Po*(w/Wn))/(K*(1-(w/Wn)^2)))*SIN(2*PI()*Wn*Sheet2!A3039) +(Po*SIN(2*PI()*w*Sheet2!A3039))/(K*(1-(w/Wn)^2))</f>
        <v>-1.7066296675262342</v>
      </c>
      <c r="C3039">
        <f t="shared" si="190"/>
        <v>-0.26088788516402656</v>
      </c>
      <c r="D3039">
        <f t="shared" si="191"/>
        <v>-42.614690838385862</v>
      </c>
      <c r="R3039">
        <f t="shared" si="188"/>
        <v>3.0369999999999999</v>
      </c>
      <c r="S3039">
        <f t="shared" si="189"/>
        <v>-0.26088788516402656</v>
      </c>
    </row>
    <row r="3040" spans="1:19" x14ac:dyDescent="0.3">
      <c r="A3040">
        <v>3.0379999999999998</v>
      </c>
      <c r="B3040">
        <f>Uo*COS(2*PI()*Wn*Sheet2!A3040) + (Vo/Wn - (Po*(w/Wn))/(K*(1-(w/Wn)^2)))*SIN(2*PI()*Wn*Sheet2!A3040) +(Po*SIN(2*PI()*w*Sheet2!A3040))/(K*(1-(w/Wn)^2))</f>
        <v>-1.3461978306526381</v>
      </c>
      <c r="C3040">
        <f t="shared" si="190"/>
        <v>-0.23787987681839223</v>
      </c>
      <c r="D3040">
        <f t="shared" si="191"/>
        <v>-38.856451310169525</v>
      </c>
      <c r="R3040">
        <f t="shared" si="188"/>
        <v>3.0379999999999998</v>
      </c>
      <c r="S3040">
        <f t="shared" si="189"/>
        <v>-0.23787987681839223</v>
      </c>
    </row>
    <row r="3041" spans="1:19" x14ac:dyDescent="0.3">
      <c r="A3041">
        <v>3.0390000000000001</v>
      </c>
      <c r="B3041">
        <f>Uo*COS(2*PI()*Wn*Sheet2!A3041) + (Vo/Wn - (Po*(w/Wn))/(K*(1-(w/Wn)^2)))*SIN(2*PI()*Wn*Sheet2!A3041) +(Po*SIN(2*PI()*w*Sheet2!A3041))/(K*(1-(w/Wn)^2))</f>
        <v>-0.98532621680289512</v>
      </c>
      <c r="C3041">
        <f t="shared" si="190"/>
        <v>-0.21483577627383332</v>
      </c>
      <c r="D3041">
        <f t="shared" si="191"/>
        <v>-35.092316307359262</v>
      </c>
      <c r="R3041">
        <f t="shared" si="188"/>
        <v>3.0390000000000001</v>
      </c>
      <c r="S3041">
        <f t="shared" si="189"/>
        <v>-0.21483577627383332</v>
      </c>
    </row>
    <row r="3042" spans="1:19" x14ac:dyDescent="0.3">
      <c r="A3042">
        <v>3.04</v>
      </c>
      <c r="B3042">
        <f>Uo*COS(2*PI()*Wn*Sheet2!A3042) + (Vo/Wn - (Po*(w/Wn))/(K*(1-(w/Wn)^2)))*SIN(2*PI()*Wn*Sheet2!A3042) +(Po*SIN(2*PI()*w*Sheet2!A3042))/(K*(1-(w/Wn)^2))</f>
        <v>-0.62413271580282692</v>
      </c>
      <c r="C3042">
        <f t="shared" si="190"/>
        <v>-0.19176316997234755</v>
      </c>
      <c r="D3042">
        <f t="shared" si="191"/>
        <v>-31.323525036137802</v>
      </c>
      <c r="R3042">
        <f t="shared" si="188"/>
        <v>3.04</v>
      </c>
      <c r="S3042">
        <f t="shared" si="189"/>
        <v>-0.19176316997234755</v>
      </c>
    </row>
    <row r="3043" spans="1:19" x14ac:dyDescent="0.3">
      <c r="A3043">
        <v>3.0409999999999999</v>
      </c>
      <c r="B3043">
        <f>Uo*COS(2*PI()*Wn*Sheet2!A3043) + (Vo/Wn - (Po*(w/Wn))/(K*(1-(w/Wn)^2)))*SIN(2*PI()*Wn*Sheet2!A3043) +(Po*SIN(2*PI()*w*Sheet2!A3043))/(K*(1-(w/Wn)^2))</f>
        <v>-0.26273532263161242</v>
      </c>
      <c r="C3043">
        <f t="shared" si="190"/>
        <v>-0.16866963995999421</v>
      </c>
      <c r="D3043">
        <f t="shared" si="191"/>
        <v>-27.551315984634009</v>
      </c>
      <c r="R3043">
        <f t="shared" si="188"/>
        <v>3.0409999999999999</v>
      </c>
      <c r="S3043">
        <f t="shared" si="189"/>
        <v>-0.16866963995999421</v>
      </c>
    </row>
    <row r="3044" spans="1:19" x14ac:dyDescent="0.3">
      <c r="A3044">
        <v>3.0419999999999998</v>
      </c>
      <c r="B3044">
        <f>Uo*COS(2*PI()*Wn*Sheet2!A3044) + (Vo/Wn - (Po*(w/Wn))/(K*(1-(w/Wn)^2)))*SIN(2*PI()*Wn*Sheet2!A3044) +(Po*SIN(2*PI()*w*Sheet2!A3044))/(K*(1-(w/Wn)^2))</f>
        <v>9.8747901123203627E-2</v>
      </c>
      <c r="C3044">
        <f t="shared" si="190"/>
        <v>-0.14556276142020552</v>
      </c>
      <c r="D3044">
        <f t="shared" si="191"/>
        <v>-23.776926520002</v>
      </c>
      <c r="R3044">
        <f t="shared" si="188"/>
        <v>3.0419999999999998</v>
      </c>
      <c r="S3044">
        <f t="shared" si="189"/>
        <v>-0.14556276142020552</v>
      </c>
    </row>
    <row r="3045" spans="1:19" x14ac:dyDescent="0.3">
      <c r="A3045">
        <v>3.0430000000000001</v>
      </c>
      <c r="B3045">
        <f>Uo*COS(2*PI()*Wn*Sheet2!A3045) + (Vo/Wn - (Po*(w/Wn))/(K*(1-(w/Wn)^2)))*SIN(2*PI()*Wn*Sheet2!A3045) +(Po*SIN(2*PI()*w*Sheet2!A3045))/(K*(1-(w/Wn)^2))</f>
        <v>0.46019886583544162</v>
      </c>
      <c r="C3045">
        <f t="shared" si="190"/>
        <v>-0.12245010021373037</v>
      </c>
      <c r="D3045">
        <f t="shared" si="191"/>
        <v>-20.001592486583629</v>
      </c>
      <c r="R3045">
        <f t="shared" si="188"/>
        <v>3.0430000000000001</v>
      </c>
      <c r="S3045">
        <f t="shared" si="189"/>
        <v>-0.12245010021373037</v>
      </c>
    </row>
    <row r="3046" spans="1:19" x14ac:dyDescent="0.3">
      <c r="A3046">
        <v>3.044</v>
      </c>
      <c r="B3046">
        <f>Uo*COS(2*PI()*Wn*Sheet2!A3046) + (Vo/Wn - (Po*(w/Wn))/(K*(1-(w/Wn)^2)))*SIN(2*PI()*Wn*Sheet2!A3046) +(Po*SIN(2*PI()*w*Sheet2!A3046))/(K*(1-(w/Wn)^2))</f>
        <v>0.82149949241690512</v>
      </c>
      <c r="C3046">
        <f t="shared" si="190"/>
        <v>-9.9339210426115807E-2</v>
      </c>
      <c r="D3046">
        <f t="shared" si="191"/>
        <v>-16.226547805302257</v>
      </c>
      <c r="R3046">
        <f t="shared" si="188"/>
        <v>3.044</v>
      </c>
      <c r="S3046">
        <f t="shared" si="189"/>
        <v>-9.9339210426115807E-2</v>
      </c>
    </row>
    <row r="3047" spans="1:19" x14ac:dyDescent="0.3">
      <c r="A3047">
        <v>3.0449999999999999</v>
      </c>
      <c r="B3047">
        <f>Uo*COS(2*PI()*Wn*Sheet2!A3047) + (Vo/Wn - (Po*(w/Wn))/(K*(1-(w/Wn)^2)))*SIN(2*PI()*Wn*Sheet2!A3047) +(Po*SIN(2*PI()*w*Sheet2!A3047))/(K*(1-(w/Wn)^2))</f>
        <v>1.1825317508919782</v>
      </c>
      <c r="C3047">
        <f t="shared" si="190"/>
        <v>-7.6237631923370949E-2</v>
      </c>
      <c r="D3047">
        <f t="shared" si="191"/>
        <v>-12.453024074393038</v>
      </c>
      <c r="R3047">
        <f t="shared" si="188"/>
        <v>3.0449999999999999</v>
      </c>
      <c r="S3047">
        <f t="shared" si="189"/>
        <v>-7.6237631923370949E-2</v>
      </c>
    </row>
    <row r="3048" spans="1:19" x14ac:dyDescent="0.3">
      <c r="A3048">
        <v>3.0459999999999998</v>
      </c>
      <c r="B3048">
        <f>Uo*COS(2*PI()*Wn*Sheet2!A3048) + (Vo/Wn - (Po*(w/Wn))/(K*(1-(w/Wn)^2)))*SIN(2*PI()*Wn*Sheet2!A3048) +(Po*SIN(2*PI()*w*Sheet2!A3048))/(K*(1-(w/Wn)^2))</f>
        <v>1.5431776989561761</v>
      </c>
      <c r="C3048">
        <f t="shared" si="190"/>
        <v>-5.3152887916776644E-2</v>
      </c>
      <c r="D3048">
        <f t="shared" si="191"/>
        <v>-8.6822501716271443</v>
      </c>
      <c r="R3048">
        <f t="shared" si="188"/>
        <v>3.0459999999999998</v>
      </c>
      <c r="S3048">
        <f t="shared" si="189"/>
        <v>-5.3152887916776644E-2</v>
      </c>
    </row>
    <row r="3049" spans="1:19" x14ac:dyDescent="0.3">
      <c r="A3049">
        <v>3.0470000000000002</v>
      </c>
      <c r="B3049">
        <f>Uo*COS(2*PI()*Wn*Sheet2!A3049) + (Vo/Wn - (Po*(w/Wn))/(K*(1-(w/Wn)^2)))*SIN(2*PI()*Wn*Sheet2!A3049) +(Po*SIN(2*PI()*w*Sheet2!A3049))/(K*(1-(w/Wn)^2))</f>
        <v>1.9033195205047801</v>
      </c>
      <c r="C3049">
        <f t="shared" si="190"/>
        <v>-3.0092482537482815E-2</v>
      </c>
      <c r="D3049">
        <f t="shared" si="191"/>
        <v>-4.915451858134734</v>
      </c>
      <c r="R3049">
        <f t="shared" si="188"/>
        <v>3.0470000000000002</v>
      </c>
      <c r="S3049">
        <f t="shared" si="189"/>
        <v>-3.0092482537482815E-2</v>
      </c>
    </row>
    <row r="3050" spans="1:19" x14ac:dyDescent="0.3">
      <c r="A3050">
        <v>3.048</v>
      </c>
      <c r="B3050">
        <f>Uo*COS(2*PI()*Wn*Sheet2!A3050) + (Vo/Wn - (Po*(w/Wn))/(K*(1-(w/Wn)^2)))*SIN(2*PI()*Wn*Sheet2!A3050) +(Po*SIN(2*PI()*w*Sheet2!A3050))/(K*(1-(w/Wn)^2))</f>
        <v>2.2628395641215229</v>
      </c>
      <c r="C3050">
        <f t="shared" si="190"/>
        <v>-7.0638984217226289E-3</v>
      </c>
      <c r="D3050">
        <f t="shared" si="191"/>
        <v>-1.1538513839621545</v>
      </c>
      <c r="R3050">
        <f t="shared" si="188"/>
        <v>3.048</v>
      </c>
      <c r="S3050">
        <f t="shared" si="189"/>
        <v>-7.0638984217226289E-3</v>
      </c>
    </row>
    <row r="3051" spans="1:19" x14ac:dyDescent="0.3">
      <c r="A3051">
        <v>3.0489999999999999</v>
      </c>
      <c r="B3051">
        <f>Uo*COS(2*PI()*Wn*Sheet2!A3051) + (Vo/Wn - (Po*(w/Wn))/(K*(1-(w/Wn)^2)))*SIN(2*PI()*Wn*Sheet2!A3051) +(Po*SIN(2*PI()*w*Sheet2!A3051))/(K*(1-(w/Wn)^2))</f>
        <v>2.6216203815134689</v>
      </c>
      <c r="C3051">
        <f t="shared" si="190"/>
        <v>1.59254056925975E-2</v>
      </c>
      <c r="D3051">
        <f t="shared" si="191"/>
        <v>2.6013329045126992</v>
      </c>
      <c r="R3051">
        <f t="shared" si="188"/>
        <v>3.0489999999999999</v>
      </c>
      <c r="S3051">
        <f t="shared" si="189"/>
        <v>1.59254056925975E-2</v>
      </c>
    </row>
    <row r="3052" spans="1:19" x14ac:dyDescent="0.3">
      <c r="A3052">
        <v>3.05</v>
      </c>
      <c r="B3052">
        <f>Uo*COS(2*PI()*Wn*Sheet2!A3052) + (Vo/Wn - (Po*(w/Wn))/(K*(1-(w/Wn)^2)))*SIN(2*PI()*Wn*Sheet2!A3052) +(Po*SIN(2*PI()*w*Sheet2!A3052))/(K*(1-(w/Wn)^2))</f>
        <v>2.9795447658781278</v>
      </c>
      <c r="C3052">
        <f t="shared" si="190"/>
        <v>3.8867997357167304E-2</v>
      </c>
      <c r="D3052">
        <f t="shared" si="191"/>
        <v>6.3488869551819063</v>
      </c>
      <c r="R3052">
        <f t="shared" si="188"/>
        <v>3.05</v>
      </c>
      <c r="S3052">
        <f t="shared" si="189"/>
        <v>3.8867997357167304E-2</v>
      </c>
    </row>
    <row r="3053" spans="1:19" x14ac:dyDescent="0.3">
      <c r="A3053">
        <v>3.0510000000000002</v>
      </c>
      <c r="B3053">
        <f>Uo*COS(2*PI()*Wn*Sheet2!A3053) + (Vo/Wn - (Po*(w/Wn))/(K*(1-(w/Wn)^2)))*SIN(2*PI()*Wn*Sheet2!A3053) +(Po*SIN(2*PI()*w*Sheet2!A3053))/(K*(1-(w/Wn)^2))</f>
        <v>3.3364957901939341</v>
      </c>
      <c r="C3053">
        <f t="shared" si="190"/>
        <v>6.1756472791652424E-2</v>
      </c>
      <c r="D3053">
        <f t="shared" si="191"/>
        <v>10.08760139870359</v>
      </c>
      <c r="R3053">
        <f t="shared" si="188"/>
        <v>3.0510000000000002</v>
      </c>
      <c r="S3053">
        <f t="shared" si="189"/>
        <v>6.1756472791652424E-2</v>
      </c>
    </row>
    <row r="3054" spans="1:19" x14ac:dyDescent="0.3">
      <c r="A3054">
        <v>3.052</v>
      </c>
      <c r="B3054">
        <f>Uo*COS(2*PI()*Wn*Sheet2!A3054) + (Vo/Wn - (Po*(w/Wn))/(K*(1-(w/Wn)^2)))*SIN(2*PI()*Wn*Sheet2!A3054) +(Po*SIN(2*PI()*w*Sheet2!A3054))/(K*(1-(w/Wn)^2))</f>
        <v>3.6923568454163731</v>
      </c>
      <c r="C3054">
        <f t="shared" si="190"/>
        <v>8.4583459248377554E-2</v>
      </c>
      <c r="D3054">
        <f t="shared" si="191"/>
        <v>13.816271934760724</v>
      </c>
      <c r="R3054">
        <f t="shared" si="188"/>
        <v>3.052</v>
      </c>
      <c r="S3054">
        <f t="shared" si="189"/>
        <v>8.4583459248377554E-2</v>
      </c>
    </row>
    <row r="3055" spans="1:19" x14ac:dyDescent="0.3">
      <c r="A3055">
        <v>3.0529999999999999</v>
      </c>
      <c r="B3055">
        <f>Uo*COS(2*PI()*Wn*Sheet2!A3055) + (Vo/Wn - (Po*(w/Wn))/(K*(1-(w/Wn)^2)))*SIN(2*PI()*Wn*Sheet2!A3055) +(Po*SIN(2*PI()*w*Sheet2!A3055))/(K*(1-(w/Wn)^2))</f>
        <v>4.0470116785737407</v>
      </c>
      <c r="C3055">
        <f t="shared" si="190"/>
        <v>0.10734161736270052</v>
      </c>
      <c r="D3055">
        <f t="shared" si="191"/>
        <v>17.533699715982603</v>
      </c>
      <c r="R3055">
        <f t="shared" si="188"/>
        <v>3.0529999999999999</v>
      </c>
      <c r="S3055">
        <f t="shared" si="189"/>
        <v>0.10734161736270052</v>
      </c>
    </row>
    <row r="3056" spans="1:19" x14ac:dyDescent="0.3">
      <c r="A3056">
        <v>3.0539999999999998</v>
      </c>
      <c r="B3056">
        <f>Uo*COS(2*PI()*Wn*Sheet2!A3056) + (Vo/Wn - (Po*(w/Wn))/(K*(1-(w/Wn)^2)))*SIN(2*PI()*Wn*Sheet2!A3056) +(Po*SIN(2*PI()*w*Sheet2!A3056))/(K*(1-(w/Wn)^2))</f>
        <v>4.4003444307437718</v>
      </c>
      <c r="C3056">
        <f t="shared" si="190"/>
        <v>0.13002364348815657</v>
      </c>
      <c r="D3056">
        <f t="shared" si="191"/>
        <v>21.238691729378637</v>
      </c>
      <c r="R3056">
        <f t="shared" si="188"/>
        <v>3.0539999999999998</v>
      </c>
      <c r="S3056">
        <f t="shared" si="189"/>
        <v>0.13002364348815657</v>
      </c>
    </row>
    <row r="3057" spans="1:19" x14ac:dyDescent="0.3">
      <c r="A3057">
        <v>3.0550000000000002</v>
      </c>
      <c r="B3057">
        <f>Uo*COS(2*PI()*Wn*Sheet2!A3057) + (Vo/Wn - (Po*(w/Wn))/(K*(1-(w/Wn)^2)))*SIN(2*PI()*Wn*Sheet2!A3057) +(Po*SIN(2*PI()*w*Sheet2!A3057))/(K*(1-(w/Wn)^2))</f>
        <v>4.7522396749023894</v>
      </c>
      <c r="C3057">
        <f t="shared" si="190"/>
        <v>0.15262227201578127</v>
      </c>
      <c r="D3057">
        <f t="shared" si="191"/>
        <v>24.930061175187788</v>
      </c>
      <c r="R3057">
        <f t="shared" si="188"/>
        <v>3.0550000000000002</v>
      </c>
      <c r="S3057">
        <f t="shared" si="189"/>
        <v>0.15262227201578127</v>
      </c>
    </row>
    <row r="3058" spans="1:19" x14ac:dyDescent="0.3">
      <c r="A3058">
        <v>3.056</v>
      </c>
      <c r="B3058">
        <f>Uo*COS(2*PI()*Wn*Sheet2!A3058) + (Vo/Wn - (Po*(w/Wn))/(K*(1-(w/Wn)^2)))*SIN(2*PI()*Wn*Sheet2!A3058) +(Po*SIN(2*PI()*w*Sheet2!A3058))/(K*(1-(w/Wn)^2))</f>
        <v>5.1025824536317792</v>
      </c>
      <c r="C3058">
        <f t="shared" si="190"/>
        <v>0.17513027767676845</v>
      </c>
      <c r="D3058">
        <f t="shared" si="191"/>
        <v>28.606627843005853</v>
      </c>
      <c r="R3058">
        <f t="shared" si="188"/>
        <v>3.056</v>
      </c>
      <c r="S3058">
        <f t="shared" si="189"/>
        <v>0.17513027767676845</v>
      </c>
    </row>
    <row r="3059" spans="1:19" x14ac:dyDescent="0.3">
      <c r="A3059">
        <v>3.0569999999999999</v>
      </c>
      <c r="B3059">
        <f>Uo*COS(2*PI()*Wn*Sheet2!A3059) + (Vo/Wn - (Po*(w/Wn))/(K*(1-(w/Wn)^2)))*SIN(2*PI()*Wn*Sheet2!A3059) +(Po*SIN(2*PI()*w*Sheet2!A3059))/(K*(1-(w/Wn)^2))</f>
        <v>5.4512583166751742</v>
      </c>
      <c r="C3059">
        <f t="shared" si="190"/>
        <v>0.19754047782793704</v>
      </c>
      <c r="D3059">
        <f t="shared" si="191"/>
        <v>32.267218485104713</v>
      </c>
      <c r="R3059">
        <f t="shared" si="188"/>
        <v>3.0569999999999999</v>
      </c>
      <c r="S3059">
        <f t="shared" si="189"/>
        <v>0.19754047782793704</v>
      </c>
    </row>
    <row r="3060" spans="1:19" x14ac:dyDescent="0.3">
      <c r="A3060">
        <v>3.0579999999999998</v>
      </c>
      <c r="B3060">
        <f>Uo*COS(2*PI()*Wn*Sheet2!A3060) + (Vo/Wn - (Po*(w/Wn))/(K*(1-(w/Wn)^2)))*SIN(2*PI()*Wn*Sheet2!A3060) +(Po*SIN(2*PI()*w*Sheet2!A3060))/(K*(1-(w/Wn)^2))</f>
        <v>5.7981533583245994</v>
      </c>
      <c r="C3060">
        <f t="shared" si="190"/>
        <v>0.21984573471897897</v>
      </c>
      <c r="D3060">
        <f t="shared" si="191"/>
        <v>35.910667186775569</v>
      </c>
      <c r="R3060">
        <f t="shared" si="188"/>
        <v>3.0579999999999998</v>
      </c>
      <c r="S3060">
        <f t="shared" si="189"/>
        <v>0.21984573471897897</v>
      </c>
    </row>
    <row r="3061" spans="1:19" x14ac:dyDescent="0.3">
      <c r="A3061">
        <v>3.0590000000000002</v>
      </c>
      <c r="B3061">
        <f>Uo*COS(2*PI()*Wn*Sheet2!A3061) + (Vo/Wn - (Po*(w/Wn))/(K*(1-(w/Wn)^2)))*SIN(2*PI()*Wn*Sheet2!A3061) +(Po*SIN(2*PI()*w*Sheet2!A3061))/(K*(1-(w/Wn)^2))</f>
        <v>6.1431542546329094</v>
      </c>
      <c r="C3061">
        <f t="shared" si="190"/>
        <v>0.24203895774110462</v>
      </c>
      <c r="D3061">
        <f t="shared" si="191"/>
        <v>39.535815733633584</v>
      </c>
      <c r="R3061">
        <f t="shared" si="188"/>
        <v>3.0590000000000002</v>
      </c>
      <c r="S3061">
        <f t="shared" si="189"/>
        <v>0.24203895774110462</v>
      </c>
    </row>
    <row r="3062" spans="1:19" x14ac:dyDescent="0.3">
      <c r="A3062">
        <v>3.06</v>
      </c>
      <c r="B3062">
        <f>Uo*COS(2*PI()*Wn*Sheet2!A3062) + (Vo/Wn - (Po*(w/Wn))/(K*(1-(w/Wn)^2)))*SIN(2*PI()*Wn*Sheet2!A3062) +(Po*SIN(2*PI()*w*Sheet2!A3062))/(K*(1-(w/Wn)^2))</f>
        <v>6.4861483004329124</v>
      </c>
      <c r="C3062">
        <f t="shared" si="190"/>
        <v>0.26411310565614354</v>
      </c>
      <c r="D3062">
        <f t="shared" si="191"/>
        <v>43.141513975730007</v>
      </c>
      <c r="R3062">
        <f t="shared" si="188"/>
        <v>3.06</v>
      </c>
      <c r="S3062">
        <f t="shared" si="189"/>
        <v>0.26411310565614354</v>
      </c>
    </row>
    <row r="3063" spans="1:19" x14ac:dyDescent="0.3">
      <c r="A3063">
        <v>3.0609999999999999</v>
      </c>
      <c r="B3063">
        <f>Uo*COS(2*PI()*Wn*Sheet2!A3063) + (Vo/Wn - (Po*(w/Wn))/(K*(1-(w/Wn)^2)))*SIN(2*PI()*Wn*Sheet2!A3063) +(Po*SIN(2*PI()*w*Sheet2!A3063))/(K*(1-(w/Wn)^2))</f>
        <v>6.827023446157745</v>
      </c>
      <c r="C3063">
        <f t="shared" si="190"/>
        <v>0.28606118880560083</v>
      </c>
      <c r="D3063">
        <f t="shared" si="191"/>
        <v>46.726620188390115</v>
      </c>
      <c r="R3063">
        <f t="shared" si="188"/>
        <v>3.0609999999999999</v>
      </c>
      <c r="S3063">
        <f t="shared" si="189"/>
        <v>0.28606118880560083</v>
      </c>
    </row>
    <row r="3064" spans="1:19" x14ac:dyDescent="0.3">
      <c r="A3064">
        <v>3.0619999999999998</v>
      </c>
      <c r="B3064">
        <f>Uo*COS(2*PI()*Wn*Sheet2!A3064) + (Vo/Wn - (Po*(w/Wn))/(K*(1-(w/Wn)^2)))*SIN(2*PI()*Wn*Sheet2!A3064) +(Po*SIN(2*PI()*w*Sheet2!A3064))/(K*(1-(w/Wn)^2))</f>
        <v>7.1656683344443639</v>
      </c>
      <c r="C3064">
        <f t="shared" si="190"/>
        <v>0.30787627129880463</v>
      </c>
      <c r="D3064">
        <f t="shared" si="191"/>
        <v>50.290001429635851</v>
      </c>
      <c r="R3064">
        <f t="shared" si="188"/>
        <v>3.0619999999999998</v>
      </c>
      <c r="S3064">
        <f t="shared" si="189"/>
        <v>0.30787627129880463</v>
      </c>
    </row>
    <row r="3065" spans="1:19" x14ac:dyDescent="0.3">
      <c r="A3065">
        <v>3.0630000000000002</v>
      </c>
      <c r="B3065">
        <f>Uo*COS(2*PI()*Wn*Sheet2!A3065) + (Vo/Wn - (Po*(w/Wn))/(K*(1-(w/Wn)^2)))*SIN(2*PI()*Wn*Sheet2!A3065) +(Po*SIN(2*PI()*w*Sheet2!A3065))/(K*(1-(w/Wn)^2))</f>
        <v>7.5019723365117308</v>
      </c>
      <c r="C3065">
        <f t="shared" si="190"/>
        <v>0.32955147317960293</v>
      </c>
      <c r="D3065">
        <f t="shared" si="191"/>
        <v>53.830533894104555</v>
      </c>
      <c r="R3065">
        <f t="shared" si="188"/>
        <v>3.0630000000000002</v>
      </c>
      <c r="S3065">
        <f t="shared" si="189"/>
        <v>0.32955147317960293</v>
      </c>
    </row>
    <row r="3066" spans="1:19" x14ac:dyDescent="0.3">
      <c r="A3066">
        <v>3.0640000000000001</v>
      </c>
      <c r="B3066">
        <f>Uo*COS(2*PI()*Wn*Sheet2!A3066) + (Vo/Wn - (Po*(w/Wn))/(K*(1-(w/Wn)^2)))*SIN(2*PI()*Wn*Sheet2!A3066) +(Po*SIN(2*PI()*w*Sheet2!A3066))/(K*(1-(w/Wn)^2))</f>
        <v>7.8358255883013781</v>
      </c>
      <c r="C3066">
        <f t="shared" si="190"/>
        <v>0.35107997257083295</v>
      </c>
      <c r="D3066">
        <f t="shared" si="191"/>
        <v>57.34710326333699</v>
      </c>
      <c r="R3066">
        <f t="shared" si="188"/>
        <v>3.0640000000000001</v>
      </c>
      <c r="S3066">
        <f t="shared" si="189"/>
        <v>0.35107997257083295</v>
      </c>
    </row>
    <row r="3067" spans="1:19" x14ac:dyDescent="0.3">
      <c r="A3067">
        <v>3.0649999999999999</v>
      </c>
      <c r="B3067">
        <f>Uo*COS(2*PI()*Wn*Sheet2!A3067) + (Vo/Wn - (Po*(w/Wn))/(K*(1-(w/Wn)^2)))*SIN(2*PI()*Wn*Sheet2!A3067) +(Po*SIN(2*PI()*w*Sheet2!A3067))/(K*(1-(w/Wn)^2))</f>
        <v>8.167119026368276</v>
      </c>
      <c r="C3067">
        <f t="shared" si="190"/>
        <v>0.37245500779609031</v>
      </c>
      <c r="D3067">
        <f t="shared" si="191"/>
        <v>60.838605052357401</v>
      </c>
      <c r="R3067">
        <f t="shared" si="188"/>
        <v>3.0649999999999999</v>
      </c>
      <c r="S3067">
        <f t="shared" si="189"/>
        <v>0.37245500779609031</v>
      </c>
    </row>
    <row r="3068" spans="1:19" x14ac:dyDescent="0.3">
      <c r="A3068">
        <v>3.0659999999999998</v>
      </c>
      <c r="B3068">
        <f>Uo*COS(2*PI()*Wn*Sheet2!A3068) + (Vo/Wn - (Po*(w/Wn))/(K*(1-(w/Wn)^2)))*SIN(2*PI()*Wn*Sheet2!A3068) +(Po*SIN(2*PI()*w*Sheet2!A3068))/(K*(1-(w/Wn)^2))</f>
        <v>8.4957444235088548</v>
      </c>
      <c r="C3068">
        <f t="shared" si="190"/>
        <v>0.39366987947784504</v>
      </c>
      <c r="D3068">
        <f t="shared" si="191"/>
        <v>64.303944952389926</v>
      </c>
      <c r="R3068">
        <f t="shared" si="188"/>
        <v>3.0659999999999998</v>
      </c>
      <c r="S3068">
        <f t="shared" si="189"/>
        <v>0.39366987947784504</v>
      </c>
    </row>
    <row r="3069" spans="1:19" x14ac:dyDescent="0.3">
      <c r="A3069">
        <v>3.0670000000000002</v>
      </c>
      <c r="B3069">
        <f>Uo*COS(2*PI()*Wn*Sheet2!A3069) + (Vo/Wn - (Po*(w/Wn))/(K*(1-(w/Wn)^2)))*SIN(2*PI()*Wn*Sheet2!A3069) +(Po*SIN(2*PI()*w*Sheet2!A3069))/(K*(1-(w/Wn)^2))</f>
        <v>8.8215944241179116</v>
      </c>
      <c r="C3069">
        <f t="shared" si="190"/>
        <v>0.41471795261157424</v>
      </c>
      <c r="D3069">
        <f t="shared" si="191"/>
        <v>67.742039169657502</v>
      </c>
      <c r="R3069">
        <f t="shared" si="188"/>
        <v>3.0670000000000002</v>
      </c>
      <c r="S3069">
        <f t="shared" si="189"/>
        <v>0.41471795261157424</v>
      </c>
    </row>
    <row r="3070" spans="1:19" x14ac:dyDescent="0.3">
      <c r="A3070">
        <v>3.0680000000000001</v>
      </c>
      <c r="B3070">
        <f>Uo*COS(2*PI()*Wn*Sheet2!A3070) + (Vo/Wn - (Po*(w/Wn))/(K*(1-(w/Wn)^2)))*SIN(2*PI()*Wn*Sheet2!A3070) +(Po*SIN(2*PI()*w*Sheet2!A3070))/(K*(1-(w/Wn)^2))</f>
        <v>9.1445625792580945</v>
      </c>
      <c r="C3070">
        <f t="shared" si="190"/>
        <v>0.43559265861504443</v>
      </c>
      <c r="D3070">
        <f t="shared" si="191"/>
        <v>71.151814760121525</v>
      </c>
      <c r="R3070">
        <f t="shared" si="188"/>
        <v>3.0680000000000001</v>
      </c>
      <c r="S3070">
        <f t="shared" si="189"/>
        <v>0.43559265861504443</v>
      </c>
    </row>
    <row r="3071" spans="1:19" x14ac:dyDescent="0.3">
      <c r="A3071">
        <v>3.069</v>
      </c>
      <c r="B3071">
        <f>Uo*COS(2*PI()*Wn*Sheet2!A3071) + (Vo/Wn - (Po*(w/Wn))/(K*(1-(w/Wn)^2)))*SIN(2*PI()*Wn*Sheet2!A3071) +(Po*SIN(2*PI()*w*Sheet2!A3071))/(K*(1-(w/Wn)^2))</f>
        <v>9.464543381436382</v>
      </c>
      <c r="C3071">
        <f t="shared" si="190"/>
        <v>0.456287497352306</v>
      </c>
      <c r="D3071">
        <f t="shared" si="191"/>
        <v>74.532209960090967</v>
      </c>
      <c r="R3071">
        <f t="shared" si="188"/>
        <v>3.069</v>
      </c>
      <c r="S3071">
        <f t="shared" si="189"/>
        <v>0.456287497352306</v>
      </c>
    </row>
    <row r="3072" spans="1:19" x14ac:dyDescent="0.3">
      <c r="A3072">
        <v>3.07</v>
      </c>
      <c r="B3072">
        <f>Uo*COS(2*PI()*Wn*Sheet2!A3072) + (Vo/Wn - (Po*(w/Wn))/(K*(1-(w/Wn)^2)))*SIN(2*PI()*Wn*Sheet2!A3072) +(Po*SIN(2*PI()*w*Sheet2!A3072))/(K*(1-(w/Wn)^2))</f>
        <v>9.7814322990704579</v>
      </c>
      <c r="C3072">
        <f t="shared" si="190"/>
        <v>0.47679603913161067</v>
      </c>
      <c r="D3072">
        <f t="shared" si="191"/>
        <v>77.882174512571822</v>
      </c>
      <c r="R3072">
        <f t="shared" si="188"/>
        <v>3.07</v>
      </c>
      <c r="S3072">
        <f t="shared" si="189"/>
        <v>0.47679603913161067</v>
      </c>
    </row>
    <row r="3073" spans="1:19" x14ac:dyDescent="0.3">
      <c r="A3073">
        <v>3.0710000000000002</v>
      </c>
      <c r="B3073">
        <f>Uo*COS(2*PI()*Wn*Sheet2!A3073) + (Vo/Wn - (Po*(w/Wn))/(K*(1-(w/Wn)^2)))*SIN(2*PI()*Wn*Sheet2!A3073) +(Po*SIN(2*PI()*w*Sheet2!A3073))/(K*(1-(w/Wn)^2))</f>
        <v>10.09512581063705</v>
      </c>
      <c r="C3073">
        <f t="shared" si="190"/>
        <v>0.4971119266767754</v>
      </c>
      <c r="D3073">
        <f t="shared" si="191"/>
        <v>81.200669989279334</v>
      </c>
      <c r="R3073">
        <f t="shared" ref="R3073:R3136" si="192">A3073</f>
        <v>3.0710000000000002</v>
      </c>
      <c r="S3073">
        <f t="shared" ref="S3073:S3136" si="193">C3073</f>
        <v>0.4971119266767754</v>
      </c>
    </row>
    <row r="3074" spans="1:19" x14ac:dyDescent="0.3">
      <c r="A3074">
        <v>3.0720000000000001</v>
      </c>
      <c r="B3074">
        <f>Uo*COS(2*PI()*Wn*Sheet2!A3074) + (Vo/Wn - (Po*(w/Wn))/(K*(1-(w/Wn)^2)))*SIN(2*PI()*Wn*Sheet2!A3074) +(Po*SIN(2*PI()*w*Sheet2!A3074))/(K*(1-(w/Wn)^2))</f>
        <v>10.405521438490812</v>
      </c>
      <c r="C3074">
        <f t="shared" ref="C3074:C3137" si="194">EXP(-zeta*Wn*A3074*2*PI())*($H$1*COS(wnD*2*PI()*A3074) + $H$2*SIN(wnD*2*PI()*A3074)) + $H$3*SIN(w*2*PI()*A3074) + $H$4*COS(w*2*PI()*A3074)</f>
        <v>0.51722887707130805</v>
      </c>
      <c r="D3074">
        <f t="shared" ref="D3074:D3137" si="195">K*C3074</f>
        <v>84.486670108200769</v>
      </c>
      <c r="R3074">
        <f t="shared" si="192"/>
        <v>3.0720000000000001</v>
      </c>
      <c r="S3074">
        <f t="shared" si="193"/>
        <v>0.51722887707130805</v>
      </c>
    </row>
    <row r="3075" spans="1:19" x14ac:dyDescent="0.3">
      <c r="A3075">
        <v>3.073</v>
      </c>
      <c r="B3075">
        <f>Uo*COS(2*PI()*Wn*Sheet2!A3075) + (Vo/Wn - (Po*(w/Wn))/(K*(1-(w/Wn)^2)))*SIN(2*PI()*Wn*Sheet2!A3075) +(Po*SIN(2*PI()*w*Sheet2!A3075))/(K*(1-(w/Wn)^2))</f>
        <v>10.712517782341532</v>
      </c>
      <c r="C3075">
        <f t="shared" si="194"/>
        <v>0.53714068367481949</v>
      </c>
      <c r="D3075">
        <f t="shared" si="195"/>
        <v>87.739161046631565</v>
      </c>
      <c r="R3075">
        <f t="shared" si="192"/>
        <v>3.073</v>
      </c>
      <c r="S3075">
        <f t="shared" si="193"/>
        <v>0.53714068367481949</v>
      </c>
    </row>
    <row r="3076" spans="1:19" x14ac:dyDescent="0.3">
      <c r="A3076">
        <v>3.0739999999999998</v>
      </c>
      <c r="B3076">
        <f>Uo*COS(2*PI()*Wn*Sheet2!A3076) + (Vo/Wn - (Po*(w/Wn))/(K*(1-(w/Wn)^2)))*SIN(2*PI()*Wn*Sheet2!A3076) +(Po*SIN(2*PI()*w*Sheet2!A3076))/(K*(1-(w/Wn)^2))</f>
        <v>11.016014552380051</v>
      </c>
      <c r="C3076">
        <f t="shared" si="194"/>
        <v>0.55684121801104036</v>
      </c>
      <c r="D3076">
        <f t="shared" si="195"/>
        <v>90.957141749573069</v>
      </c>
      <c r="R3076">
        <f t="shared" si="192"/>
        <v>3.0739999999999998</v>
      </c>
      <c r="S3076">
        <f t="shared" si="193"/>
        <v>0.55684121801104036</v>
      </c>
    </row>
    <row r="3077" spans="1:19" x14ac:dyDescent="0.3">
      <c r="A3077">
        <v>3.0750000000000002</v>
      </c>
      <c r="B3077">
        <f>Uo*COS(2*PI()*Wn*Sheet2!A3077) + (Vo/Wn - (Po*(w/Wn))/(K*(1-(w/Wn)^2)))*SIN(2*PI()*Wn*Sheet2!A3077) +(Po*SIN(2*PI()*w*Sheet2!A3077))/(K*(1-(w/Wn)^2))</f>
        <v>11.315912602040861</v>
      </c>
      <c r="C3077">
        <f t="shared" si="194"/>
        <v>0.5763244316268874</v>
      </c>
      <c r="D3077">
        <f t="shared" si="195"/>
        <v>94.139624233401477</v>
      </c>
      <c r="R3077">
        <f t="shared" si="192"/>
        <v>3.0750000000000002</v>
      </c>
      <c r="S3077">
        <f t="shared" si="193"/>
        <v>0.5763244316268874</v>
      </c>
    </row>
    <row r="3078" spans="1:19" x14ac:dyDescent="0.3">
      <c r="A3078">
        <v>3.0760000000000001</v>
      </c>
      <c r="B3078">
        <f>Uo*COS(2*PI()*Wn*Sheet2!A3078) + (Vo/Wn - (Po*(w/Wn))/(K*(1-(w/Wn)^2)))*SIN(2*PI()*Wn*Sheet2!A3078) +(Po*SIN(2*PI()*w*Sheet2!A3078))/(K*(1-(w/Wn)^2))</f>
        <v>11.612113960390587</v>
      </c>
      <c r="C3078">
        <f t="shared" si="194"/>
        <v>0.59558435792208597</v>
      </c>
      <c r="D3078">
        <f t="shared" si="195"/>
        <v>97.285633884727204</v>
      </c>
      <c r="R3078">
        <f t="shared" si="192"/>
        <v>3.0760000000000001</v>
      </c>
      <c r="S3078">
        <f t="shared" si="193"/>
        <v>0.59558435792208597</v>
      </c>
    </row>
    <row r="3079" spans="1:19" x14ac:dyDescent="0.3">
      <c r="A3079">
        <v>3.077</v>
      </c>
      <c r="B3079">
        <f>Uo*COS(2*PI()*Wn*Sheet2!A3079) + (Vo/Wn - (Po*(w/Wn))/(K*(1-(w/Wn)^2)))*SIN(2*PI()*Wn*Sheet2!A3079) +(Po*SIN(2*PI()*w*Sheet2!A3079))/(K*(1-(w/Wn)^2))</f>
        <v>11.90452186413461</v>
      </c>
      <c r="C3079">
        <f t="shared" si="194"/>
        <v>0.61461511394880719</v>
      </c>
      <c r="D3079">
        <f t="shared" si="195"/>
        <v>100.39420975435635</v>
      </c>
      <c r="R3079">
        <f t="shared" si="192"/>
        <v>3.077</v>
      </c>
      <c r="S3079">
        <f t="shared" si="193"/>
        <v>0.61461511394880719</v>
      </c>
    </row>
    <row r="3080" spans="1:19" x14ac:dyDescent="0.3">
      <c r="A3080">
        <v>3.0779999999999998</v>
      </c>
      <c r="B3080">
        <f>Uo*COS(2*PI()*Wn*Sheet2!A3080) + (Vo/Wn - (Po*(w/Wn))/(K*(1-(w/Wn)^2)))*SIN(2*PI()*Wn*Sheet2!A3080) +(Po*SIN(2*PI()*w*Sheet2!A3080))/(K*(1-(w/Wn)^2))</f>
        <v>12.193040789226945</v>
      </c>
      <c r="C3080">
        <f t="shared" si="194"/>
        <v>0.63341090218068874</v>
      </c>
      <c r="D3080">
        <f t="shared" si="195"/>
        <v>103.46440484625113</v>
      </c>
      <c r="R3080">
        <f t="shared" si="192"/>
        <v>3.0779999999999998</v>
      </c>
      <c r="S3080">
        <f t="shared" si="193"/>
        <v>0.63341090218068874</v>
      </c>
    </row>
    <row r="3081" spans="1:19" x14ac:dyDescent="0.3">
      <c r="A3081">
        <v>3.0790000000000002</v>
      </c>
      <c r="B3081">
        <f>Uo*COS(2*PI()*Wn*Sheet2!A3081) + (Vo/Wn - (Po*(w/Wn))/(K*(1-(w/Wn)^2)))*SIN(2*PI()*Wn*Sheet2!A3081) +(Po*SIN(2*PI()*w*Sheet2!A3081))/(K*(1-(w/Wn)^2))</f>
        <v>12.477576482076017</v>
      </c>
      <c r="C3081">
        <f t="shared" si="194"/>
        <v>0.65196601225082174</v>
      </c>
      <c r="D3081">
        <f t="shared" si="195"/>
        <v>106.49528640142105</v>
      </c>
      <c r="R3081">
        <f t="shared" si="192"/>
        <v>3.0790000000000002</v>
      </c>
      <c r="S3081">
        <f t="shared" si="193"/>
        <v>0.65196601225082174</v>
      </c>
    </row>
    <row r="3082" spans="1:19" x14ac:dyDescent="0.3">
      <c r="A3082">
        <v>3.08</v>
      </c>
      <c r="B3082">
        <f>Uo*COS(2*PI()*Wn*Sheet2!A3082) + (Vo/Wn - (Po*(w/Wn))/(K*(1-(w/Wn)^2)))*SIN(2*PI()*Wn*Sheet2!A3082) +(Po*SIN(2*PI()*w*Sheet2!A3082))/(K*(1-(w/Wn)^2))</f>
        <v>12.758035990335841</v>
      </c>
      <c r="C3082">
        <f t="shared" si="194"/>
        <v>0.67027482265810978</v>
      </c>
      <c r="D3082">
        <f t="shared" si="195"/>
        <v>109.4859361766479</v>
      </c>
      <c r="R3082">
        <f t="shared" si="192"/>
        <v>3.08</v>
      </c>
      <c r="S3082">
        <f t="shared" si="193"/>
        <v>0.67027482265810978</v>
      </c>
    </row>
    <row r="3083" spans="1:19" x14ac:dyDescent="0.3">
      <c r="A3083">
        <v>3.081</v>
      </c>
      <c r="B3083">
        <f>Uo*COS(2*PI()*Wn*Sheet2!A3083) + (Vo/Wn - (Po*(w/Wn))/(K*(1-(w/Wn)^2)))*SIN(2*PI()*Wn*Sheet2!A3083) +(Po*SIN(2*PI()*w*Sheet2!A3083))/(K*(1-(w/Wn)^2))</f>
        <v>13.034327693271528</v>
      </c>
      <c r="C3083">
        <f t="shared" si="194"/>
        <v>0.68833180244160874</v>
      </c>
      <c r="D3083">
        <f t="shared" si="195"/>
        <v>112.43545071798044</v>
      </c>
      <c r="R3083">
        <f t="shared" si="192"/>
        <v>3.081</v>
      </c>
      <c r="S3083">
        <f t="shared" si="193"/>
        <v>0.68833180244160874</v>
      </c>
    </row>
    <row r="3084" spans="1:19" x14ac:dyDescent="0.3">
      <c r="A3084">
        <v>3.0819999999999999</v>
      </c>
      <c r="B3084">
        <f>Uo*COS(2*PI()*Wn*Sheet2!A3084) + (Vo/Wn - (Po*(w/Wn))/(K*(1-(w/Wn)^2)))*SIN(2*PI()*Wn*Sheet2!A3084) +(Po*SIN(2*PI()*w*Sheet2!A3084))/(K*(1-(w/Wn)^2))</f>
        <v>13.30636133169037</v>
      </c>
      <c r="C3084">
        <f t="shared" si="194"/>
        <v>0.70613151282225173</v>
      </c>
      <c r="D3084">
        <f t="shared" si="195"/>
        <v>115.34294162890183</v>
      </c>
      <c r="R3084">
        <f t="shared" si="192"/>
        <v>3.0819999999999999</v>
      </c>
      <c r="S3084">
        <f t="shared" si="193"/>
        <v>0.70613151282225173</v>
      </c>
    </row>
    <row r="3085" spans="1:19" x14ac:dyDescent="0.3">
      <c r="A3085">
        <v>3.0830000000000002</v>
      </c>
      <c r="B3085">
        <f>Uo*COS(2*PI()*Wn*Sheet2!A3085) + (Vo/Wn - (Po*(w/Wn))/(K*(1-(w/Wn)^2)))*SIN(2*PI()*Wn*Sheet2!A3085) +(Po*SIN(2*PI()*w*Sheet2!A3085))/(K*(1-(w/Wn)^2))</f>
        <v>13.574048037427652</v>
      </c>
      <c r="C3085">
        <f t="shared" si="194"/>
        <v>0.72366860881149642</v>
      </c>
      <c r="D3085">
        <f t="shared" si="195"/>
        <v>118.20753583309376</v>
      </c>
      <c r="R3085">
        <f t="shared" si="192"/>
        <v>3.0830000000000002</v>
      </c>
      <c r="S3085">
        <f t="shared" si="193"/>
        <v>0.72366860881149642</v>
      </c>
    </row>
    <row r="3086" spans="1:19" x14ac:dyDescent="0.3">
      <c r="A3086">
        <v>3.0840000000000001</v>
      </c>
      <c r="B3086">
        <f>Uo*COS(2*PI()*Wn*Sheet2!A3086) + (Vo/Wn - (Po*(w/Wn))/(K*(1-(w/Wn)^2)))*SIN(2*PI()*Wn*Sheet2!A3086) +(Po*SIN(2*PI()*w*Sheet2!A3086))/(K*(1-(w/Wn)^2))</f>
        <v>13.837300362377443</v>
      </c>
      <c r="C3086">
        <f t="shared" si="194"/>
        <v>0.74093784078648584</v>
      </c>
      <c r="D3086">
        <f t="shared" si="195"/>
        <v>121.0283758317309</v>
      </c>
      <c r="R3086">
        <f t="shared" si="192"/>
        <v>3.0840000000000001</v>
      </c>
      <c r="S3086">
        <f t="shared" si="193"/>
        <v>0.74093784078648584</v>
      </c>
    </row>
    <row r="3087" spans="1:19" x14ac:dyDescent="0.3">
      <c r="A3087">
        <v>3.085</v>
      </c>
      <c r="B3087">
        <f>Uo*COS(2*PI()*Wn*Sheet2!A3087) + (Vo/Wn - (Po*(w/Wn))/(K*(1-(w/Wn)^2)))*SIN(2*PI()*Wn*Sheet2!A3087) +(Po*SIN(2*PI()*w*Sheet2!A3087))/(K*(1-(w/Wn)^2))</f>
        <v>14.096032307061485</v>
      </c>
      <c r="C3087">
        <f t="shared" si="194"/>
        <v>0.75793405603127029</v>
      </c>
      <c r="D3087">
        <f t="shared" si="195"/>
        <v>123.80461995523159</v>
      </c>
      <c r="R3087">
        <f t="shared" si="192"/>
        <v>3.085</v>
      </c>
      <c r="S3087">
        <f t="shared" si="193"/>
        <v>0.75793405603127029</v>
      </c>
    </row>
    <row r="3088" spans="1:19" x14ac:dyDescent="0.3">
      <c r="A3088">
        <v>3.0859999999999999</v>
      </c>
      <c r="B3088">
        <f>Uo*COS(2*PI()*Wn*Sheet2!A3088) + (Vo/Wn - (Po*(w/Wn))/(K*(1-(w/Wn)^2)))*SIN(2*PI()*Wn*Sheet2!A3088) +(Po*SIN(2*PI()*w*Sheet2!A3088))/(K*(1-(w/Wn)^2))</f>
        <v>14.350159348722825</v>
      </c>
      <c r="C3088">
        <f t="shared" si="194"/>
        <v>0.7746522002435563</v>
      </c>
      <c r="D3088">
        <f t="shared" si="195"/>
        <v>126.53544260937741</v>
      </c>
      <c r="R3088">
        <f t="shared" si="192"/>
        <v>3.0859999999999999</v>
      </c>
      <c r="S3088">
        <f t="shared" si="193"/>
        <v>0.7746522002435563</v>
      </c>
    </row>
    <row r="3089" spans="1:19" x14ac:dyDescent="0.3">
      <c r="A3089">
        <v>3.0870000000000002</v>
      </c>
      <c r="B3089">
        <f>Uo*COS(2*PI()*Wn*Sheet2!A3089) + (Vo/Wn - (Po*(w/Wn))/(K*(1-(w/Wn)^2)))*SIN(2*PI()*Wn*Sheet2!A3089) +(Po*SIN(2*PI()*w*Sheet2!A3089))/(K*(1-(w/Wn)^2))</f>
        <v>14.599598468937668</v>
      </c>
      <c r="C3089">
        <f t="shared" si="194"/>
        <v>0.7910873190066543</v>
      </c>
      <c r="D3089">
        <f t="shared" si="195"/>
        <v>129.22003451574835</v>
      </c>
      <c r="R3089">
        <f t="shared" si="192"/>
        <v>3.0870000000000002</v>
      </c>
      <c r="S3089">
        <f t="shared" si="193"/>
        <v>0.7910873190066543</v>
      </c>
    </row>
    <row r="3090" spans="1:19" x14ac:dyDescent="0.3">
      <c r="A3090">
        <v>3.0880000000000001</v>
      </c>
      <c r="B3090">
        <f>Uo*COS(2*PI()*Wn*Sheet2!A3090) + (Vo/Wn - (Po*(w/Wn))/(K*(1-(w/Wn)^2)))*SIN(2*PI()*Wn*Sheet2!A3090) +(Po*SIN(2*PI()*w*Sheet2!A3090))/(K*(1-(w/Wn)^2))</f>
        <v>14.844268180736231</v>
      </c>
      <c r="C3090">
        <f t="shared" si="194"/>
        <v>0.80723455922612797</v>
      </c>
      <c r="D3090">
        <f t="shared" si="195"/>
        <v>131.85760294639198</v>
      </c>
      <c r="R3090">
        <f t="shared" si="192"/>
        <v>3.0880000000000001</v>
      </c>
      <c r="S3090">
        <f t="shared" si="193"/>
        <v>0.80723455922612797</v>
      </c>
    </row>
    <row r="3091" spans="1:19" x14ac:dyDescent="0.3">
      <c r="A3091">
        <v>3.089</v>
      </c>
      <c r="B3091">
        <f>Uo*COS(2*PI()*Wn*Sheet2!A3091) + (Vo/Wn - (Po*(w/Wn))/(K*(1-(w/Wn)^2)))*SIN(2*PI()*Wn*Sheet2!A3091) +(Po*SIN(2*PI()*w*Sheet2!A3091))/(K*(1-(w/Wn)^2))</f>
        <v>15.084088555222767</v>
      </c>
      <c r="C3091">
        <f t="shared" si="194"/>
        <v>0.82308917053083852</v>
      </c>
      <c r="D3091">
        <f t="shared" si="195"/>
        <v>134.44737195267692</v>
      </c>
      <c r="R3091">
        <f t="shared" si="192"/>
        <v>3.089</v>
      </c>
      <c r="S3091">
        <f t="shared" si="193"/>
        <v>0.82308917053083852</v>
      </c>
    </row>
    <row r="3092" spans="1:19" x14ac:dyDescent="0.3">
      <c r="A3092">
        <v>3.09</v>
      </c>
      <c r="B3092">
        <f>Uo*COS(2*PI()*Wn*Sheet2!A3092) + (Vo/Wn - (Po*(w/Wn))/(K*(1-(w/Wn)^2)))*SIN(2*PI()*Wn*Sheet2!A3092) +(Po*SIN(2*PI()*w*Sheet2!A3092))/(K*(1-(w/Wn)^2))</f>
        <v>15.318981247687081</v>
      </c>
      <c r="C3092">
        <f t="shared" si="194"/>
        <v>0.83864650663789553</v>
      </c>
      <c r="D3092">
        <f t="shared" si="195"/>
        <v>136.98858258825038</v>
      </c>
      <c r="R3092">
        <f t="shared" si="192"/>
        <v>3.09</v>
      </c>
      <c r="S3092">
        <f t="shared" si="193"/>
        <v>0.83864650663789553</v>
      </c>
    </row>
    <row r="3093" spans="1:19" x14ac:dyDescent="0.3">
      <c r="A3093">
        <v>3.0910000000000002</v>
      </c>
      <c r="B3093">
        <f>Uo*COS(2*PI()*Wn*Sheet2!A3093) + (Vo/Wn - (Po*(w/Wn))/(K*(1-(w/Wn)^2)))*SIN(2*PI()*Wn*Sheet2!A3093) +(Po*SIN(2*PI()*w*Sheet2!A3093))/(K*(1-(w/Wn)^2))</f>
        <v>15.548869523198123</v>
      </c>
      <c r="C3093">
        <f t="shared" si="194"/>
        <v>0.85390202668114723</v>
      </c>
      <c r="D3093">
        <f t="shared" si="195"/>
        <v>139.48049312604033</v>
      </c>
      <c r="R3093">
        <f t="shared" si="192"/>
        <v>3.0910000000000002</v>
      </c>
      <c r="S3093">
        <f t="shared" si="193"/>
        <v>0.85390202668114723</v>
      </c>
    </row>
    <row r="3094" spans="1:19" x14ac:dyDescent="0.3">
      <c r="A3094">
        <v>3.0920000000000001</v>
      </c>
      <c r="B3094">
        <f>Uo*COS(2*PI()*Wn*Sheet2!A3094) + (Vo/Wn - (Po*(w/Wn))/(K*(1-(w/Wn)^2)))*SIN(2*PI()*Wn*Sheet2!A3094) +(Po*SIN(2*PI()*w*Sheet2!A3094))/(K*(1-(w/Wn)^2))</f>
        <v>15.77367828167122</v>
      </c>
      <c r="C3094">
        <f t="shared" si="194"/>
        <v>0.8688512965028945</v>
      </c>
      <c r="D3094">
        <f t="shared" si="195"/>
        <v>141.92237926925023</v>
      </c>
      <c r="R3094">
        <f t="shared" si="192"/>
        <v>3.0920000000000001</v>
      </c>
      <c r="S3094">
        <f t="shared" si="193"/>
        <v>0.8688512965028945</v>
      </c>
    </row>
    <row r="3095" spans="1:19" x14ac:dyDescent="0.3">
      <c r="A3095">
        <v>3.093</v>
      </c>
      <c r="B3095">
        <f>Uo*COS(2*PI()*Wn*Sheet2!A3095) + (Vo/Wn - (Po*(w/Wn))/(K*(1-(w/Wn)^2)))*SIN(2*PI()*Wn*Sheet2!A3095) +(Po*SIN(2*PI()*w*Sheet2!A3095))/(K*(1-(w/Wn)^2))</f>
        <v>15.993334082402978</v>
      </c>
      <c r="C3095">
        <f t="shared" si="194"/>
        <v>0.88348998990846572</v>
      </c>
      <c r="D3095">
        <f t="shared" si="195"/>
        <v>144.31353435628742</v>
      </c>
      <c r="R3095">
        <f t="shared" si="192"/>
        <v>3.093</v>
      </c>
      <c r="S3095">
        <f t="shared" si="193"/>
        <v>0.88348998990846572</v>
      </c>
    </row>
    <row r="3096" spans="1:19" x14ac:dyDescent="0.3">
      <c r="A3096">
        <v>3.0939999999999999</v>
      </c>
      <c r="B3096">
        <f>Uo*COS(2*PI()*Wn*Sheet2!A3096) + (Vo/Wn - (Po*(w/Wn))/(K*(1-(w/Wn)^2)))*SIN(2*PI()*Wn*Sheet2!A3096) +(Po*SIN(2*PI()*w*Sheet2!A3096))/(K*(1-(w/Wn)^2))</f>
        <v>16.207765168061886</v>
      </c>
      <c r="C3096">
        <f t="shared" si="194"/>
        <v>0.89781388988324062</v>
      </c>
      <c r="D3096">
        <f t="shared" si="195"/>
        <v>146.65326955955763</v>
      </c>
      <c r="R3096">
        <f t="shared" si="192"/>
        <v>3.0939999999999999</v>
      </c>
      <c r="S3096">
        <f t="shared" si="193"/>
        <v>0.89781388988324062</v>
      </c>
    </row>
    <row r="3097" spans="1:19" x14ac:dyDescent="0.3">
      <c r="A3097">
        <v>3.0950000000000002</v>
      </c>
      <c r="B3097">
        <f>Uo*COS(2*PI()*Wn*Sheet2!A3097) + (Vo/Wn - (Po*(w/Wn))/(K*(1-(w/Wn)^2)))*SIN(2*PI()*Wn*Sheet2!A3097) +(Po*SIN(2*PI()*w*Sheet2!A3097))/(K*(1-(w/Wn)^2))</f>
        <v>16.416901488130851</v>
      </c>
      <c r="C3097">
        <f t="shared" si="194"/>
        <v>0.91181888977187764</v>
      </c>
      <c r="D3097">
        <f t="shared" si="195"/>
        <v>148.94091407808583</v>
      </c>
      <c r="R3097">
        <f t="shared" si="192"/>
        <v>3.0950000000000002</v>
      </c>
      <c r="S3097">
        <f t="shared" si="193"/>
        <v>0.91181888977187764</v>
      </c>
    </row>
    <row r="3098" spans="1:19" x14ac:dyDescent="0.3">
      <c r="A3098">
        <v>3.0960000000000001</v>
      </c>
      <c r="B3098">
        <f>Uo*COS(2*PI()*Wn*Sheet2!A3098) + (Vo/Wn - (Po*(w/Wn))/(K*(1-(w/Wn)^2)))*SIN(2*PI()*Wn*Sheet2!A3098) +(Po*SIN(2*PI()*w*Sheet2!A3098))/(K*(1-(w/Wn)^2))</f>
        <v>16.620674721790742</v>
      </c>
      <c r="C3098">
        <f t="shared" si="194"/>
        <v>0.9255009944193513</v>
      </c>
      <c r="D3098">
        <f t="shared" si="195"/>
        <v>151.17581532389855</v>
      </c>
      <c r="R3098">
        <f t="shared" si="192"/>
        <v>3.0960000000000001</v>
      </c>
      <c r="S3098">
        <f t="shared" si="193"/>
        <v>0.9255009944193513</v>
      </c>
    </row>
    <row r="3099" spans="1:19" x14ac:dyDescent="0.3">
      <c r="A3099">
        <v>3.097</v>
      </c>
      <c r="B3099">
        <f>Uo*COS(2*PI()*Wn*Sheet2!A3099) + (Vo/Wn - (Po*(w/Wn))/(K*(1-(w/Wn)^2)))*SIN(2*PI()*Wn*Sheet2!A3099) +(Po*SIN(2*PI()*w*Sheet2!A3099))/(K*(1-(w/Wn)^2))</f>
        <v>16.819018300239765</v>
      </c>
      <c r="C3099">
        <f t="shared" si="194"/>
        <v>0.93885632127360219</v>
      </c>
      <c r="D3099">
        <f t="shared" si="195"/>
        <v>153.35733910213634</v>
      </c>
      <c r="R3099">
        <f t="shared" si="192"/>
        <v>3.097</v>
      </c>
      <c r="S3099">
        <f t="shared" si="193"/>
        <v>0.93885632127360219</v>
      </c>
    </row>
    <row r="3100" spans="1:19" x14ac:dyDescent="0.3">
      <c r="A3100">
        <v>3.0979999999999999</v>
      </c>
      <c r="B3100">
        <f>Uo*COS(2*PI()*Wn*Sheet2!A3100) + (Vo/Wn - (Po*(w/Wn))/(K*(1-(w/Wn)^2)))*SIN(2*PI()*Wn*Sheet2!A3100) +(Po*SIN(2*PI()*w*Sheet2!A3100))/(K*(1-(w/Wn)^2))</f>
        <v>17.011867428440357</v>
      </c>
      <c r="C3100">
        <f t="shared" si="194"/>
        <v>0.95188110144937454</v>
      </c>
      <c r="D3100">
        <f t="shared" si="195"/>
        <v>155.48486978482597</v>
      </c>
      <c r="R3100">
        <f t="shared" si="192"/>
        <v>3.0979999999999999</v>
      </c>
      <c r="S3100">
        <f t="shared" si="193"/>
        <v>0.95188110144937454</v>
      </c>
    </row>
    <row r="3101" spans="1:19" x14ac:dyDescent="0.3">
      <c r="A3101">
        <v>3.0990000000000002</v>
      </c>
      <c r="B3101">
        <f>Uo*COS(2*PI()*Wn*Sheet2!A3101) + (Vo/Wn - (Po*(w/Wn))/(K*(1-(w/Wn)^2)))*SIN(2*PI()*Wn*Sheet2!A3101) +(Po*SIN(2*PI()*w*Sheet2!A3101))/(K*(1-(w/Wn)^2))</f>
        <v>17.199159106286391</v>
      </c>
      <c r="C3101">
        <f t="shared" si="194"/>
        <v>0.96457168075309785</v>
      </c>
      <c r="D3101">
        <f t="shared" si="195"/>
        <v>157.55781047828964</v>
      </c>
      <c r="R3101">
        <f t="shared" si="192"/>
        <v>3.0990000000000002</v>
      </c>
      <c r="S3101">
        <f t="shared" si="193"/>
        <v>0.96457168075309785</v>
      </c>
    </row>
    <row r="3102" spans="1:19" x14ac:dyDescent="0.3">
      <c r="A3102">
        <v>3.1</v>
      </c>
      <c r="B3102">
        <f>Uo*COS(2*PI()*Wn*Sheet2!A3102) + (Vo/Wn - (Po*(w/Wn))/(K*(1-(w/Wn)^2)))*SIN(2*PI()*Wn*Sheet2!A3102) +(Po*SIN(2*PI()*w*Sheet2!A3102))/(K*(1-(w/Wn)^2))</f>
        <v>17.38083214918359</v>
      </c>
      <c r="C3102">
        <f t="shared" si="194"/>
        <v>0.97692452066839819</v>
      </c>
      <c r="D3102">
        <f t="shared" si="195"/>
        <v>159.57558318412313</v>
      </c>
      <c r="R3102">
        <f t="shared" si="192"/>
        <v>3.1</v>
      </c>
      <c r="S3102">
        <f t="shared" si="193"/>
        <v>0.97692452066839819</v>
      </c>
    </row>
    <row r="3103" spans="1:19" x14ac:dyDescent="0.3">
      <c r="A3103">
        <v>3.101</v>
      </c>
      <c r="B3103">
        <f>Uo*COS(2*PI()*Wn*Sheet2!A3103) + (Vo/Wn - (Po*(w/Wn))/(K*(1-(w/Wn)^2)))*SIN(2*PI()*Wn*Sheet2!A3103) +(Po*SIN(2*PI()*w*Sheet2!A3103))/(K*(1-(w/Wn)^2))</f>
        <v>17.55682720803831</v>
      </c>
      <c r="C3103">
        <f t="shared" si="194"/>
        <v>0.98893619930217846</v>
      </c>
      <c r="D3103">
        <f t="shared" si="195"/>
        <v>161.53762895373319</v>
      </c>
      <c r="R3103">
        <f t="shared" si="192"/>
        <v>3.101</v>
      </c>
      <c r="S3103">
        <f t="shared" si="193"/>
        <v>0.98893619930217846</v>
      </c>
    </row>
    <row r="3104" spans="1:19" x14ac:dyDescent="0.3">
      <c r="A3104">
        <v>3.1019999999999999</v>
      </c>
      <c r="B3104">
        <f>Uo*COS(2*PI()*Wn*Sheet2!A3104) + (Vo/Wn - (Po*(w/Wn))/(K*(1-(w/Wn)^2)))*SIN(2*PI()*Wn*Sheet2!A3104) +(Po*SIN(2*PI()*w*Sheet2!A3104))/(K*(1-(w/Wn)^2))</f>
        <v>17.7270867886449</v>
      </c>
      <c r="C3104">
        <f t="shared" si="194"/>
        <v>1.0006034122908489</v>
      </c>
      <c r="D3104">
        <f t="shared" si="195"/>
        <v>163.44340803636555</v>
      </c>
      <c r="R3104">
        <f t="shared" si="192"/>
        <v>3.1019999999999999</v>
      </c>
      <c r="S3104">
        <f t="shared" si="193"/>
        <v>1.0006034122908489</v>
      </c>
    </row>
    <row r="3105" spans="1:19" x14ac:dyDescent="0.3">
      <c r="A3105">
        <v>3.1030000000000002</v>
      </c>
      <c r="B3105">
        <f>Uo*COS(2*PI()*Wn*Sheet2!A3105) + (Vo/Wn - (Po*(w/Wn))/(K*(1-(w/Wn)^2)))*SIN(2*PI()*Wn*Sheet2!A3105) +(Po*SIN(2*PI()*w*Sheet2!A3105))/(K*(1-(w/Wn)^2))</f>
        <v>17.891555270468547</v>
      </c>
      <c r="C3105">
        <f t="shared" si="194"/>
        <v>1.0119229736665964</v>
      </c>
      <c r="D3105">
        <f t="shared" si="195"/>
        <v>165.29240002060556</v>
      </c>
      <c r="R3105">
        <f t="shared" si="192"/>
        <v>3.1030000000000002</v>
      </c>
      <c r="S3105">
        <f t="shared" si="193"/>
        <v>1.0119229736665964</v>
      </c>
    </row>
    <row r="3106" spans="1:19" x14ac:dyDescent="0.3">
      <c r="A3106">
        <v>3.1040000000000001</v>
      </c>
      <c r="B3106">
        <f>Uo*COS(2*PI()*Wn*Sheet2!A3106) + (Vo/Wn - (Po*(w/Wn))/(K*(1-(w/Wn)^2)))*SIN(2*PI()*Wn*Sheet2!A3106) +(Po*SIN(2*PI()*w*Sheet2!A3106))/(K*(1-(w/Wn)^2))</f>
        <v>18.050178924815</v>
      </c>
      <c r="C3106">
        <f t="shared" si="194"/>
        <v>1.0228918166834193</v>
      </c>
      <c r="D3106">
        <f t="shared" si="195"/>
        <v>167.08410396930677</v>
      </c>
      <c r="R3106">
        <f t="shared" si="192"/>
        <v>3.1040000000000001</v>
      </c>
      <c r="S3106">
        <f t="shared" si="193"/>
        <v>1.0228918166834193</v>
      </c>
    </row>
    <row r="3107" spans="1:19" x14ac:dyDescent="0.3">
      <c r="A3107">
        <v>3.105</v>
      </c>
      <c r="B3107">
        <f>Uo*COS(2*PI()*Wn*Sheet2!A3107) + (Vo/Wn - (Po*(w/Wn))/(K*(1-(w/Wn)^2)))*SIN(2*PI()*Wn*Sheet2!A3107) +(Po*SIN(2*PI()*w*Sheet2!A3107))/(K*(1-(w/Wn)^2))</f>
        <v>18.202905932382887</v>
      </c>
      <c r="C3107">
        <f t="shared" si="194"/>
        <v>1.0335069946028015</v>
      </c>
      <c r="D3107">
        <f t="shared" si="195"/>
        <v>168.8180385479267</v>
      </c>
      <c r="R3107">
        <f t="shared" si="192"/>
        <v>3.105</v>
      </c>
      <c r="S3107">
        <f t="shared" si="193"/>
        <v>1.0335069946028015</v>
      </c>
    </row>
    <row r="3108" spans="1:19" x14ac:dyDescent="0.3">
      <c r="A3108">
        <v>3.1059999999999999</v>
      </c>
      <c r="B3108">
        <f>Uo*COS(2*PI()*Wn*Sheet2!A3108) + (Vo/Wn - (Po*(w/Wn))/(K*(1-(w/Wn)^2)))*SIN(2*PI()*Wn*Sheet2!A3108) +(Po*SIN(2*PI()*w*Sheet2!A3108))/(K*(1-(w/Wn)^2))</f>
        <v>18.349686400192216</v>
      </c>
      <c r="C3108">
        <f t="shared" si="194"/>
        <v>1.0437656814387546</v>
      </c>
      <c r="D3108">
        <f t="shared" si="195"/>
        <v>170.49374214622563</v>
      </c>
      <c r="R3108">
        <f t="shared" si="192"/>
        <v>3.1059999999999999</v>
      </c>
      <c r="S3108">
        <f t="shared" si="193"/>
        <v>1.0437656814387546</v>
      </c>
    </row>
    <row r="3109" spans="1:19" x14ac:dyDescent="0.3">
      <c r="A3109">
        <v>3.1070000000000002</v>
      </c>
      <c r="B3109">
        <f>Uo*COS(2*PI()*Wn*Sheet2!A3109) + (Vo/Wn - (Po*(w/Wn))/(K*(1-(w/Wn)^2)))*SIN(2*PI()*Wn*Sheet2!A3109) +(Po*SIN(2*PI()*w*Sheet2!A3109))/(K*(1-(w/Wn)^2))</f>
        <v>18.490472377883364</v>
      </c>
      <c r="C3109">
        <f t="shared" si="194"/>
        <v>1.0536651726621433</v>
      </c>
      <c r="D3109">
        <f t="shared" si="195"/>
        <v>172.11077299331455</v>
      </c>
      <c r="R3109">
        <f t="shared" si="192"/>
        <v>3.1070000000000002</v>
      </c>
      <c r="S3109">
        <f t="shared" si="193"/>
        <v>1.0536651726621433</v>
      </c>
    </row>
    <row r="3110" spans="1:19" x14ac:dyDescent="0.3">
      <c r="A3110">
        <v>3.1080000000000001</v>
      </c>
      <c r="B3110">
        <f>Uo*COS(2*PI()*Wn*Sheet2!A3110) + (Vo/Wn - (Po*(w/Wn))/(K*(1-(w/Wn)^2)))*SIN(2*PI()*Wn*Sheet2!A3110) +(Po*SIN(2*PI()*w*Sheet2!A3110))/(K*(1-(w/Wn)^2))</f>
        <v>18.62521787338116</v>
      </c>
      <c r="C3110">
        <f t="shared" si="194"/>
        <v>1.0632028858640368</v>
      </c>
      <c r="D3110">
        <f t="shared" si="195"/>
        <v>173.66870926601015</v>
      </c>
      <c r="R3110">
        <f t="shared" si="192"/>
        <v>3.1080000000000001</v>
      </c>
      <c r="S3110">
        <f t="shared" si="193"/>
        <v>1.0632028858640368</v>
      </c>
    </row>
    <row r="3111" spans="1:19" x14ac:dyDescent="0.3">
      <c r="A3111">
        <v>3.109</v>
      </c>
      <c r="B3111">
        <f>Uo*COS(2*PI()*Wn*Sheet2!A3111) + (Vo/Wn - (Po*(w/Wn))/(K*(1-(w/Wn)^2)))*SIN(2*PI()*Wn*Sheet2!A3111) +(Po*SIN(2*PI()*w*Sheet2!A3111))/(K*(1-(w/Wn)^2))</f>
        <v>18.753878867920356</v>
      </c>
      <c r="C3111">
        <f t="shared" si="194"/>
        <v>1.0723763613780828</v>
      </c>
      <c r="D3111">
        <f t="shared" si="195"/>
        <v>175.16714919049647</v>
      </c>
      <c r="R3111">
        <f t="shared" si="192"/>
        <v>3.109</v>
      </c>
      <c r="S3111">
        <f t="shared" si="193"/>
        <v>1.0723763613780828</v>
      </c>
    </row>
    <row r="3112" spans="1:19" x14ac:dyDescent="0.3">
      <c r="A3112">
        <v>3.11</v>
      </c>
      <c r="B3112">
        <f>Uo*COS(2*PI()*Wn*Sheet2!A3112) + (Vo/Wn - (Po*(w/Wn))/(K*(1-(w/Wn)^2)))*SIN(2*PI()*Wn*Sheet2!A3112) +(Po*SIN(2*PI()*w*Sheet2!A3112))/(K*(1-(w/Wn)^2))</f>
        <v>18.87641333042502</v>
      </c>
      <c r="C3112">
        <f t="shared" si="194"/>
        <v>1.0811832628616347</v>
      </c>
      <c r="D3112">
        <f t="shared" si="195"/>
        <v>176.6057111372489</v>
      </c>
      <c r="R3112">
        <f t="shared" si="192"/>
        <v>3.11</v>
      </c>
      <c r="S3112">
        <f t="shared" si="193"/>
        <v>1.0811832628616347</v>
      </c>
    </row>
    <row r="3113" spans="1:19" x14ac:dyDescent="0.3">
      <c r="A3113">
        <v>3.1110000000000002</v>
      </c>
      <c r="B3113">
        <f>Uo*COS(2*PI()*Wn*Sheet2!A3113) + (Vo/Wn - (Po*(w/Wn))/(K*(1-(w/Wn)^2)))*SIN(2*PI()*Wn*Sheet2!A3113) +(Po*SIN(2*PI()*w*Sheet2!A3113))/(K*(1-(w/Wn)^2))</f>
        <v>18.992781231239782</v>
      </c>
      <c r="C3113">
        <f t="shared" si="194"/>
        <v>1.0896213778356103</v>
      </c>
      <c r="D3113">
        <f t="shared" si="195"/>
        <v>177.98403370921747</v>
      </c>
      <c r="R3113">
        <f t="shared" si="192"/>
        <v>3.1110000000000002</v>
      </c>
      <c r="S3113">
        <f t="shared" si="193"/>
        <v>1.0896213778356103</v>
      </c>
    </row>
    <row r="3114" spans="1:19" x14ac:dyDescent="0.3">
      <c r="A3114">
        <v>3.1120000000000001</v>
      </c>
      <c r="B3114">
        <f>Uo*COS(2*PI()*Wn*Sheet2!A3114) + (Vo/Wn - (Po*(w/Wn))/(K*(1-(w/Wn)^2)))*SIN(2*PI()*Wn*Sheet2!A3114) +(Po*SIN(2*PI()*w*Sheet2!A3114))/(K*(1-(w/Wn)^2))</f>
        <v>19.102944555206381</v>
      </c>
      <c r="C3114">
        <f t="shared" si="194"/>
        <v>1.0976886181829191</v>
      </c>
      <c r="D3114">
        <f t="shared" si="195"/>
        <v>179.30177582324231</v>
      </c>
      <c r="R3114">
        <f t="shared" si="192"/>
        <v>3.1120000000000001</v>
      </c>
      <c r="S3114">
        <f t="shared" si="193"/>
        <v>1.0976886181829191</v>
      </c>
    </row>
    <row r="3115" spans="1:19" x14ac:dyDescent="0.3">
      <c r="A3115">
        <v>3.113</v>
      </c>
      <c r="B3115">
        <f>Uo*COS(2*PI()*Wn*Sheet2!A3115) + (Vo/Wn - (Po*(w/Wn))/(K*(1-(w/Wn)^2)))*SIN(2*PI()*Wn*Sheet2!A3115) +(Po*SIN(2*PI()*w*Sheet2!A3115))/(K*(1-(w/Wn)^2))</f>
        <v>19.206867314082668</v>
      </c>
      <c r="C3115">
        <f t="shared" si="194"/>
        <v>1.105383020605444</v>
      </c>
      <c r="D3115">
        <f t="shared" si="195"/>
        <v>180.55861678469927</v>
      </c>
      <c r="R3115">
        <f t="shared" si="192"/>
        <v>3.113</v>
      </c>
      <c r="S3115">
        <f t="shared" si="193"/>
        <v>1.105383020605444</v>
      </c>
    </row>
    <row r="3116" spans="1:19" x14ac:dyDescent="0.3">
      <c r="A3116">
        <v>3.1139999999999999</v>
      </c>
      <c r="B3116">
        <f>Uo*COS(2*PI()*Wn*Sheet2!A3116) + (Vo/Wn - (Po*(w/Wn))/(K*(1-(w/Wn)^2)))*SIN(2*PI()*Wn*Sheet2!A3116) +(Po*SIN(2*PI()*w*Sheet2!A3116))/(K*(1-(w/Wn)^2))</f>
        <v>19.304515558299364</v>
      </c>
      <c r="C3116">
        <f t="shared" si="194"/>
        <v>1.1127027470394157</v>
      </c>
      <c r="D3116">
        <f t="shared" si="195"/>
        <v>181.75425635534913</v>
      </c>
      <c r="R3116">
        <f t="shared" si="192"/>
        <v>3.1139999999999999</v>
      </c>
      <c r="S3116">
        <f t="shared" si="193"/>
        <v>1.1127027470394157</v>
      </c>
    </row>
    <row r="3117" spans="1:19" x14ac:dyDescent="0.3">
      <c r="A3117">
        <v>3.1150000000000002</v>
      </c>
      <c r="B3117">
        <f>Uo*COS(2*PI()*Wn*Sheet2!A3117) + (Vo/Wn - (Po*(w/Wn))/(K*(1-(w/Wn)^2)))*SIN(2*PI()*Wn*Sheet2!A3117) +(Po*SIN(2*PI()*w*Sheet2!A3117))/(K*(1-(w/Wn)^2))</f>
        <v>19.395857388050498</v>
      </c>
      <c r="C3117">
        <f t="shared" si="194"/>
        <v>1.1196460850291832</v>
      </c>
      <c r="D3117">
        <f t="shared" si="195"/>
        <v>182.88841481439113</v>
      </c>
      <c r="R3117">
        <f t="shared" si="192"/>
        <v>3.1150000000000002</v>
      </c>
      <c r="S3117">
        <f t="shared" si="193"/>
        <v>1.1196460850291832</v>
      </c>
    </row>
    <row r="3118" spans="1:19" x14ac:dyDescent="0.3">
      <c r="A3118">
        <v>3.1160000000000001</v>
      </c>
      <c r="B3118">
        <f>Uo*COS(2*PI()*Wn*Sheet2!A3118) + (Vo/Wn - (Po*(w/Wn))/(K*(1-(w/Wn)^2)))*SIN(2*PI()*Wn*Sheet2!A3118) +(Po*SIN(2*PI()*w*Sheet2!A3118))/(K*(1-(w/Wn)^2))</f>
        <v>19.480862963714586</v>
      </c>
      <c r="C3118">
        <f t="shared" si="194"/>
        <v>1.1262114480593108</v>
      </c>
      <c r="D3118">
        <f t="shared" si="195"/>
        <v>183.96083301270937</v>
      </c>
      <c r="R3118">
        <f t="shared" si="192"/>
        <v>3.1160000000000001</v>
      </c>
      <c r="S3118">
        <f t="shared" si="193"/>
        <v>1.1262114480593108</v>
      </c>
    </row>
    <row r="3119" spans="1:19" x14ac:dyDescent="0.3">
      <c r="A3119">
        <v>3.117</v>
      </c>
      <c r="B3119">
        <f>Uo*COS(2*PI()*Wn*Sheet2!A3119) + (Vo/Wn - (Po*(w/Wn))/(K*(1-(w/Wn)^2)))*SIN(2*PI()*Wn*Sheet2!A3119) +(Po*SIN(2*PI()*w*Sheet2!A3119))/(K*(1-(w/Wn)^2))</f>
        <v>19.559504515602772</v>
      </c>
      <c r="C3119">
        <f t="shared" si="194"/>
        <v>1.132397375844965</v>
      </c>
      <c r="D3119">
        <f t="shared" si="195"/>
        <v>184.97127242030584</v>
      </c>
      <c r="R3119">
        <f t="shared" si="192"/>
        <v>3.117</v>
      </c>
      <c r="S3119">
        <f t="shared" si="193"/>
        <v>1.132397375844965</v>
      </c>
    </row>
    <row r="3120" spans="1:19" x14ac:dyDescent="0.3">
      <c r="A3120">
        <v>3.1179999999999999</v>
      </c>
      <c r="B3120">
        <f>Uo*COS(2*PI()*Wn*Sheet2!A3120) + (Vo/Wn - (Po*(w/Wn))/(K*(1-(w/Wn)^2)))*SIN(2*PI()*Wn*Sheet2!A3120) +(Po*SIN(2*PI()*w*Sheet2!A3120))/(K*(1-(w/Wn)^2))</f>
        <v>19.631756353030397</v>
      </c>
      <c r="C3120">
        <f t="shared" si="194"/>
        <v>1.1382025345805828</v>
      </c>
      <c r="D3120">
        <f t="shared" si="195"/>
        <v>185.91951516691927</v>
      </c>
      <c r="R3120">
        <f t="shared" si="192"/>
        <v>3.1179999999999999</v>
      </c>
      <c r="S3120">
        <f t="shared" si="193"/>
        <v>1.1382025345805828</v>
      </c>
    </row>
    <row r="3121" spans="1:19" x14ac:dyDescent="0.3">
      <c r="A3121">
        <v>3.1190000000000002</v>
      </c>
      <c r="B3121">
        <f>Uo*COS(2*PI()*Wn*Sheet2!A3121) + (Vo/Wn - (Po*(w/Wn))/(K*(1-(w/Wn)^2)))*SIN(2*PI()*Wn*Sheet2!A3121) +(Po*SIN(2*PI()*w*Sheet2!A3121))/(K*(1-(w/Wn)^2))</f>
        <v>19.697594872709946</v>
      </c>
      <c r="C3121">
        <f t="shared" si="194"/>
        <v>1.1436257171468107</v>
      </c>
      <c r="D3121">
        <f t="shared" si="195"/>
        <v>186.8053640758275</v>
      </c>
      <c r="R3121">
        <f t="shared" si="192"/>
        <v>3.1190000000000002</v>
      </c>
      <c r="S3121">
        <f t="shared" si="193"/>
        <v>1.1436257171468107</v>
      </c>
    </row>
    <row r="3122" spans="1:19" x14ac:dyDescent="0.3">
      <c r="A3122">
        <v>3.12</v>
      </c>
      <c r="B3122">
        <f>Uo*COS(2*PI()*Wn*Sheet2!A3122) + (Vo/Wn - (Po*(w/Wn))/(K*(1-(w/Wn)^2)))*SIN(2*PI()*Wn*Sheet2!A3122) +(Po*SIN(2*PI()*w*Sheet2!A3122))/(K*(1-(w/Wn)^2))</f>
        <v>19.756998566461444</v>
      </c>
      <c r="C3122">
        <f t="shared" si="194"/>
        <v>1.1486658432757064</v>
      </c>
      <c r="D3122">
        <f t="shared" si="195"/>
        <v>187.62864269083224</v>
      </c>
      <c r="R3122">
        <f t="shared" si="192"/>
        <v>3.12</v>
      </c>
      <c r="S3122">
        <f t="shared" si="193"/>
        <v>1.1486658432757064</v>
      </c>
    </row>
    <row r="3123" spans="1:19" x14ac:dyDescent="0.3">
      <c r="A3123">
        <v>3.121</v>
      </c>
      <c r="B3123">
        <f>Uo*COS(2*PI()*Wn*Sheet2!A3123) + (Vo/Wn - (Po*(w/Wn))/(K*(1-(w/Wn)^2)))*SIN(2*PI()*Wn*Sheet2!A3123) +(Po*SIN(2*PI()*w*Sheet2!A3123))/(K*(1-(w/Wn)^2))</f>
        <v>19.809948028239116</v>
      </c>
      <c r="C3123">
        <f t="shared" si="194"/>
        <v>1.153321959674267</v>
      </c>
      <c r="D3123">
        <f t="shared" si="195"/>
        <v>188.38919529643692</v>
      </c>
      <c r="R3123">
        <f t="shared" si="192"/>
        <v>3.121</v>
      </c>
      <c r="S3123">
        <f t="shared" si="193"/>
        <v>1.153321959674267</v>
      </c>
    </row>
    <row r="3124" spans="1:19" x14ac:dyDescent="0.3">
      <c r="A3124">
        <v>3.1219999999999999</v>
      </c>
      <c r="B3124">
        <f>Uo*COS(2*PI()*Wn*Sheet2!A3124) + (Vo/Wn - (Po*(w/Wn))/(K*(1-(w/Wn)^2)))*SIN(2*PI()*Wn*Sheet2!A3124) +(Po*SIN(2*PI()*w*Sheet2!A3124))/(K*(1-(w/Wn)^2))</f>
        <v>19.85642596047078</v>
      </c>
      <c r="C3124">
        <f t="shared" si="194"/>
        <v>1.1575932401062676</v>
      </c>
      <c r="D3124">
        <f t="shared" si="195"/>
        <v>189.08688693121451</v>
      </c>
      <c r="R3124">
        <f t="shared" si="192"/>
        <v>3.1219999999999999</v>
      </c>
      <c r="S3124">
        <f t="shared" si="193"/>
        <v>1.1575932401062676</v>
      </c>
    </row>
    <row r="3125" spans="1:19" x14ac:dyDescent="0.3">
      <c r="A3125">
        <v>3.1230000000000002</v>
      </c>
      <c r="B3125">
        <f>Uo*COS(2*PI()*Wn*Sheet2!A3125) + (Vo/Wn - (Po*(w/Wn))/(K*(1-(w/Wn)^2)))*SIN(2*PI()*Wn*Sheet2!A3125) +(Po*SIN(2*PI()*w*Sheet2!A3125))/(K*(1-(w/Wn)^2))</f>
        <v>19.896417179708624</v>
      </c>
      <c r="C3125">
        <f t="shared" si="194"/>
        <v>1.1614789854324921</v>
      </c>
      <c r="D3125">
        <f t="shared" si="195"/>
        <v>189.72160339437895</v>
      </c>
      <c r="R3125">
        <f t="shared" si="192"/>
        <v>3.1230000000000002</v>
      </c>
      <c r="S3125">
        <f t="shared" si="193"/>
        <v>1.1614789854324921</v>
      </c>
    </row>
    <row r="3126" spans="1:19" x14ac:dyDescent="0.3">
      <c r="A3126">
        <v>3.1240000000000001</v>
      </c>
      <c r="B3126">
        <f>Uo*COS(2*PI()*Wn*Sheet2!A3126) + (Vo/Wn - (Po*(w/Wn))/(K*(1-(w/Wn)^2)))*SIN(2*PI()*Wn*Sheet2!A3126) +(Po*SIN(2*PI()*w*Sheet2!A3126))/(K*(1-(w/Wn)^2))</f>
        <v>19.929908621589384</v>
      </c>
      <c r="C3126">
        <f t="shared" si="194"/>
        <v>1.1649786236094024</v>
      </c>
      <c r="D3126">
        <f t="shared" si="195"/>
        <v>190.29325124556789</v>
      </c>
      <c r="R3126">
        <f t="shared" si="192"/>
        <v>3.1240000000000001</v>
      </c>
      <c r="S3126">
        <f t="shared" si="193"/>
        <v>1.1649786236094024</v>
      </c>
    </row>
    <row r="3127" spans="1:19" x14ac:dyDescent="0.3">
      <c r="A3127">
        <v>3.125</v>
      </c>
      <c r="B3127">
        <f>Uo*COS(2*PI()*Wn*Sheet2!A3127) + (Vo/Wn - (Po*(w/Wn))/(K*(1-(w/Wn)^2)))*SIN(2*PI()*Wn*Sheet2!A3127) +(Po*SIN(2*PI()*w*Sheet2!A3127))/(K*(1-(w/Wn)^2))</f>
        <v>19.956889345102276</v>
      </c>
      <c r="C3127">
        <f t="shared" si="194"/>
        <v>1.1680917096463475</v>
      </c>
      <c r="D3127">
        <f t="shared" si="195"/>
        <v>190.80175779785299</v>
      </c>
      <c r="R3127">
        <f t="shared" si="192"/>
        <v>3.125</v>
      </c>
      <c r="S3127">
        <f t="shared" si="193"/>
        <v>1.1680917096463475</v>
      </c>
    </row>
    <row r="3128" spans="1:19" x14ac:dyDescent="0.3">
      <c r="A3128">
        <v>3.1259999999999999</v>
      </c>
      <c r="B3128">
        <f>Uo*COS(2*PI()*Wn*Sheet2!A3128) + (Vo/Wn - (Po*(w/Wn))/(K*(1-(w/Wn)^2)))*SIN(2*PI()*Wn*Sheet2!A3128) +(Po*SIN(2*PI()*w*Sheet2!A3128))/(K*(1-(w/Wn)^2))</f>
        <v>19.977350536163105</v>
      </c>
      <c r="C3128">
        <f t="shared" si="194"/>
        <v>1.1708179255213504</v>
      </c>
      <c r="D3128">
        <f t="shared" si="195"/>
        <v>191.24707110398413</v>
      </c>
      <c r="R3128">
        <f t="shared" si="192"/>
        <v>3.1259999999999999</v>
      </c>
      <c r="S3128">
        <f t="shared" si="193"/>
        <v>1.1708179255213504</v>
      </c>
    </row>
    <row r="3129" spans="1:19" x14ac:dyDescent="0.3">
      <c r="A3129">
        <v>3.1269999999999998</v>
      </c>
      <c r="B3129">
        <f>Uo*COS(2*PI()*Wn*Sheet2!A3129) + (Vo/Wn - (Po*(w/Wn))/(K*(1-(w/Wn)^2)))*SIN(2*PI()*Wn*Sheet2!A3129) +(Po*SIN(2*PI()*w*Sheet2!A3129))/(K*(1-(w/Wn)^2))</f>
        <v>19.991285510493743</v>
      </c>
      <c r="C3129">
        <f t="shared" si="194"/>
        <v>1.1731570800556335</v>
      </c>
      <c r="D3129">
        <f t="shared" si="195"/>
        <v>191.62915993589368</v>
      </c>
      <c r="R3129">
        <f t="shared" si="192"/>
        <v>3.1269999999999998</v>
      </c>
      <c r="S3129">
        <f t="shared" si="193"/>
        <v>1.1731570800556335</v>
      </c>
    </row>
    <row r="3130" spans="1:19" x14ac:dyDescent="0.3">
      <c r="A3130">
        <v>3.1280000000000001</v>
      </c>
      <c r="B3130">
        <f>Uo*COS(2*PI()*Wn*Sheet2!A3130) + (Vo/Wn - (Po*(w/Wn))/(K*(1-(w/Wn)^2)))*SIN(2*PI()*Wn*Sheet2!A3130) +(Po*SIN(2*PI()*w*Sheet2!A3130))/(K*(1-(w/Wn)^2))</f>
        <v>19.998689715805721</v>
      </c>
      <c r="C3130">
        <f t="shared" si="194"/>
        <v>1.1751091087469543</v>
      </c>
      <c r="D3130">
        <f t="shared" si="195"/>
        <v>191.94801375747301</v>
      </c>
      <c r="R3130">
        <f t="shared" si="192"/>
        <v>3.1280000000000001</v>
      </c>
      <c r="S3130">
        <f t="shared" si="193"/>
        <v>1.1751091087469543</v>
      </c>
    </row>
    <row r="3131" spans="1:19" x14ac:dyDescent="0.3">
      <c r="A3131">
        <v>3.129</v>
      </c>
      <c r="B3131">
        <f>Uo*COS(2*PI()*Wn*Sheet2!A3131) + (Vo/Wn - (Po*(w/Wn))/(K*(1-(w/Wn)^2)))*SIN(2*PI()*Wn*Sheet2!A3131) +(Po*SIN(2*PI()*w*Sheet2!A3131))/(K*(1-(w/Wn)^2))</f>
        <v>19.999560733287353</v>
      </c>
      <c r="C3131">
        <f t="shared" si="194"/>
        <v>1.1766740735619068</v>
      </c>
      <c r="D3131">
        <f t="shared" si="195"/>
        <v>192.20364269064567</v>
      </c>
      <c r="R3131">
        <f t="shared" si="192"/>
        <v>3.129</v>
      </c>
      <c r="S3131">
        <f t="shared" si="193"/>
        <v>1.1766740735619068</v>
      </c>
    </row>
    <row r="3132" spans="1:19" x14ac:dyDescent="0.3">
      <c r="A3132">
        <v>3.13</v>
      </c>
      <c r="B3132">
        <f>Uo*COS(2*PI()*Wn*Sheet2!A3132) + (Vo/Wn - (Po*(w/Wn))/(K*(1-(w/Wn)^2)))*SIN(2*PI()*Wn*Sheet2!A3132) +(Po*SIN(2*PI()*w*Sheet2!A3132))/(K*(1-(w/Wn)^2))</f>
        <v>19.993898278393971</v>
      </c>
      <c r="C3132">
        <f t="shared" si="194"/>
        <v>1.1778521626873144</v>
      </c>
      <c r="D3132">
        <f t="shared" si="195"/>
        <v>192.39607747475895</v>
      </c>
      <c r="R3132">
        <f t="shared" si="192"/>
        <v>3.13</v>
      </c>
      <c r="S3132">
        <f t="shared" si="193"/>
        <v>1.1778521626873144</v>
      </c>
    </row>
    <row r="3133" spans="1:19" x14ac:dyDescent="0.3">
      <c r="A3133">
        <v>3.1309999999999998</v>
      </c>
      <c r="B3133">
        <f>Uo*COS(2*PI()*Wn*Sheet2!A3133) + (Vo/Wn - (Po*(w/Wn))/(K*(1-(w/Wn)^2)))*SIN(2*PI()*Wn*Sheet2!A3133) +(Po*SIN(2*PI()*w*Sheet2!A3133))/(K*(1-(w/Wn)^2))</f>
        <v>19.981704200940829</v>
      </c>
      <c r="C3133">
        <f t="shared" si="194"/>
        <v>1.1786436902408743</v>
      </c>
      <c r="D3133">
        <f t="shared" si="195"/>
        <v>192.52536941931902</v>
      </c>
      <c r="R3133">
        <f t="shared" si="192"/>
        <v>3.1309999999999998</v>
      </c>
      <c r="S3133">
        <f t="shared" si="193"/>
        <v>1.1786436902408743</v>
      </c>
    </row>
    <row r="3134" spans="1:19" x14ac:dyDescent="0.3">
      <c r="A3134">
        <v>3.1320000000000001</v>
      </c>
      <c r="B3134">
        <f>Uo*COS(2*PI()*Wn*Sheet2!A3134) + (Vo/Wn - (Po*(w/Wn))/(K*(1-(w/Wn)^2)))*SIN(2*PI()*Wn*Sheet2!A3134) +(Po*SIN(2*PI()*w*Sheet2!A3134))/(K*(1-(w/Wn)^2))</f>
        <v>19.962982484498827</v>
      </c>
      <c r="C3134">
        <f t="shared" si="194"/>
        <v>1.1790490959412325</v>
      </c>
      <c r="D3134">
        <f t="shared" si="195"/>
        <v>192.59159035009938</v>
      </c>
      <c r="R3134">
        <f t="shared" si="192"/>
        <v>3.1320000000000001</v>
      </c>
      <c r="S3134">
        <f t="shared" si="193"/>
        <v>1.1790490959412325</v>
      </c>
    </row>
    <row r="3135" spans="1:19" x14ac:dyDescent="0.3">
      <c r="A3135">
        <v>3.133</v>
      </c>
      <c r="B3135">
        <f>Uo*COS(2*PI()*Wn*Sheet2!A3135) + (Vo/Wn - (Po*(w/Wn))/(K*(1-(w/Wn)^2)))*SIN(2*PI()*Wn*Sheet2!A3135) +(Po*SIN(2*PI()*w*Sheet2!A3135))/(K*(1-(w/Wn)^2))</f>
        <v>19.937739245093148</v>
      </c>
      <c r="C3135">
        <f t="shared" si="194"/>
        <v>1.1790689447376441</v>
      </c>
      <c r="D3135">
        <f t="shared" si="195"/>
        <v>192.59483254864787</v>
      </c>
      <c r="R3135">
        <f t="shared" si="192"/>
        <v>3.133</v>
      </c>
      <c r="S3135">
        <f t="shared" si="193"/>
        <v>1.1790689447376441</v>
      </c>
    </row>
    <row r="3136" spans="1:19" x14ac:dyDescent="0.3">
      <c r="A3136">
        <v>3.1339999999999999</v>
      </c>
      <c r="B3136">
        <f>Uo*COS(2*PI()*Wn*Sheet2!A3136) + (Vo/Wn - (Po*(w/Wn))/(K*(1-(w/Wn)^2)))*SIN(2*PI()*Wn*Sheet2!A3136) +(Po*SIN(2*PI()*w*Sheet2!A3136))/(K*(1-(w/Wn)^2))</f>
        <v>19.905982729205299</v>
      </c>
      <c r="C3136">
        <f t="shared" si="194"/>
        <v>1.1787039263994428</v>
      </c>
      <c r="D3136">
        <f t="shared" si="195"/>
        <v>192.53520868522847</v>
      </c>
      <c r="R3136">
        <f t="shared" si="192"/>
        <v>3.1339999999999999</v>
      </c>
      <c r="S3136">
        <f t="shared" si="193"/>
        <v>1.1787039263994428</v>
      </c>
    </row>
    <row r="3137" spans="1:19" x14ac:dyDescent="0.3">
      <c r="A3137">
        <v>3.1349999999999998</v>
      </c>
      <c r="B3137">
        <f>Uo*COS(2*PI()*Wn*Sheet2!A3137) + (Vo/Wn - (Po*(w/Wn))/(K*(1-(w/Wn)^2)))*SIN(2*PI()*Wn*Sheet2!A3137) +(Po*SIN(2*PI()*w*Sheet2!A3137))/(K*(1-(w/Wn)^2))</f>
        <v>19.867723311079072</v>
      </c>
      <c r="C3137">
        <f t="shared" si="194"/>
        <v>1.177954855065505</v>
      </c>
      <c r="D3137">
        <f t="shared" si="195"/>
        <v>192.41285174522881</v>
      </c>
      <c r="R3137">
        <f t="shared" ref="R3137:R3200" si="196">A3137</f>
        <v>3.1349999999999998</v>
      </c>
      <c r="S3137">
        <f t="shared" ref="S3137:S3200" si="197">C3137</f>
        <v>1.177954855065505</v>
      </c>
    </row>
    <row r="3138" spans="1:19" x14ac:dyDescent="0.3">
      <c r="A3138">
        <v>3.1360000000000001</v>
      </c>
      <c r="B3138">
        <f>Uo*COS(2*PI()*Wn*Sheet2!A3138) + (Vo/Wn - (Po*(w/Wn))/(K*(1-(w/Wn)^2)))*SIN(2*PI()*Wn*Sheet2!A3138) +(Po*SIN(2*PI()*w*Sheet2!A3138))/(K*(1-(w/Wn)^2))</f>
        <v>19.822973489331556</v>
      </c>
      <c r="C3138">
        <f t="shared" ref="C3138:C3201" si="198">EXP(-zeta*Wn*A3138*2*PI())*($H$1*COS(wnD*2*PI()*A3138) + $H$2*SIN(wnD*2*PI()*A3138)) + $H$3*SIN(w*2*PI()*A3138) + $H$4*COS(w*2*PI()*A3138)</f>
        <v>1.1768226687539374</v>
      </c>
      <c r="D3138">
        <f t="shared" ref="D3138:D3201" si="199">K*C3138</f>
        <v>192.22791494906991</v>
      </c>
      <c r="R3138">
        <f t="shared" si="196"/>
        <v>3.1360000000000001</v>
      </c>
      <c r="S3138">
        <f t="shared" si="197"/>
        <v>1.1768226687539374</v>
      </c>
    </row>
    <row r="3139" spans="1:19" x14ac:dyDescent="0.3">
      <c r="A3139">
        <v>3.137</v>
      </c>
      <c r="B3139">
        <f>Uo*COS(2*PI()*Wn*Sheet2!A3139) + (Vo/Wn - (Po*(w/Wn))/(K*(1-(w/Wn)^2)))*SIN(2*PI()*Wn*Sheet2!A3139) +(Po*SIN(2*PI()*w*Sheet2!A3139))/(K*(1-(w/Wn)^2))</f>
        <v>19.771747882870059</v>
      </c>
      <c r="C3139">
        <f t="shared" si="198"/>
        <v>1.1753084288322189</v>
      </c>
      <c r="D3139">
        <f t="shared" si="199"/>
        <v>191.98057166565678</v>
      </c>
      <c r="R3139">
        <f t="shared" si="196"/>
        <v>3.137</v>
      </c>
      <c r="S3139">
        <f t="shared" si="197"/>
        <v>1.1753084288322189</v>
      </c>
    </row>
    <row r="3140" spans="1:19" x14ac:dyDescent="0.3">
      <c r="A3140">
        <v>3.1379999999999999</v>
      </c>
      <c r="B3140">
        <f>Uo*COS(2*PI()*Wn*Sheet2!A3140) + (Vo/Wn - (Po*(w/Wn))/(K*(1-(w/Wn)^2)))*SIN(2*PI()*Wn*Sheet2!A3140) +(Po*SIN(2*PI()*w*Sheet2!A3140))/(K*(1-(w/Wn)^2))</f>
        <v>19.714063226116323</v>
      </c>
      <c r="C3140">
        <f t="shared" si="198"/>
        <v>1.1734133194480352</v>
      </c>
      <c r="D3140">
        <f t="shared" si="199"/>
        <v>191.67101531940813</v>
      </c>
      <c r="R3140">
        <f t="shared" si="196"/>
        <v>3.1379999999999999</v>
      </c>
      <c r="S3140">
        <f t="shared" si="197"/>
        <v>1.1734133194480352</v>
      </c>
    </row>
    <row r="3141" spans="1:19" x14ac:dyDescent="0.3">
      <c r="A3141">
        <v>3.1389999999999998</v>
      </c>
      <c r="B3141">
        <f>Uo*COS(2*PI()*Wn*Sheet2!A3141) + (Vo/Wn - (Po*(w/Wn))/(K*(1-(w/Wn)^2)))*SIN(2*PI()*Wn*Sheet2!A3141) +(Po*SIN(2*PI()*w*Sheet2!A3141))/(K*(1-(w/Wn)^2))</f>
        <v>19.649938363539853</v>
      </c>
      <c r="C3141">
        <f t="shared" si="198"/>
        <v>1.1711386469210727</v>
      </c>
      <c r="D3141">
        <f t="shared" si="199"/>
        <v>191.29945929090903</v>
      </c>
      <c r="R3141">
        <f t="shared" si="196"/>
        <v>3.1389999999999998</v>
      </c>
      <c r="S3141">
        <f t="shared" si="197"/>
        <v>1.1711386469210727</v>
      </c>
    </row>
    <row r="3142" spans="1:19" x14ac:dyDescent="0.3">
      <c r="A3142">
        <v>3.14</v>
      </c>
      <c r="B3142">
        <f>Uo*COS(2*PI()*Wn*Sheet2!A3142) + (Vo/Wn - (Po*(w/Wn))/(K*(1-(w/Wn)^2)))*SIN(2*PI()*Wn*Sheet2!A3142) +(Po*SIN(2*PI()*w*Sheet2!A3142))/(K*(1-(w/Wn)^2))</f>
        <v>19.579394243501575</v>
      </c>
      <c r="C3142">
        <f t="shared" si="198"/>
        <v>1.168485839096032</v>
      </c>
      <c r="D3142">
        <f t="shared" si="199"/>
        <v>190.86613681122898</v>
      </c>
      <c r="R3142">
        <f t="shared" si="196"/>
        <v>3.14</v>
      </c>
      <c r="S3142">
        <f t="shared" si="197"/>
        <v>1.168485839096032</v>
      </c>
    </row>
    <row r="3143" spans="1:19" x14ac:dyDescent="0.3">
      <c r="A3143">
        <v>3.141</v>
      </c>
      <c r="B3143">
        <f>Uo*COS(2*PI()*Wn*Sheet2!A3143) + (Vo/Wn - (Po*(w/Wn))/(K*(1-(w/Wn)^2)))*SIN(2*PI()*Wn*Sheet2!A3143) +(Po*SIN(2*PI()*w*Sheet2!A3143))/(K*(1-(w/Wn)^2))</f>
        <v>19.502453911410718</v>
      </c>
      <c r="C3143">
        <f t="shared" si="198"/>
        <v>1.1654564446571509</v>
      </c>
      <c r="D3143">
        <f t="shared" si="199"/>
        <v>190.37130084995283</v>
      </c>
      <c r="R3143">
        <f t="shared" si="196"/>
        <v>3.141</v>
      </c>
      <c r="S3143">
        <f t="shared" si="197"/>
        <v>1.1654564446571509</v>
      </c>
    </row>
    <row r="3144" spans="1:19" x14ac:dyDescent="0.3">
      <c r="A3144">
        <v>3.1419999999999999</v>
      </c>
      <c r="B3144">
        <f>Uo*COS(2*PI()*Wn*Sheet2!A3144) + (Vo/Wn - (Po*(w/Wn))/(K*(1-(w/Wn)^2)))*SIN(2*PI()*Wn*Sheet2!A3144) +(Po*SIN(2*PI()*w*Sheet2!A3144))/(K*(1-(w/Wn)^2))</f>
        <v>19.419142502195999</v>
      </c>
      <c r="C3144">
        <f t="shared" si="198"/>
        <v>1.1620521324045123</v>
      </c>
      <c r="D3144">
        <f t="shared" si="199"/>
        <v>189.81522399696937</v>
      </c>
      <c r="R3144">
        <f t="shared" si="196"/>
        <v>3.1419999999999999</v>
      </c>
      <c r="S3144">
        <f t="shared" si="197"/>
        <v>1.1620521324045123</v>
      </c>
    </row>
    <row r="3145" spans="1:19" x14ac:dyDescent="0.3">
      <c r="A3145">
        <v>3.1429999999999998</v>
      </c>
      <c r="B3145">
        <f>Uo*COS(2*PI()*Wn*Sheet2!A3145) + (Vo/Wn - (Po*(w/Wn))/(K*(1-(w/Wn)^2)))*SIN(2*PI()*Wn*Sheet2!A3145) +(Po*SIN(2*PI()*w*Sheet2!A3145))/(K*(1-(w/Wn)^2))</f>
        <v>19.329487232094667</v>
      </c>
      <c r="C3145">
        <f t="shared" si="198"/>
        <v>1.1582746904924752</v>
      </c>
      <c r="D3145">
        <f t="shared" si="199"/>
        <v>189.19819833807298</v>
      </c>
      <c r="R3145">
        <f t="shared" si="196"/>
        <v>3.1429999999999998</v>
      </c>
      <c r="S3145">
        <f t="shared" si="197"/>
        <v>1.1582746904924752</v>
      </c>
    </row>
    <row r="3146" spans="1:19" x14ac:dyDescent="0.3">
      <c r="A3146">
        <v>3.1440000000000001</v>
      </c>
      <c r="B3146">
        <f>Uo*COS(2*PI()*Wn*Sheet2!A3146) + (Vo/Wn - (Po*(w/Wn))/(K*(1-(w/Wn)^2)))*SIN(2*PI()*Wn*Sheet2!A3146) +(Po*SIN(2*PI()*w*Sheet2!A3146))/(K*(1-(w/Wn)^2))</f>
        <v>19.233517389761555</v>
      </c>
      <c r="C3146">
        <f t="shared" si="198"/>
        <v>1.1541260256305006</v>
      </c>
      <c r="D3146">
        <f t="shared" si="199"/>
        <v>188.52053532442261</v>
      </c>
      <c r="R3146">
        <f t="shared" si="196"/>
        <v>3.1440000000000001</v>
      </c>
      <c r="S3146">
        <f t="shared" si="197"/>
        <v>1.1541260256305006</v>
      </c>
    </row>
    <row r="3147" spans="1:19" x14ac:dyDescent="0.3">
      <c r="A3147">
        <v>3.145</v>
      </c>
      <c r="B3147">
        <f>Uo*COS(2*PI()*Wn*Sheet2!A3147) + (Vo/Wn - (Po*(w/Wn))/(K*(1-(w/Wn)^2)))*SIN(2*PI()*Wn*Sheet2!A3147) +(Po*SIN(2*PI()*w*Sheet2!A3147))/(K*(1-(w/Wn)^2))</f>
        <v>19.131264326700975</v>
      </c>
      <c r="C3147">
        <f t="shared" si="198"/>
        <v>1.1496081622467549</v>
      </c>
      <c r="D3147">
        <f t="shared" si="199"/>
        <v>187.78256563592083</v>
      </c>
      <c r="R3147">
        <f t="shared" si="196"/>
        <v>3.145</v>
      </c>
      <c r="S3147">
        <f t="shared" si="197"/>
        <v>1.1496081622467549</v>
      </c>
    </row>
    <row r="3148" spans="1:19" x14ac:dyDescent="0.3">
      <c r="A3148">
        <v>3.1459999999999999</v>
      </c>
      <c r="B3148">
        <f>Uo*COS(2*PI()*Wn*Sheet2!A3148) + (Vo/Wn - (Po*(w/Wn))/(K*(1-(w/Wn)^2)))*SIN(2*PI()*Wn*Sheet2!A3148) +(Po*SIN(2*PI()*w*Sheet2!A3148))/(K*(1-(w/Wn)^2))</f>
        <v>19.022761447024649</v>
      </c>
      <c r="C3148">
        <f t="shared" si="198"/>
        <v>1.1447232416147737</v>
      </c>
      <c r="D3148">
        <f t="shared" si="199"/>
        <v>186.9846390385587</v>
      </c>
      <c r="R3148">
        <f t="shared" si="196"/>
        <v>3.1459999999999999</v>
      </c>
      <c r="S3148">
        <f t="shared" si="197"/>
        <v>1.1447232416147737</v>
      </c>
    </row>
    <row r="3149" spans="1:19" x14ac:dyDescent="0.3">
      <c r="A3149">
        <v>3.1469999999999998</v>
      </c>
      <c r="B3149">
        <f>Uo*COS(2*PI()*Wn*Sheet2!A3149) + (Vo/Wn - (Po*(w/Wn))/(K*(1-(w/Wn)^2)))*SIN(2*PI()*Wn*Sheet2!A3149) +(Po*SIN(2*PI()*w*Sheet2!A3149))/(K*(1-(w/Wn)^2))</f>
        <v>18.908044196539521</v>
      </c>
      <c r="C3149">
        <f t="shared" si="198"/>
        <v>1.1394735209435807</v>
      </c>
      <c r="D3149">
        <f t="shared" si="199"/>
        <v>186.12712423579154</v>
      </c>
      <c r="R3149">
        <f t="shared" si="196"/>
        <v>3.1469999999999998</v>
      </c>
      <c r="S3149">
        <f t="shared" si="197"/>
        <v>1.1394735209435807</v>
      </c>
    </row>
    <row r="3150" spans="1:19" x14ac:dyDescent="0.3">
      <c r="A3150">
        <v>3.1480000000000001</v>
      </c>
      <c r="B3150">
        <f>Uo*COS(2*PI()*Wn*Sheet2!A3150) + (Vo/Wn - (Po*(w/Wn))/(K*(1-(w/Wn)^2)))*SIN(2*PI()*Wn*Sheet2!A3150) +(Po*SIN(2*PI()*w*Sheet2!A3150))/(K*(1-(w/Wn)^2))</f>
        <v>18.787150051167899</v>
      </c>
      <c r="C3150">
        <f t="shared" si="198"/>
        <v>1.1338613724316089</v>
      </c>
      <c r="D3150">
        <f t="shared" si="199"/>
        <v>185.21040871400172</v>
      </c>
      <c r="R3150">
        <f t="shared" si="196"/>
        <v>3.1480000000000001</v>
      </c>
      <c r="S3150">
        <f t="shared" si="197"/>
        <v>1.1338613724316089</v>
      </c>
    </row>
    <row r="3151" spans="1:19" x14ac:dyDescent="0.3">
      <c r="A3151">
        <v>3.149</v>
      </c>
      <c r="B3151">
        <f>Uo*COS(2*PI()*Wn*Sheet2!A3151) + (Vo/Wn - (Po*(w/Wn))/(K*(1-(w/Wn)^2)))*SIN(2*PI()*Wn*Sheet2!A3151) +(Po*SIN(2*PI()*w*Sheet2!A3151))/(K*(1-(w/Wn)^2))</f>
        <v>18.660118504705338</v>
      </c>
      <c r="C3151">
        <f t="shared" si="198"/>
        <v>1.1278892822848103</v>
      </c>
      <c r="D3151">
        <f t="shared" si="199"/>
        <v>184.23489858211198</v>
      </c>
      <c r="R3151">
        <f t="shared" si="196"/>
        <v>3.149</v>
      </c>
      <c r="S3151">
        <f t="shared" si="197"/>
        <v>1.1278892822848103</v>
      </c>
    </row>
    <row r="3152" spans="1:19" x14ac:dyDescent="0.3">
      <c r="A3152">
        <v>3.15</v>
      </c>
      <c r="B3152">
        <f>Uo*COS(2*PI()*Wn*Sheet2!A3152) + (Vo/Wn - (Po*(w/Wn))/(K*(1-(w/Wn)^2)))*SIN(2*PI()*Wn*Sheet2!A3152) +(Po*SIN(2*PI()*w*Sheet2!A3152))/(K*(1-(w/Wn)^2))</f>
        <v>18.526991055918177</v>
      </c>
      <c r="C3152">
        <f t="shared" si="198"/>
        <v>1.1215598496992885</v>
      </c>
      <c r="D3152">
        <f t="shared" si="199"/>
        <v>183.20101840540374</v>
      </c>
      <c r="R3152">
        <f t="shared" si="196"/>
        <v>3.15</v>
      </c>
      <c r="S3152">
        <f t="shared" si="197"/>
        <v>1.1215598496992885</v>
      </c>
    </row>
    <row r="3153" spans="1:19" x14ac:dyDescent="0.3">
      <c r="A3153">
        <v>3.1509999999999998</v>
      </c>
      <c r="B3153">
        <f>Uo*COS(2*PI()*Wn*Sheet2!A3153) + (Vo/Wn - (Po*(w/Wn))/(K*(1-(w/Wn)^2)))*SIN(2*PI()*Wn*Sheet2!A3153) +(Po*SIN(2*PI()*w*Sheet2!A3153))/(K*(1-(w/Wn)^2))</f>
        <v>18.387811194987002</v>
      </c>
      <c r="C3153">
        <f t="shared" si="198"/>
        <v>1.114875785808946</v>
      </c>
      <c r="D3153">
        <f t="shared" si="199"/>
        <v>182.10921103362074</v>
      </c>
      <c r="R3153">
        <f t="shared" si="196"/>
        <v>3.1509999999999998</v>
      </c>
      <c r="S3153">
        <f t="shared" si="197"/>
        <v>1.114875785808946</v>
      </c>
    </row>
    <row r="3154" spans="1:19" x14ac:dyDescent="0.3">
      <c r="A3154">
        <v>3.1520000000000001</v>
      </c>
      <c r="B3154">
        <f>Uo*COS(2*PI()*Wn*Sheet2!A3154) + (Vo/Wn - (Po*(w/Wn))/(K*(1-(w/Wn)^2)))*SIN(2*PI()*Wn*Sheet2!A3154) +(Po*SIN(2*PI()*w*Sheet2!A3154))/(K*(1-(w/Wn)^2))</f>
        <v>18.242624389299309</v>
      </c>
      <c r="C3154">
        <f t="shared" si="198"/>
        <v>1.1078399125984504</v>
      </c>
      <c r="D3154">
        <f t="shared" si="199"/>
        <v>180.95993742340752</v>
      </c>
      <c r="R3154">
        <f t="shared" si="196"/>
        <v>3.1520000000000001</v>
      </c>
      <c r="S3154">
        <f t="shared" si="197"/>
        <v>1.1078399125984504</v>
      </c>
    </row>
    <row r="3155" spans="1:19" x14ac:dyDescent="0.3">
      <c r="A3155">
        <v>3.153</v>
      </c>
      <c r="B3155">
        <f>Uo*COS(2*PI()*Wn*Sheet2!A3155) + (Vo/Wn - (Po*(w/Wn))/(K*(1-(w/Wn)^2)))*SIN(2*PI()*Wn*Sheet2!A3155) +(Po*SIN(2*PI()*w*Sheet2!A3155))/(K*(1-(w/Wn)^2))</f>
        <v>18.091478068596075</v>
      </c>
      <c r="C3155">
        <f t="shared" si="198"/>
        <v>1.1004551617820171</v>
      </c>
      <c r="D3155">
        <f t="shared" si="199"/>
        <v>179.75367645516454</v>
      </c>
      <c r="R3155">
        <f t="shared" si="196"/>
        <v>3.153</v>
      </c>
      <c r="S3155">
        <f t="shared" si="197"/>
        <v>1.1004551617820171</v>
      </c>
    </row>
    <row r="3156" spans="1:19" x14ac:dyDescent="0.3">
      <c r="A3156">
        <v>3.1539999999999999</v>
      </c>
      <c r="B3156">
        <f>Uo*COS(2*PI()*Wn*Sheet2!A3156) + (Vo/Wn - (Po*(w/Wn))/(K*(1-(w/Wn)^2)))*SIN(2*PI()*Wn*Sheet2!A3156) +(Po*SIN(2*PI()*w*Sheet2!A3156))/(K*(1-(w/Wn)^2))</f>
        <v>17.934421609477205</v>
      </c>
      <c r="C3156">
        <f t="shared" si="198"/>
        <v>1.0927245736483731</v>
      </c>
      <c r="D3156">
        <f t="shared" si="199"/>
        <v>178.49092474437887</v>
      </c>
      <c r="R3156">
        <f t="shared" si="196"/>
        <v>3.1539999999999999</v>
      </c>
      <c r="S3156">
        <f t="shared" si="197"/>
        <v>1.0927245736483731</v>
      </c>
    </row>
    <row r="3157" spans="1:19" x14ac:dyDescent="0.3">
      <c r="A3157">
        <v>3.1549999999999998</v>
      </c>
      <c r="B3157">
        <f>Uo*COS(2*PI()*Wn*Sheet2!A3157) + (Vo/Wn - (Po*(w/Wn))/(K*(1-(w/Wn)^2)))*SIN(2*PI()*Wn*Sheet2!A3157) +(Po*SIN(2*PI()*w*Sheet2!A3157))/(K*(1-(w/Wn)^2))</f>
        <v>17.771506319271559</v>
      </c>
      <c r="C3157">
        <f t="shared" si="198"/>
        <v>1.08465129587239</v>
      </c>
      <c r="D3157">
        <f t="shared" si="199"/>
        <v>177.17219644751054</v>
      </c>
      <c r="R3157">
        <f t="shared" si="196"/>
        <v>3.1549999999999998</v>
      </c>
      <c r="S3157">
        <f t="shared" si="197"/>
        <v>1.08465129587239</v>
      </c>
    </row>
    <row r="3158" spans="1:19" x14ac:dyDescent="0.3">
      <c r="A3158">
        <v>3.1560000000000001</v>
      </c>
      <c r="B3158">
        <f>Uo*COS(2*PI()*Wn*Sheet2!A3158) + (Vo/Wn - (Po*(w/Wn))/(K*(1-(w/Wn)^2)))*SIN(2*PI()*Wn*Sheet2!A3158) +(Po*SIN(2*PI()*w*Sheet2!A3158))/(K*(1-(w/Wn)^2))</f>
        <v>17.602785419275246</v>
      </c>
      <c r="C3158">
        <f t="shared" si="198"/>
        <v>1.0762385822938054</v>
      </c>
      <c r="D3158">
        <f t="shared" si="199"/>
        <v>175.79802306250315</v>
      </c>
      <c r="R3158">
        <f t="shared" si="196"/>
        <v>3.1560000000000001</v>
      </c>
      <c r="S3158">
        <f t="shared" si="197"/>
        <v>1.0762385822938054</v>
      </c>
    </row>
    <row r="3159" spans="1:19" x14ac:dyDescent="0.3">
      <c r="A3159">
        <v>3.157</v>
      </c>
      <c r="B3159">
        <f>Uo*COS(2*PI()*Wn*Sheet2!A3159) + (Vo/Wn - (Po*(w/Wn))/(K*(1-(w/Wn)^2)))*SIN(2*PI()*Wn*Sheet2!A3159) +(Po*SIN(2*PI()*w*Sheet2!A3159))/(K*(1-(w/Wn)^2))</f>
        <v>17.428314027366074</v>
      </c>
      <c r="C3159">
        <f t="shared" si="198"/>
        <v>1.0674897916635151</v>
      </c>
      <c r="D3159">
        <f t="shared" si="199"/>
        <v>174.36895322399693</v>
      </c>
      <c r="R3159">
        <f t="shared" si="196"/>
        <v>3.157</v>
      </c>
      <c r="S3159">
        <f t="shared" si="197"/>
        <v>1.0674897916635151</v>
      </c>
    </row>
    <row r="3160" spans="1:19" x14ac:dyDescent="0.3">
      <c r="A3160">
        <v>3.1579999999999999</v>
      </c>
      <c r="B3160">
        <f>Uo*COS(2*PI()*Wn*Sheet2!A3160) + (Vo/Wn - (Po*(w/Wn))/(K*(1-(w/Wn)^2)))*SIN(2*PI()*Wn*Sheet2!A3160) +(Po*SIN(2*PI()*w*Sheet2!A3160))/(K*(1-(w/Wn)^2))</f>
        <v>17.248149139996706</v>
      </c>
      <c r="C3160">
        <f t="shared" si="198"/>
        <v>1.058408386357842</v>
      </c>
      <c r="D3160">
        <f t="shared" si="199"/>
        <v>172.88555249331131</v>
      </c>
      <c r="R3160">
        <f t="shared" si="196"/>
        <v>3.1579999999999999</v>
      </c>
      <c r="S3160">
        <f t="shared" si="197"/>
        <v>1.058408386357842</v>
      </c>
    </row>
    <row r="3161" spans="1:19" x14ac:dyDescent="0.3">
      <c r="A3161">
        <v>3.1589999999999998</v>
      </c>
      <c r="B3161">
        <f>Uo*COS(2*PI()*Wn*Sheet2!A3161) + (Vo/Wn - (Po*(w/Wn))/(K*(1-(w/Wn)^2)))*SIN(2*PI()*Wn*Sheet2!A3161) +(Po*SIN(2*PI()*w*Sheet2!A3161))/(K*(1-(w/Wn)^2))</f>
        <v>17.062349613575481</v>
      </c>
      <c r="C3161">
        <f t="shared" si="198"/>
        <v>1.04899793106137</v>
      </c>
      <c r="D3161">
        <f t="shared" si="199"/>
        <v>171.34840314329276</v>
      </c>
      <c r="R3161">
        <f t="shared" si="196"/>
        <v>3.1589999999999998</v>
      </c>
      <c r="S3161">
        <f t="shared" si="197"/>
        <v>1.04899793106137</v>
      </c>
    </row>
    <row r="3162" spans="1:19" x14ac:dyDescent="0.3">
      <c r="A3162">
        <v>3.16</v>
      </c>
      <c r="B3162">
        <f>Uo*COS(2*PI()*Wn*Sheet2!A3162) + (Vo/Wn - (Po*(w/Wn))/(K*(1-(w/Wn)^2)))*SIN(2*PI()*Wn*Sheet2!A3162) +(Po*SIN(2*PI()*w*Sheet2!A3162))/(K*(1-(w/Wn)^2))</f>
        <v>16.870976145239233</v>
      </c>
      <c r="C3162">
        <f t="shared" si="198"/>
        <v>1.0392620914187074</v>
      </c>
      <c r="D3162">
        <f t="shared" si="199"/>
        <v>169.75810393808698</v>
      </c>
      <c r="R3162">
        <f t="shared" si="196"/>
        <v>3.16</v>
      </c>
      <c r="S3162">
        <f t="shared" si="197"/>
        <v>1.0392620914187074</v>
      </c>
    </row>
    <row r="3163" spans="1:19" x14ac:dyDescent="0.3">
      <c r="A3163">
        <v>3.161</v>
      </c>
      <c r="B3163">
        <f>Uo*COS(2*PI()*Wn*Sheet2!A3163) + (Vo/Wn - (Po*(w/Wn))/(K*(1-(w/Wn)^2)))*SIN(2*PI()*Wn*Sheet2!A3163) +(Po*SIN(2*PI()*w*Sheet2!A3163))/(K*(1-(w/Wn)^2))</f>
        <v>16.674091253024507</v>
      </c>
      <c r="C3163">
        <f t="shared" si="198"/>
        <v>1.0292046326557798</v>
      </c>
      <c r="D3163">
        <f t="shared" si="199"/>
        <v>168.11526990793448</v>
      </c>
      <c r="R3163">
        <f t="shared" si="196"/>
        <v>3.161</v>
      </c>
      <c r="S3163">
        <f t="shared" si="197"/>
        <v>1.0292046326557798</v>
      </c>
    </row>
    <row r="3164" spans="1:19" x14ac:dyDescent="0.3">
      <c r="A3164">
        <v>3.1619999999999999</v>
      </c>
      <c r="B3164">
        <f>Uo*COS(2*PI()*Wn*Sheet2!A3164) + (Vo/Wn - (Po*(w/Wn))/(K*(1-(w/Wn)^2)))*SIN(2*PI()*Wn*Sheet2!A3164) +(Po*SIN(2*PI()*w*Sheet2!A3164))/(K*(1-(w/Wn)^2))</f>
        <v>16.471759255444248</v>
      </c>
      <c r="C3164">
        <f t="shared" si="198"/>
        <v>1.018829418171064</v>
      </c>
      <c r="D3164">
        <f t="shared" si="199"/>
        <v>166.42053211905585</v>
      </c>
      <c r="R3164">
        <f t="shared" si="196"/>
        <v>3.1619999999999999</v>
      </c>
      <c r="S3164">
        <f t="shared" si="197"/>
        <v>1.018829418171064</v>
      </c>
    </row>
    <row r="3165" spans="1:19" x14ac:dyDescent="0.3">
      <c r="A3165">
        <v>3.1629999999999998</v>
      </c>
      <c r="B3165">
        <f>Uo*COS(2*PI()*Wn*Sheet2!A3165) + (Vo/Wn - (Po*(w/Wn))/(K*(1-(w/Wn)^2)))*SIN(2*PI()*Wn*Sheet2!A3165) +(Po*SIN(2*PI()*w*Sheet2!A3165))/(K*(1-(w/Wn)^2))</f>
        <v>16.26404625047595</v>
      </c>
      <c r="C3165">
        <f t="shared" si="198"/>
        <v>1.0081404080973588</v>
      </c>
      <c r="D3165">
        <f t="shared" si="199"/>
        <v>164.67453743872431</v>
      </c>
      <c r="R3165">
        <f t="shared" si="196"/>
        <v>3.1629999999999998</v>
      </c>
      <c r="S3165">
        <f t="shared" si="197"/>
        <v>1.0081404080973588</v>
      </c>
    </row>
    <row r="3166" spans="1:19" x14ac:dyDescent="0.3">
      <c r="A3166">
        <v>3.1640000000000001</v>
      </c>
      <c r="B3166">
        <f>Uo*COS(2*PI()*Wn*Sheet2!A3166) + (Vo/Wn - (Po*(w/Wn))/(K*(1-(w/Wn)^2)))*SIN(2*PI()*Wn*Sheet2!A3166) +(Po*SIN(2*PI()*w*Sheet2!A3166))/(K*(1-(w/Wn)^2))</f>
        <v>16.051020093968781</v>
      </c>
      <c r="C3166">
        <f t="shared" si="198"/>
        <v>0.99714165783456543</v>
      </c>
      <c r="D3166">
        <f t="shared" si="199"/>
        <v>162.87794829560306</v>
      </c>
      <c r="R3166">
        <f t="shared" si="196"/>
        <v>3.1640000000000001</v>
      </c>
      <c r="S3166">
        <f t="shared" si="197"/>
        <v>0.99714165783456543</v>
      </c>
    </row>
    <row r="3167" spans="1:19" x14ac:dyDescent="0.3">
      <c r="A3167">
        <v>3.165</v>
      </c>
      <c r="B3167">
        <f>Uo*COS(2*PI()*Wn*Sheet2!A3167) + (Vo/Wn - (Po*(w/Wn))/(K*(1-(w/Wn)^2)))*SIN(2*PI()*Wn*Sheet2!A3167) +(Po*SIN(2*PI()*w*Sheet2!A3167))/(K*(1-(w/Wn)^2))</f>
        <v>15.832750377476968</v>
      </c>
      <c r="C3167">
        <f t="shared" si="198"/>
        <v>0.98583731655404438</v>
      </c>
      <c r="D3167">
        <f t="shared" si="199"/>
        <v>161.03144243543966</v>
      </c>
      <c r="R3167">
        <f t="shared" si="196"/>
        <v>3.165</v>
      </c>
      <c r="S3167">
        <f t="shared" si="197"/>
        <v>0.98583731655404438</v>
      </c>
    </row>
    <row r="3168" spans="1:19" x14ac:dyDescent="0.3">
      <c r="A3168">
        <v>3.1659999999999999</v>
      </c>
      <c r="B3168">
        <f>Uo*COS(2*PI()*Wn*Sheet2!A3168) + (Vo/Wn - (Po*(w/Wn))/(K*(1-(w/Wn)^2)))*SIN(2*PI()*Wn*Sheet2!A3168) +(Po*SIN(2*PI()*w*Sheet2!A3168))/(K*(1-(w/Wn)^2))</f>
        <v>15.609308405524585</v>
      </c>
      <c r="C3168">
        <f t="shared" si="198"/>
        <v>0.9742316256750243</v>
      </c>
      <c r="D3168">
        <f t="shared" si="199"/>
        <v>159.13571267219533</v>
      </c>
      <c r="R3168">
        <f t="shared" si="196"/>
        <v>3.1659999999999999</v>
      </c>
      <c r="S3168">
        <f t="shared" si="197"/>
        <v>0.9742316256750243</v>
      </c>
    </row>
    <row r="3169" spans="1:19" x14ac:dyDescent="0.3">
      <c r="A3169">
        <v>3.1669999999999998</v>
      </c>
      <c r="B3169">
        <f>Uo*COS(2*PI()*Wn*Sheet2!A3169) + (Vo/Wn - (Po*(w/Wn))/(K*(1-(w/Wn)^2)))*SIN(2*PI()*Wn*Sheet2!A3169) +(Po*SIN(2*PI()*w*Sheet2!A3169))/(K*(1-(w/Wn)^2))</f>
        <v>15.380767172312295</v>
      </c>
      <c r="C3169">
        <f t="shared" si="198"/>
        <v>0.96232891731368575</v>
      </c>
      <c r="D3169">
        <f t="shared" si="199"/>
        <v>157.19146663471065</v>
      </c>
      <c r="R3169">
        <f t="shared" si="196"/>
        <v>3.1669999999999998</v>
      </c>
      <c r="S3169">
        <f t="shared" si="197"/>
        <v>0.96232891731368575</v>
      </c>
    </row>
    <row r="3170" spans="1:19" x14ac:dyDescent="0.3">
      <c r="A3170">
        <v>3.1680000000000001</v>
      </c>
      <c r="B3170">
        <f>Uo*COS(2*PI()*Wn*Sheet2!A3170) + (Vo/Wn - (Po*(w/Wn))/(K*(1-(w/Wn)^2)))*SIN(2*PI()*Wn*Sheet2!A3170) +(Po*SIN(2*PI()*w*Sheet2!A3170))/(K*(1-(w/Wn)^2))</f>
        <v>15.147201337871657</v>
      </c>
      <c r="C3170">
        <f t="shared" si="198"/>
        <v>0.95013361270545038</v>
      </c>
      <c r="D3170">
        <f t="shared" si="199"/>
        <v>155.1994265089948</v>
      </c>
      <c r="R3170">
        <f t="shared" si="196"/>
        <v>3.1680000000000001</v>
      </c>
      <c r="S3170">
        <f t="shared" si="197"/>
        <v>0.95013361270545038</v>
      </c>
    </row>
    <row r="3171" spans="1:19" x14ac:dyDescent="0.3">
      <c r="A3171">
        <v>3.169</v>
      </c>
      <c r="B3171">
        <f>Uo*COS(2*PI()*Wn*Sheet2!A3171) + (Vo/Wn - (Po*(w/Wn))/(K*(1-(w/Wn)^2)))*SIN(2*PI()*Wn*Sheet2!A3171) +(Po*SIN(2*PI()*w*Sheet2!A3171))/(K*(1-(w/Wn)^2))</f>
        <v>14.908687203674855</v>
      </c>
      <c r="C3171">
        <f t="shared" si="198"/>
        <v>0.93765022060102088</v>
      </c>
      <c r="D3171">
        <f t="shared" si="199"/>
        <v>153.16032877622678</v>
      </c>
      <c r="R3171">
        <f t="shared" si="196"/>
        <v>3.169</v>
      </c>
      <c r="S3171">
        <f t="shared" si="197"/>
        <v>0.93765022060102088</v>
      </c>
    </row>
    <row r="3172" spans="1:19" x14ac:dyDescent="0.3">
      <c r="A3172">
        <v>3.17</v>
      </c>
      <c r="B3172">
        <f>Uo*COS(2*PI()*Wn*Sheet2!A3172) + (Vo/Wn - (Po*(w/Wn))/(K*(1-(w/Wn)^2)))*SIN(2*PI()*Wn*Sheet2!A3172) +(Po*SIN(2*PI()*w*Sheet2!A3172))/(K*(1-(w/Wn)^2))</f>
        <v>14.665302687708671</v>
      </c>
      <c r="C3172">
        <f t="shared" si="198"/>
        <v>0.92488333563673109</v>
      </c>
      <c r="D3172">
        <f t="shared" si="199"/>
        <v>151.07492394656063</v>
      </c>
      <c r="R3172">
        <f t="shared" si="196"/>
        <v>3.17</v>
      </c>
      <c r="S3172">
        <f t="shared" si="197"/>
        <v>0.92488333563673109</v>
      </c>
    </row>
    <row r="3173" spans="1:19" x14ac:dyDescent="0.3">
      <c r="A3173">
        <v>3.1709999999999998</v>
      </c>
      <c r="B3173">
        <f>Uo*COS(2*PI()*Wn*Sheet2!A3173) + (Vo/Wn - (Po*(w/Wn))/(K*(1-(w/Wn)^2)))*SIN(2*PI()*Wn*Sheet2!A3173) +(Po*SIN(2*PI()*w*Sheet2!A3173))/(K*(1-(w/Wn)^2))</f>
        <v>14.417127299019869</v>
      </c>
      <c r="C3173">
        <f t="shared" si="198"/>
        <v>0.91183763667984286</v>
      </c>
      <c r="D3173">
        <f t="shared" si="199"/>
        <v>148.9439762888382</v>
      </c>
      <c r="R3173">
        <f t="shared" si="196"/>
        <v>3.1709999999999998</v>
      </c>
      <c r="S3173">
        <f t="shared" si="197"/>
        <v>0.91183763667984286</v>
      </c>
    </row>
    <row r="3174" spans="1:19" x14ac:dyDescent="0.3">
      <c r="A3174">
        <v>3.1720000000000002</v>
      </c>
      <c r="B3174">
        <f>Uo*COS(2*PI()*Wn*Sheet2!A3174) + (Vo/Wn - (Po*(w/Wn))/(K*(1-(w/Wn)^2)))*SIN(2*PI()*Wn*Sheet2!A3174) +(Po*SIN(2*PI()*w*Sheet2!A3174))/(K*(1-(w/Wn)^2))</f>
        <v>14.16424211174122</v>
      </c>
      <c r="C3174">
        <f t="shared" si="198"/>
        <v>0.89851788514931763</v>
      </c>
      <c r="D3174">
        <f t="shared" si="199"/>
        <v>146.76826355629572</v>
      </c>
      <c r="R3174">
        <f t="shared" si="196"/>
        <v>3.1720000000000002</v>
      </c>
      <c r="S3174">
        <f t="shared" si="197"/>
        <v>0.89851788514931763</v>
      </c>
    </row>
    <row r="3175" spans="1:19" x14ac:dyDescent="0.3">
      <c r="A3175">
        <v>3.173</v>
      </c>
      <c r="B3175">
        <f>Uo*COS(2*PI()*Wn*Sheet2!A3175) + (Vo/Wn - (Po*(w/Wn))/(K*(1-(w/Wn)^2)))*SIN(2*PI()*Wn*Sheet2!A3175) +(Po*SIN(2*PI()*w*Sheet2!A3175))/(K*(1-(w/Wn)^2))</f>
        <v>13.906729738606828</v>
      </c>
      <c r="C3175">
        <f t="shared" si="198"/>
        <v>0.88492892331270157</v>
      </c>
      <c r="D3175">
        <f t="shared" si="199"/>
        <v>144.54857670836896</v>
      </c>
      <c r="R3175">
        <f t="shared" si="196"/>
        <v>3.173</v>
      </c>
      <c r="S3175">
        <f t="shared" si="197"/>
        <v>0.88492892331270157</v>
      </c>
    </row>
    <row r="3176" spans="1:19" x14ac:dyDescent="0.3">
      <c r="A3176">
        <v>3.1739999999999999</v>
      </c>
      <c r="B3176">
        <f>Uo*COS(2*PI()*Wn*Sheet2!A3176) + (Vo/Wn - (Po*(w/Wn))/(K*(1-(w/Wn)^2)))*SIN(2*PI()*Wn*Sheet2!A3176) +(Po*SIN(2*PI()*w*Sheet2!A3176))/(K*(1-(w/Wn)^2))</f>
        <v>13.644674303962949</v>
      </c>
      <c r="C3176">
        <f t="shared" si="198"/>
        <v>0.8710756725596559</v>
      </c>
      <c r="D3176">
        <f t="shared" si="199"/>
        <v>142.28571962868315</v>
      </c>
      <c r="R3176">
        <f t="shared" si="196"/>
        <v>3.1739999999999999</v>
      </c>
      <c r="S3176">
        <f t="shared" si="197"/>
        <v>0.8710756725596559</v>
      </c>
    </row>
    <row r="3177" spans="1:19" x14ac:dyDescent="0.3">
      <c r="A3177">
        <v>3.1749999999999998</v>
      </c>
      <c r="B3177">
        <f>Uo*COS(2*PI()*Wn*Sheet2!A3177) + (Vo/Wn - (Po*(w/Wn))/(K*(1-(w/Wn)^2)))*SIN(2*PI()*Wn*Sheet2!A3177) +(Po*SIN(2*PI()*w*Sheet2!A3177))/(K*(1-(w/Wn)^2))</f>
        <v>13.378161416286877</v>
      </c>
      <c r="C3177">
        <f t="shared" si="198"/>
        <v>0.8569631316528048</v>
      </c>
      <c r="D3177">
        <f t="shared" si="199"/>
        <v>139.98050883933809</v>
      </c>
      <c r="R3177">
        <f t="shared" si="196"/>
        <v>3.1749999999999998</v>
      </c>
      <c r="S3177">
        <f t="shared" si="197"/>
        <v>0.8569631316528048</v>
      </c>
    </row>
    <row r="3178" spans="1:19" x14ac:dyDescent="0.3">
      <c r="A3178">
        <v>3.1760000000000002</v>
      </c>
      <c r="B3178">
        <f>Uo*COS(2*PI()*Wn*Sheet2!A3178) + (Vo/Wn - (Po*(w/Wn))/(K*(1-(w/Wn)^2)))*SIN(2*PI()*Wn*Sheet2!A3178) +(Po*SIN(2*PI()*w*Sheet2!A3178))/(K*(1-(w/Wn)^2))</f>
        <v>13.107278140220407</v>
      </c>
      <c r="C3178">
        <f t="shared" si="198"/>
        <v>0.84259637495650808</v>
      </c>
      <c r="D3178">
        <f t="shared" si="199"/>
        <v>137.63377321158723</v>
      </c>
      <c r="R3178">
        <f t="shared" si="196"/>
        <v>3.1760000000000002</v>
      </c>
      <c r="S3178">
        <f t="shared" si="197"/>
        <v>0.84259637495650808</v>
      </c>
    </row>
    <row r="3179" spans="1:19" x14ac:dyDescent="0.3">
      <c r="A3179">
        <v>3.177</v>
      </c>
      <c r="B3179">
        <f>Uo*COS(2*PI()*Wn*Sheet2!A3179) + (Vo/Wn - (Po*(w/Wn))/(K*(1-(w/Wn)^2)))*SIN(2*PI()*Wn*Sheet2!A3179) +(Po*SIN(2*PI()*w*Sheet2!A3179))/(K*(1-(w/Wn)^2))</f>
        <v>12.832112968127172</v>
      </c>
      <c r="C3179">
        <f t="shared" si="198"/>
        <v>0.82798055064413967</v>
      </c>
      <c r="D3179">
        <f t="shared" si="199"/>
        <v>135.24635367300596</v>
      </c>
      <c r="R3179">
        <f t="shared" si="196"/>
        <v>3.177</v>
      </c>
      <c r="S3179">
        <f t="shared" si="197"/>
        <v>0.82798055064413967</v>
      </c>
    </row>
    <row r="3180" spans="1:19" x14ac:dyDescent="0.3">
      <c r="A3180">
        <v>3.1779999999999999</v>
      </c>
      <c r="B3180">
        <f>Uo*COS(2*PI()*Wn*Sheet2!A3180) + (Vo/Wn - (Po*(w/Wn))/(K*(1-(w/Wn)^2)))*SIN(2*PI()*Wn*Sheet2!A3180) +(Po*SIN(2*PI()*w*Sheet2!A3180))/(K*(1-(w/Wn)^2))</f>
        <v>12.552755791184119</v>
      </c>
      <c r="C3180">
        <f t="shared" si="198"/>
        <v>0.81312087888448381</v>
      </c>
      <c r="D3180">
        <f t="shared" si="199"/>
        <v>132.81910291124868</v>
      </c>
      <c r="R3180">
        <f t="shared" si="196"/>
        <v>3.1779999999999999</v>
      </c>
      <c r="S3180">
        <f t="shared" si="197"/>
        <v>0.81312087888448381</v>
      </c>
    </row>
    <row r="3181" spans="1:19" x14ac:dyDescent="0.3">
      <c r="A3181">
        <v>3.1789999999999998</v>
      </c>
      <c r="B3181">
        <f>Uo*COS(2*PI()*Wn*Sheet2!A3181) + (Vo/Wn - (Po*(w/Wn))/(K*(1-(w/Wn)^2)))*SIN(2*PI()*Wn*Sheet2!A3181) +(Po*SIN(2*PI()*w*Sheet2!A3181))/(K*(1-(w/Wn)^2))</f>
        <v>12.269297870015443</v>
      </c>
      <c r="C3181">
        <f t="shared" si="198"/>
        <v>0.79802265000795636</v>
      </c>
      <c r="D3181">
        <f t="shared" si="199"/>
        <v>130.35288507451057</v>
      </c>
      <c r="R3181">
        <f t="shared" si="196"/>
        <v>3.1789999999999998</v>
      </c>
      <c r="S3181">
        <f t="shared" si="197"/>
        <v>0.79802265000795636</v>
      </c>
    </row>
    <row r="3182" spans="1:19" x14ac:dyDescent="0.3">
      <c r="A3182">
        <v>3.18</v>
      </c>
      <c r="B3182">
        <f>Uo*COS(2*PI()*Wn*Sheet2!A3182) + (Vo/Wn - (Po*(w/Wn))/(K*(1-(w/Wn)^2)))*SIN(2*PI()*Wn*Sheet2!A3182) +(Po*SIN(2*PI()*w*Sheet2!A3182))/(K*(1-(w/Wn)^2))</f>
        <v>11.981831804879599</v>
      </c>
      <c r="C3182">
        <f t="shared" si="198"/>
        <v>0.78269122265320468</v>
      </c>
      <c r="D3182">
        <f t="shared" si="199"/>
        <v>127.84857546878418</v>
      </c>
      <c r="R3182">
        <f t="shared" si="196"/>
        <v>3.18</v>
      </c>
      <c r="S3182">
        <f t="shared" si="197"/>
        <v>0.78269122265320468</v>
      </c>
    </row>
    <row r="3183" spans="1:19" x14ac:dyDescent="0.3">
      <c r="A3183">
        <v>3.181</v>
      </c>
      <c r="B3183">
        <f>Uo*COS(2*PI()*Wn*Sheet2!A3183) + (Vo/Wn - (Po*(w/Wn))/(K*(1-(w/Wn)^2)))*SIN(2*PI()*Wn*Sheet2!A3183) +(Po*SIN(2*PI()*w*Sheet2!A3183))/(K*(1-(w/Wn)^2))</f>
        <v>11.690451505419372</v>
      </c>
      <c r="C3183">
        <f t="shared" si="198"/>
        <v>0.76713202189480023</v>
      </c>
      <c r="D3183">
        <f t="shared" si="199"/>
        <v>125.30706025202772</v>
      </c>
      <c r="R3183">
        <f t="shared" si="196"/>
        <v>3.181</v>
      </c>
      <c r="S3183">
        <f t="shared" si="197"/>
        <v>0.76713202189480023</v>
      </c>
    </row>
    <row r="3184" spans="1:19" x14ac:dyDescent="0.3">
      <c r="A3184">
        <v>3.1819999999999999</v>
      </c>
      <c r="B3184">
        <f>Uo*COS(2*PI()*Wn*Sheet2!A3184) + (Vo/Wn - (Po*(w/Wn))/(K*(1-(w/Wn)^2)))*SIN(2*PI()*Wn*Sheet2!A3184) +(Po*SIN(2*PI()*w*Sheet2!A3184))/(K*(1-(w/Wn)^2))</f>
        <v>11.395252159981936</v>
      </c>
      <c r="C3184">
        <f t="shared" si="198"/>
        <v>0.75135053735255675</v>
      </c>
      <c r="D3184">
        <f t="shared" si="199"/>
        <v>122.72923612533192</v>
      </c>
      <c r="R3184">
        <f t="shared" si="196"/>
        <v>3.1819999999999999</v>
      </c>
      <c r="S3184">
        <f t="shared" si="197"/>
        <v>0.75135053735255675</v>
      </c>
    </row>
    <row r="3185" spans="1:19" x14ac:dyDescent="0.3">
      <c r="A3185">
        <v>3.1829999999999998</v>
      </c>
      <c r="B3185">
        <f>Uo*COS(2*PI()*Wn*Sheet2!A3185) + (Vo/Wn - (Po*(w/Wn))/(K*(1-(w/Wn)^2)))*SIN(2*PI()*Wn*Sheet2!A3185) +(Po*SIN(2*PI()*w*Sheet2!A3185))/(K*(1-(w/Wn)^2))</f>
        <v>11.096330204524005</v>
      </c>
      <c r="C3185">
        <f t="shared" si="198"/>
        <v>0.73535232128327621</v>
      </c>
      <c r="D3185">
        <f t="shared" si="199"/>
        <v>120.11601002121655</v>
      </c>
      <c r="R3185">
        <f t="shared" si="196"/>
        <v>3.1829999999999998</v>
      </c>
      <c r="S3185">
        <f t="shared" si="197"/>
        <v>0.73535232128327621</v>
      </c>
    </row>
    <row r="3186" spans="1:19" x14ac:dyDescent="0.3">
      <c r="A3186">
        <v>3.1840000000000002</v>
      </c>
      <c r="B3186">
        <f>Uo*COS(2*PI()*Wn*Sheet2!A3186) + (Vo/Wn - (Po*(w/Wn))/(K*(1-(w/Wn)^2)))*SIN(2*PI()*Wn*Sheet2!A3186) +(Po*SIN(2*PI()*w*Sheet2!A3186))/(K*(1-(w/Wn)^2))</f>
        <v>10.793783291107017</v>
      </c>
      <c r="C3186">
        <f t="shared" si="198"/>
        <v>0.71914298665541965</v>
      </c>
      <c r="D3186">
        <f t="shared" si="199"/>
        <v>117.46829878913785</v>
      </c>
      <c r="R3186">
        <f t="shared" si="196"/>
        <v>3.1840000000000002</v>
      </c>
      <c r="S3186">
        <f t="shared" si="197"/>
        <v>0.71914298665541965</v>
      </c>
    </row>
    <row r="3187" spans="1:19" x14ac:dyDescent="0.3">
      <c r="A3187">
        <v>3.1850000000000001</v>
      </c>
      <c r="B3187">
        <f>Uo*COS(2*PI()*Wn*Sheet2!A3187) + (Vo/Wn - (Po*(w/Wn))/(K*(1-(w/Wn)^2)))*SIN(2*PI()*Wn*Sheet2!A3187) +(Po*SIN(2*PI()*w*Sheet2!A3187))/(K*(1-(w/Wn)^2))</f>
        <v>10.487710255996918</v>
      </c>
      <c r="C3187">
        <f t="shared" si="198"/>
        <v>0.70272820520754153</v>
      </c>
      <c r="D3187">
        <f t="shared" si="199"/>
        <v>114.7870288783438</v>
      </c>
      <c r="R3187">
        <f t="shared" si="196"/>
        <v>3.1850000000000001</v>
      </c>
      <c r="S3187">
        <f t="shared" si="197"/>
        <v>0.70272820520754153</v>
      </c>
    </row>
    <row r="3188" spans="1:19" x14ac:dyDescent="0.3">
      <c r="A3188">
        <v>3.1859999999999999</v>
      </c>
      <c r="B3188">
        <f>Uo*COS(2*PI()*Wn*Sheet2!A3188) + (Vo/Wn - (Po*(w/Wn))/(K*(1-(w/Wn)^2)))*SIN(2*PI()*Wn*Sheet2!A3188) +(Po*SIN(2*PI()*w*Sheet2!A3188))/(K*(1-(w/Wn)^2))</f>
        <v>10.178211087375878</v>
      </c>
      <c r="C3188">
        <f t="shared" si="198"/>
        <v>0.68611370549092676</v>
      </c>
      <c r="D3188">
        <f t="shared" si="199"/>
        <v>112.07313601814894</v>
      </c>
      <c r="R3188">
        <f t="shared" si="196"/>
        <v>3.1859999999999999</v>
      </c>
      <c r="S3188">
        <f t="shared" si="197"/>
        <v>0.68611370549092676</v>
      </c>
    </row>
    <row r="3189" spans="1:19" x14ac:dyDescent="0.3">
      <c r="A3189">
        <v>3.1869999999999998</v>
      </c>
      <c r="B3189">
        <f>Uo*COS(2*PI()*Wn*Sheet2!A3189) + (Vo/Wn - (Po*(w/Wn))/(K*(1-(w/Wn)^2)))*SIN(2*PI()*Wn*Sheet2!A3189) +(Po*SIN(2*PI()*w*Sheet2!A3189))/(K*(1-(w/Wn)^2))</f>
        <v>9.8653868926778561</v>
      </c>
      <c r="C3189">
        <f t="shared" si="198"/>
        <v>0.66930527089730885</v>
      </c>
      <c r="D3189">
        <f t="shared" si="199"/>
        <v>109.32756489577233</v>
      </c>
      <c r="R3189">
        <f t="shared" si="196"/>
        <v>3.1869999999999998</v>
      </c>
      <c r="S3189">
        <f t="shared" si="197"/>
        <v>0.66930527089730885</v>
      </c>
    </row>
    <row r="3190" spans="1:19" x14ac:dyDescent="0.3">
      <c r="A3190">
        <v>3.1880000000000002</v>
      </c>
      <c r="B3190">
        <f>Uo*COS(2*PI()*Wn*Sheet2!A3190) + (Vo/Wn - (Po*(w/Wn))/(K*(1-(w/Wn)^2)))*SIN(2*PI()*Wn*Sheet2!A3190) +(Po*SIN(2*PI()*w*Sheet2!A3190))/(K*(1-(w/Wn)^2))</f>
        <v>9.5493398655588262</v>
      </c>
      <c r="C3190">
        <f t="shared" si="198"/>
        <v>0.65230873767220865</v>
      </c>
      <c r="D3190">
        <f t="shared" si="199"/>
        <v>106.55126883182666</v>
      </c>
      <c r="R3190">
        <f t="shared" si="196"/>
        <v>3.1880000000000002</v>
      </c>
      <c r="S3190">
        <f t="shared" si="197"/>
        <v>0.65230873767220865</v>
      </c>
    </row>
    <row r="3191" spans="1:19" x14ac:dyDescent="0.3">
      <c r="A3191">
        <v>3.1890000000000001</v>
      </c>
      <c r="B3191">
        <f>Uo*COS(2*PI()*Wn*Sheet2!A3191) + (Vo/Wn - (Po*(w/Wn))/(K*(1-(w/Wn)^2)))*SIN(2*PI()*Wn*Sheet2!A3191) +(Po*SIN(2*PI()*w*Sheet2!A3191))/(K*(1-(w/Wn)^2))</f>
        <v>9.2301732525129658</v>
      </c>
      <c r="C3191">
        <f t="shared" si="198"/>
        <v>0.63512999291464967</v>
      </c>
      <c r="D3191">
        <f t="shared" si="199"/>
        <v>103.74520945358205</v>
      </c>
      <c r="R3191">
        <f t="shared" si="196"/>
        <v>3.1890000000000001</v>
      </c>
      <c r="S3191">
        <f t="shared" si="197"/>
        <v>0.63512999291464967</v>
      </c>
    </row>
    <row r="3192" spans="1:19" x14ac:dyDescent="0.3">
      <c r="A3192">
        <v>3.19</v>
      </c>
      <c r="B3192">
        <f>Uo*COS(2*PI()*Wn*Sheet2!A3192) + (Vo/Wn - (Po*(w/Wn))/(K*(1-(w/Wn)^2)))*SIN(2*PI()*Wn*Sheet2!A3192) +(Po*SIN(2*PI()*w*Sheet2!A3192))/(K*(1-(w/Wn)^2))</f>
        <v>8.9079913191423916</v>
      </c>
      <c r="C3192">
        <f t="shared" si="198"/>
        <v>0.61777497256381952</v>
      </c>
      <c r="D3192">
        <f t="shared" si="199"/>
        <v>100.91035636609763</v>
      </c>
      <c r="R3192">
        <f t="shared" si="196"/>
        <v>3.19</v>
      </c>
      <c r="S3192">
        <f t="shared" si="197"/>
        <v>0.61777497256381952</v>
      </c>
    </row>
    <row r="3193" spans="1:19" x14ac:dyDescent="0.3">
      <c r="A3193">
        <v>3.1909999999999998</v>
      </c>
      <c r="B3193">
        <f>Uo*COS(2*PI()*Wn*Sheet2!A3193) + (Vo/Wn - (Po*(w/Wn))/(K*(1-(w/Wn)^2)))*SIN(2*PI()*Wn*Sheet2!A3193) +(Po*SIN(2*PI()*w*Sheet2!A3193))/(K*(1-(w/Wn)^2))</f>
        <v>8.5828993160970803</v>
      </c>
      <c r="C3193">
        <f t="shared" si="198"/>
        <v>0.6002496593735015</v>
      </c>
      <c r="D3193">
        <f t="shared" si="199"/>
        <v>98.047686821355327</v>
      </c>
      <c r="R3193">
        <f t="shared" si="196"/>
        <v>3.1909999999999998</v>
      </c>
      <c r="S3193">
        <f t="shared" si="197"/>
        <v>0.6002496593735015</v>
      </c>
    </row>
    <row r="3194" spans="1:19" x14ac:dyDescent="0.3">
      <c r="A3194">
        <v>3.1920000000000002</v>
      </c>
      <c r="B3194">
        <f>Uo*COS(2*PI()*Wn*Sheet2!A3194) + (Vo/Wn - (Po*(w/Wn))/(K*(1-(w/Wn)^2)))*SIN(2*PI()*Wn*Sheet2!A3194) +(Po*SIN(2*PI()*w*Sheet2!A3194))/(K*(1-(w/Wn)^2))</f>
        <v>8.2550034446903773</v>
      </c>
      <c r="C3194">
        <f t="shared" si="198"/>
        <v>0.58256008087480904</v>
      </c>
      <c r="D3194">
        <f t="shared" si="199"/>
        <v>95.158185385483037</v>
      </c>
      <c r="R3194">
        <f t="shared" si="196"/>
        <v>3.1920000000000002</v>
      </c>
      <c r="S3194">
        <f t="shared" si="197"/>
        <v>0.58256008087480904</v>
      </c>
    </row>
    <row r="3195" spans="1:19" x14ac:dyDescent="0.3">
      <c r="A3195">
        <v>3.1930000000000001</v>
      </c>
      <c r="B3195">
        <f>Uo*COS(2*PI()*Wn*Sheet2!A3195) + (Vo/Wn - (Po*(w/Wn))/(K*(1-(w/Wn)^2)))*SIN(2*PI()*Wn*Sheet2!A3195) +(Po*SIN(2*PI()*w*Sheet2!A3195))/(K*(1-(w/Wn)^2))</f>
        <v>7.9244108222059442</v>
      </c>
      <c r="C3195">
        <f t="shared" si="198"/>
        <v>0.56471230732809419</v>
      </c>
      <c r="D3195">
        <f t="shared" si="199"/>
        <v>92.242843604209526</v>
      </c>
      <c r="R3195">
        <f t="shared" si="196"/>
        <v>3.1930000000000001</v>
      </c>
      <c r="S3195">
        <f t="shared" si="197"/>
        <v>0.56471230732809419</v>
      </c>
    </row>
    <row r="3196" spans="1:19" x14ac:dyDescent="0.3">
      <c r="A3196">
        <v>3.194</v>
      </c>
      <c r="B3196">
        <f>Uo*COS(2*PI()*Wn*Sheet2!A3196) + (Vo/Wn - (Po*(w/Wn))/(K*(1-(w/Wn)^2)))*SIN(2*PI()*Wn*Sheet2!A3196) +(Po*SIN(2*PI()*w*Sheet2!A3196))/(K*(1-(w/Wn)^2))</f>
        <v>7.5912294469042365</v>
      </c>
      <c r="C3196">
        <f t="shared" si="198"/>
        <v>0.54671244966447097</v>
      </c>
      <c r="D3196">
        <f t="shared" si="199"/>
        <v>89.302659666622745</v>
      </c>
      <c r="R3196">
        <f t="shared" si="196"/>
        <v>3.194</v>
      </c>
      <c r="S3196">
        <f t="shared" si="197"/>
        <v>0.54671244966447097</v>
      </c>
    </row>
    <row r="3197" spans="1:19" x14ac:dyDescent="0.3">
      <c r="A3197">
        <v>3.1949999999999998</v>
      </c>
      <c r="B3197">
        <f>Uo*COS(2*PI()*Wn*Sheet2!A3197) + (Vo/Wn - (Po*(w/Wn))/(K*(1-(w/Wn)^2)))*SIN(2*PI()*Wn*Sheet2!A3197) +(Po*SIN(2*PI()*w*Sheet2!A3197))/(K*(1-(w/Wn)^2))</f>
        <v>7.2555681627412696</v>
      </c>
      <c r="C3197">
        <f t="shared" si="198"/>
        <v>0.52856665741788444</v>
      </c>
      <c r="D3197">
        <f t="shared" si="199"/>
        <v>86.33863806738411</v>
      </c>
      <c r="R3197">
        <f t="shared" si="196"/>
        <v>3.1949999999999998</v>
      </c>
      <c r="S3197">
        <f t="shared" si="197"/>
        <v>0.52856665741788444</v>
      </c>
    </row>
    <row r="3198" spans="1:19" x14ac:dyDescent="0.3">
      <c r="A3198">
        <v>3.1960000000000002</v>
      </c>
      <c r="B3198">
        <f>Uo*COS(2*PI()*Wn*Sheet2!A3198) + (Vo/Wn - (Po*(w/Wn))/(K*(1-(w/Wn)^2)))*SIN(2*PI()*Wn*Sheet2!A3198) +(Po*SIN(2*PI()*w*Sheet2!A3198))/(K*(1-(w/Wn)^2))</f>
        <v>6.9175366238115199</v>
      </c>
      <c r="C3198">
        <f t="shared" si="198"/>
        <v>0.51028111664826736</v>
      </c>
      <c r="D3198">
        <f t="shared" si="199"/>
        <v>83.351789267486751</v>
      </c>
      <c r="R3198">
        <f t="shared" si="196"/>
        <v>3.1960000000000002</v>
      </c>
      <c r="S3198">
        <f t="shared" si="197"/>
        <v>0.51028111664826736</v>
      </c>
    </row>
    <row r="3199" spans="1:19" x14ac:dyDescent="0.3">
      <c r="A3199">
        <v>3.1970000000000001</v>
      </c>
      <c r="B3199">
        <f>Uo*COS(2*PI()*Wn*Sheet2!A3199) + (Vo/Wn - (Po*(w/Wn))/(K*(1-(w/Wn)^2)))*SIN(2*PI()*Wn*Sheet2!A3199) +(Po*SIN(2*PI()*w*Sheet2!A3199))/(K*(1-(w/Wn)^2))</f>
        <v>6.5772452585269692</v>
      </c>
      <c r="C3199">
        <f t="shared" si="198"/>
        <v>0.4918620478565669</v>
      </c>
      <c r="D3199">
        <f t="shared" si="199"/>
        <v>80.343129353685939</v>
      </c>
      <c r="R3199">
        <f t="shared" si="196"/>
        <v>3.1970000000000001</v>
      </c>
      <c r="S3199">
        <f t="shared" si="197"/>
        <v>0.4918620478565669</v>
      </c>
    </row>
    <row r="3200" spans="1:19" x14ac:dyDescent="0.3">
      <c r="A3200">
        <v>3.198</v>
      </c>
      <c r="B3200">
        <f>Uo*COS(2*PI()*Wn*Sheet2!A3200) + (Vo/Wn - (Po*(w/Wn))/(K*(1-(w/Wn)^2)))*SIN(2*PI()*Wn*Sheet2!A3200) +(Po*SIN(2*PI()*w*Sheet2!A3200))/(K*(1-(w/Wn)^2))</f>
        <v>6.2348052335405342</v>
      </c>
      <c r="C3200">
        <f t="shared" si="198"/>
        <v>0.47331570389222483</v>
      </c>
      <c r="D3200">
        <f t="shared" si="199"/>
        <v>77.313679696696724</v>
      </c>
      <c r="R3200">
        <f t="shared" si="196"/>
        <v>3.198</v>
      </c>
      <c r="S3200">
        <f t="shared" si="197"/>
        <v>0.47331570389222483</v>
      </c>
    </row>
    <row r="3201" spans="1:19" x14ac:dyDescent="0.3">
      <c r="A3201">
        <v>3.1989999999999998</v>
      </c>
      <c r="B3201">
        <f>Uo*COS(2*PI()*Wn*Sheet2!A3201) + (Vo/Wn - (Po*(w/Wn))/(K*(1-(w/Wn)^2)))*SIN(2*PI()*Wn*Sheet2!A3201) +(Po*SIN(2*PI()*w*Sheet2!A3201))/(K*(1-(w/Wn)^2))</f>
        <v>5.8903284174316592</v>
      </c>
      <c r="C3201">
        <f t="shared" si="198"/>
        <v>0.45464836785395635</v>
      </c>
      <c r="D3201">
        <f t="shared" si="199"/>
        <v>74.264466608297013</v>
      </c>
      <c r="R3201">
        <f t="shared" ref="R3201:R3231" si="200">A3201</f>
        <v>3.1989999999999998</v>
      </c>
      <c r="S3201">
        <f t="shared" ref="S3201:S3231" si="201">C3201</f>
        <v>0.45464836785395635</v>
      </c>
    </row>
    <row r="3202" spans="1:19" x14ac:dyDescent="0.3">
      <c r="A3202">
        <v>3.2</v>
      </c>
      <c r="B3202">
        <f>Uo*COS(2*PI()*Wn*Sheet2!A3202) + (Vo/Wn - (Po*(w/Wn))/(K*(1-(w/Wn)^2)))*SIN(2*PI()*Wn*Sheet2!A3202) +(Po*SIN(2*PI()*w*Sheet2!A3202))/(K*(1-(w/Wn)^2))</f>
        <v>5.5439273441597905</v>
      </c>
      <c r="C3202">
        <f t="shared" ref="C3202:C3231" si="202">EXP(-zeta*Wn*A3202*2*PI())*($H$1*COS(wnD*2*PI()*A3202) + $H$2*SIN(wnD*2*PI()*A3202)) + $H$3*SIN(w*2*PI()*A3202) + $H$4*COS(w*2*PI()*A3202)</f>
        <v>0.43586635098436938</v>
      </c>
      <c r="D3202">
        <f t="shared" ref="D3202:D3231" si="203">K*C3202</f>
        <v>71.196520997424471</v>
      </c>
      <c r="R3202">
        <f t="shared" si="200"/>
        <v>3.2</v>
      </c>
      <c r="S3202">
        <f t="shared" si="201"/>
        <v>0.43586635098436938</v>
      </c>
    </row>
    <row r="3203" spans="1:19" x14ac:dyDescent="0.3">
      <c r="A3203">
        <v>3.2010000000000001</v>
      </c>
      <c r="B3203">
        <f>Uo*COS(2*PI()*Wn*Sheet2!A3203) + (Vo/Wn - (Po*(w/Wn))/(K*(1-(w/Wn)^2)))*SIN(2*PI()*Wn*Sheet2!A3203) +(Po*SIN(2*PI()*w*Sheet2!A3203))/(K*(1-(w/Wn)^2))</f>
        <v>5.1957151763026319</v>
      </c>
      <c r="C3203">
        <f t="shared" si="202"/>
        <v>0.41697599055931223</v>
      </c>
      <c r="D3203">
        <f t="shared" si="203"/>
        <v>68.110878025412333</v>
      </c>
      <c r="R3203">
        <f t="shared" si="200"/>
        <v>3.2010000000000001</v>
      </c>
      <c r="S3203">
        <f t="shared" si="201"/>
        <v>0.41697599055931223</v>
      </c>
    </row>
    <row r="3204" spans="1:19" x14ac:dyDescent="0.3">
      <c r="A3204">
        <v>3.202</v>
      </c>
      <c r="B3204">
        <f>Uo*COS(2*PI()*Wn*Sheet2!A3204) + (Vo/Wn - (Po*(w/Wn))/(K*(1-(w/Wn)^2)))*SIN(2*PI()*Wn*Sheet2!A3204) +(Po*SIN(2*PI()*w*Sheet2!A3204))/(K*(1-(w/Wn)^2))</f>
        <v>4.8458056680877144</v>
      </c>
      <c r="C3204">
        <f t="shared" si="202"/>
        <v>0.39798364777239553</v>
      </c>
      <c r="D3204">
        <f t="shared" si="203"/>
        <v>65.008576760436981</v>
      </c>
      <c r="R3204">
        <f t="shared" si="200"/>
        <v>3.202</v>
      </c>
      <c r="S3204">
        <f t="shared" si="201"/>
        <v>0.39798364777239553</v>
      </c>
    </row>
    <row r="3205" spans="1:19" x14ac:dyDescent="0.3">
      <c r="A3205">
        <v>3.2029999999999998</v>
      </c>
      <c r="B3205">
        <f>Uo*COS(2*PI()*Wn*Sheet2!A3205) + (Vo/Wn - (Po*(w/Wn))/(K*(1-(w/Wn)^2)))*SIN(2*PI()*Wn*Sheet2!A3205) +(Po*SIN(2*PI()*w*Sheet2!A3205))/(K*(1-(w/Wn)^2))</f>
        <v>4.4943131282306457</v>
      </c>
      <c r="C3205">
        <f t="shared" si="202"/>
        <v>0.37889570561563291</v>
      </c>
      <c r="D3205">
        <f t="shared" si="203"/>
        <v>61.890659831331554</v>
      </c>
      <c r="R3205">
        <f t="shared" si="200"/>
        <v>3.2029999999999998</v>
      </c>
      <c r="S3205">
        <f t="shared" si="201"/>
        <v>0.37889570561563291</v>
      </c>
    </row>
    <row r="3206" spans="1:19" x14ac:dyDescent="0.3">
      <c r="A3206">
        <v>3.2040000000000002</v>
      </c>
      <c r="B3206">
        <f>Uo*COS(2*PI()*Wn*Sheet2!A3206) + (Vo/Wn - (Po*(w/Wn))/(K*(1-(w/Wn)^2)))*SIN(2*PI()*Wn*Sheet2!A3206) +(Po*SIN(2*PI()*w*Sheet2!A3206))/(K*(1-(w/Wn)^2))</f>
        <v>4.1413523825934799</v>
      </c>
      <c r="C3206">
        <f t="shared" si="202"/>
        <v>0.35971856675674485</v>
      </c>
      <c r="D3206">
        <f t="shared" si="203"/>
        <v>58.758173080854434</v>
      </c>
      <c r="R3206">
        <f t="shared" si="200"/>
        <v>3.2040000000000002</v>
      </c>
      <c r="S3206">
        <f t="shared" si="201"/>
        <v>0.35971856675674485</v>
      </c>
    </row>
    <row r="3207" spans="1:19" x14ac:dyDescent="0.3">
      <c r="A3207">
        <v>3.2050000000000001</v>
      </c>
      <c r="B3207">
        <f>Uo*COS(2*PI()*Wn*Sheet2!A3207) + (Vo/Wn - (Po*(w/Wn))/(K*(1-(w/Wn)^2)))*SIN(2*PI()*Wn*Sheet2!A3207) +(Po*SIN(2*PI()*w*Sheet2!A3207))/(K*(1-(w/Wn)^2))</f>
        <v>3.787038736672907</v>
      </c>
      <c r="C3207">
        <f t="shared" si="202"/>
        <v>0.34045865141391901</v>
      </c>
      <c r="D3207">
        <f t="shared" si="203"/>
        <v>55.612165218542316</v>
      </c>
      <c r="R3207">
        <f t="shared" si="200"/>
        <v>3.2050000000000001</v>
      </c>
      <c r="S3207">
        <f t="shared" si="201"/>
        <v>0.34045865141391901</v>
      </c>
    </row>
    <row r="3208" spans="1:19" x14ac:dyDescent="0.3">
      <c r="A3208">
        <v>3.206</v>
      </c>
      <c r="B3208">
        <f>Uo*COS(2*PI()*Wn*Sheet2!A3208) + (Vo/Wn - (Po*(w/Wn))/(K*(1-(w/Wn)^2)))*SIN(2*PI()*Wn*Sheet2!A3208) +(Po*SIN(2*PI()*w*Sheet2!A3208))/(K*(1-(w/Wn)^2))</f>
        <v>3.4314879379317325</v>
      </c>
      <c r="C3208">
        <f t="shared" si="202"/>
        <v>0.32112239522860375</v>
      </c>
      <c r="D3208">
        <f t="shared" si="203"/>
        <v>52.453687473242027</v>
      </c>
      <c r="R3208">
        <f t="shared" si="200"/>
        <v>3.206</v>
      </c>
      <c r="S3208">
        <f t="shared" si="201"/>
        <v>0.32112239522860375</v>
      </c>
    </row>
    <row r="3209" spans="1:19" x14ac:dyDescent="0.3">
      <c r="A3209">
        <v>3.2069999999999999</v>
      </c>
      <c r="B3209">
        <f>Uo*COS(2*PI()*Wn*Sheet2!A3209) + (Vo/Wn - (Po*(w/Wn))/(K*(1-(w/Wn)^2)))*SIN(2*PI()*Wn*Sheet2!A3209) +(Po*SIN(2*PI()*w*Sheet2!A3209))/(K*(1-(w/Wn)^2))</f>
        <v>3.0748161379873884</v>
      </c>
      <c r="C3209">
        <f t="shared" si="202"/>
        <v>0.3017162471371852</v>
      </c>
      <c r="D3209">
        <f t="shared" si="203"/>
        <v>49.283793245459897</v>
      </c>
      <c r="R3209">
        <f t="shared" si="200"/>
        <v>3.2069999999999999</v>
      </c>
      <c r="S3209">
        <f t="shared" si="201"/>
        <v>0.3017162471371852</v>
      </c>
    </row>
    <row r="3210" spans="1:19" x14ac:dyDescent="0.3">
      <c r="A3210">
        <v>3.2080000000000002</v>
      </c>
      <c r="B3210">
        <f>Uo*COS(2*PI()*Wn*Sheet2!A3210) + (Vo/Wn - (Po*(w/Wn))/(K*(1-(w/Wn)^2)))*SIN(2*PI()*Wn*Sheet2!A3210) +(Po*SIN(2*PI()*w*Sheet2!A3210))/(K*(1-(w/Wn)^2))</f>
        <v>2.7171398546661676</v>
      </c>
      <c r="C3210">
        <f t="shared" si="202"/>
        <v>0.28224666724212288</v>
      </c>
      <c r="D3210">
        <f t="shared" si="203"/>
        <v>46.103537759622803</v>
      </c>
      <c r="R3210">
        <f t="shared" si="200"/>
        <v>3.2080000000000002</v>
      </c>
      <c r="S3210">
        <f t="shared" si="201"/>
        <v>0.28224666724212288</v>
      </c>
    </row>
    <row r="3211" spans="1:19" x14ac:dyDescent="0.3">
      <c r="A3211">
        <v>3.2090000000000001</v>
      </c>
      <c r="B3211">
        <f>Uo*COS(2*PI()*Wn*Sheet2!A3211) + (Vo/Wn - (Po*(w/Wn))/(K*(1-(w/Wn)^2)))*SIN(2*PI()*Wn*Sheet2!A3211) +(Po*SIN(2*PI()*w*Sheet2!A3211))/(K*(1-(w/Wn)^2))</f>
        <v>2.3585759339407733</v>
      </c>
      <c r="C3211">
        <f t="shared" si="202"/>
        <v>0.2627201246833385</v>
      </c>
      <c r="D3211">
        <f t="shared" si="203"/>
        <v>42.913977716380444</v>
      </c>
      <c r="R3211">
        <f t="shared" si="200"/>
        <v>3.2090000000000001</v>
      </c>
      <c r="S3211">
        <f t="shared" si="201"/>
        <v>0.2627201246833385</v>
      </c>
    </row>
    <row r="3212" spans="1:19" x14ac:dyDescent="0.3">
      <c r="A3212">
        <v>3.21</v>
      </c>
      <c r="B3212">
        <f>Uo*COS(2*PI()*Wn*Sheet2!A3212) + (Vo/Wn - (Po*(w/Wn))/(K*(1-(w/Wn)^2)))*SIN(2*PI()*Wn*Sheet2!A3212) +(Po*SIN(2*PI()*w*Sheet2!A3212))/(K*(1-(w/Wn)^2))</f>
        <v>1.9992415117571583</v>
      </c>
      <c r="C3212">
        <f t="shared" si="202"/>
        <v>0.2431430955103849</v>
      </c>
      <c r="D3212">
        <f t="shared" si="203"/>
        <v>39.716170945035145</v>
      </c>
      <c r="R3212">
        <f t="shared" si="200"/>
        <v>3.21</v>
      </c>
      <c r="S3212">
        <f t="shared" si="201"/>
        <v>0.2431430955103849</v>
      </c>
    </row>
    <row r="3213" spans="1:19" x14ac:dyDescent="0.3">
      <c r="A3213">
        <v>3.2109999999999999</v>
      </c>
      <c r="B3213">
        <f>Uo*COS(2*PI()*Wn*Sheet2!A3213) + (Vo/Wn - (Po*(w/Wn))/(K*(1-(w/Wn)^2)))*SIN(2*PI()*Wn*Sheet2!A3213) +(Po*SIN(2*PI()*w*Sheet2!A3213))/(K*(1-(w/Wn)^2))</f>
        <v>1.6392539757694413</v>
      </c>
      <c r="C3213">
        <f t="shared" si="202"/>
        <v>0.22352206055635407</v>
      </c>
      <c r="D3213">
        <f t="shared" si="203"/>
        <v>36.511176056255692</v>
      </c>
      <c r="R3213">
        <f t="shared" si="200"/>
        <v>3.2109999999999999</v>
      </c>
      <c r="S3213">
        <f t="shared" si="201"/>
        <v>0.22352206055635407</v>
      </c>
    </row>
    <row r="3214" spans="1:19" x14ac:dyDescent="0.3">
      <c r="A3214">
        <v>3.2120000000000002</v>
      </c>
      <c r="B3214">
        <f>Uo*COS(2*PI()*Wn*Sheet2!A3214) + (Vo/Wn - (Po*(w/Wn))/(K*(1-(w/Wn)^2)))*SIN(2*PI()*Wn*Sheet2!A3214) +(Po*SIN(2*PI()*w*Sheet2!A3214))/(K*(1-(w/Wn)^2))</f>
        <v>1.2787309269917604</v>
      </c>
      <c r="C3214">
        <f t="shared" si="202"/>
        <v>0.20386350331394168</v>
      </c>
      <c r="D3214">
        <f t="shared" si="203"/>
        <v>33.300052095143407</v>
      </c>
      <c r="R3214">
        <f t="shared" si="200"/>
        <v>3.2120000000000002</v>
      </c>
      <c r="S3214">
        <f t="shared" si="201"/>
        <v>0.20386350331394168</v>
      </c>
    </row>
    <row r="3215" spans="1:19" x14ac:dyDescent="0.3">
      <c r="A3215">
        <v>3.2130000000000001</v>
      </c>
      <c r="B3215">
        <f>Uo*COS(2*PI()*Wn*Sheet2!A3215) + (Vo/Wn - (Po*(w/Wn))/(K*(1-(w/Wn)^2)))*SIN(2*PI()*Wn*Sheet2!A3215) +(Po*SIN(2*PI()*w*Sheet2!A3215))/(K*(1-(w/Wn)^2))</f>
        <v>0.91779014137999826</v>
      </c>
      <c r="C3215">
        <f t="shared" si="202"/>
        <v>0.18417390781456347</v>
      </c>
      <c r="D3215">
        <f t="shared" si="203"/>
        <v>30.083858194796772</v>
      </c>
      <c r="R3215">
        <f t="shared" si="200"/>
        <v>3.2130000000000001</v>
      </c>
      <c r="S3215">
        <f t="shared" si="201"/>
        <v>0.18417390781456347</v>
      </c>
    </row>
    <row r="3216" spans="1:19" x14ac:dyDescent="0.3">
      <c r="A3216">
        <v>3.214</v>
      </c>
      <c r="B3216">
        <f>Uo*COS(2*PI()*Wn*Sheet2!A3216) + (Vo/Wn - (Po*(w/Wn))/(K*(1-(w/Wn)^2)))*SIN(2*PI()*Wn*Sheet2!A3216) +(Po*SIN(2*PI()*w*Sheet2!A3216))/(K*(1-(w/Wn)^2))</f>
        <v>0.55654953135621121</v>
      </c>
      <c r="C3216">
        <f t="shared" si="202"/>
        <v>0.16445975651104058</v>
      </c>
      <c r="D3216">
        <f t="shared" si="203"/>
        <v>26.863653230458969</v>
      </c>
      <c r="R3216">
        <f t="shared" si="200"/>
        <v>3.214</v>
      </c>
      <c r="S3216">
        <f t="shared" si="201"/>
        <v>0.16445975651104058</v>
      </c>
    </row>
    <row r="3217" spans="1:19" x14ac:dyDescent="0.3">
      <c r="A3217">
        <v>3.2149999999999999</v>
      </c>
      <c r="B3217">
        <f>Uo*COS(2*PI()*Wn*Sheet2!A3217) + (Vo/Wn - (Po*(w/Wn))/(K*(1-(w/Wn)^2)))*SIN(2*PI()*Wn*Sheet2!A3217) +(Po*SIN(2*PI()*w*Sheet2!A3217))/(K*(1-(w/Wn)^2))</f>
        <v>0.19512710728990118</v>
      </c>
      <c r="C3217">
        <f t="shared" si="202"/>
        <v>0.1447275281647008</v>
      </c>
      <c r="D3217">
        <f t="shared" si="203"/>
        <v>23.640495474386775</v>
      </c>
      <c r="R3217">
        <f t="shared" si="200"/>
        <v>3.2149999999999999</v>
      </c>
      <c r="S3217">
        <f t="shared" si="201"/>
        <v>0.1447275281647008</v>
      </c>
    </row>
    <row r="3218" spans="1:19" x14ac:dyDescent="0.3">
      <c r="A3218">
        <v>3.2160000000000002</v>
      </c>
      <c r="B3218">
        <f>Uo*COS(2*PI()*Wn*Sheet2!A3218) + (Vo/Wn - (Po*(w/Wn))/(K*(1-(w/Wn)^2)))*SIN(2*PI()*Wn*Sheet2!A3218) +(Po*SIN(2*PI()*w*Sheet2!A3218))/(K*(1-(w/Wn)^2))</f>
        <v>-0.1663590610549848</v>
      </c>
      <c r="C3218">
        <f t="shared" si="202"/>
        <v>0.12498369573745419</v>
      </c>
      <c r="D3218">
        <f t="shared" si="203"/>
        <v>20.415442251531996</v>
      </c>
      <c r="R3218">
        <f t="shared" si="200"/>
        <v>3.2160000000000002</v>
      </c>
      <c r="S3218">
        <f t="shared" si="201"/>
        <v>0.12498369573745419</v>
      </c>
    </row>
    <row r="3219" spans="1:19" x14ac:dyDescent="0.3">
      <c r="A3219">
        <v>3.2170000000000001</v>
      </c>
      <c r="B3219">
        <f>Uo*COS(2*PI()*Wn*Sheet2!A3219) + (Vo/Wn - (Po*(w/Wn))/(K*(1-(w/Wn)^2)))*SIN(2*PI()*Wn*Sheet2!A3219) +(Po*SIN(2*PI()*w*Sheet2!A3219))/(K*(1-(w/Wn)^2))</f>
        <v>-0.52779088308947353</v>
      </c>
      <c r="C3219">
        <f t="shared" si="202"/>
        <v>0.10523472428962173</v>
      </c>
      <c r="D3219">
        <f t="shared" si="203"/>
        <v>17.189549596162593</v>
      </c>
      <c r="R3219">
        <f t="shared" si="200"/>
        <v>3.2170000000000001</v>
      </c>
      <c r="S3219">
        <f t="shared" si="201"/>
        <v>0.10523472428962173</v>
      </c>
    </row>
    <row r="3220" spans="1:19" x14ac:dyDescent="0.3">
      <c r="A3220">
        <v>3.218</v>
      </c>
      <c r="B3220">
        <f>Uo*COS(2*PI()*Wn*Sheet2!A3220) + (Vo/Wn - (Po*(w/Wn))/(K*(1-(w/Wn)^2)))*SIN(2*PI()*Wn*Sheet2!A3220) +(Po*SIN(2*PI()*w*Sheet2!A3220))/(K*(1-(w/Wn)^2))</f>
        <v>-0.88905028597934022</v>
      </c>
      <c r="C3220">
        <f t="shared" si="202"/>
        <v>8.5487068884023715E-2</v>
      </c>
      <c r="D3220">
        <f t="shared" si="203"/>
        <v>13.96387190950634</v>
      </c>
      <c r="R3220">
        <f t="shared" si="200"/>
        <v>3.218</v>
      </c>
      <c r="S3220">
        <f t="shared" si="201"/>
        <v>8.5487068884023715E-2</v>
      </c>
    </row>
    <row r="3221" spans="1:19" x14ac:dyDescent="0.3">
      <c r="A3221">
        <v>3.2189999999999999</v>
      </c>
      <c r="B3221">
        <f>Uo*COS(2*PI()*Wn*Sheet2!A3221) + (Vo/Wn - (Po*(w/Wn))/(K*(1-(w/Wn)^2)))*SIN(2*PI()*Wn*Sheet2!A3221) +(Po*SIN(2*PI()*w*Sheet2!A3221))/(K*(1-(w/Wn)^2))</f>
        <v>-1.2500192532162409</v>
      </c>
      <c r="C3221">
        <f t="shared" si="202"/>
        <v>6.574717249727012E-2</v>
      </c>
      <c r="D3221">
        <f t="shared" si="203"/>
        <v>10.739461618570886</v>
      </c>
      <c r="R3221">
        <f t="shared" si="200"/>
        <v>3.2189999999999999</v>
      </c>
      <c r="S3221">
        <f t="shared" si="201"/>
        <v>6.574717249727012E-2</v>
      </c>
    </row>
    <row r="3222" spans="1:19" x14ac:dyDescent="0.3">
      <c r="A3222">
        <v>3.22</v>
      </c>
      <c r="B3222">
        <f>Uo*COS(2*PI()*Wn*Sheet2!A3222) + (Vo/Wn - (Po*(w/Wn))/(K*(1-(w/Wn)^2)))*SIN(2*PI()*Wn*Sheet2!A3222) +(Po*SIN(2*PI()*w*Sheet2!A3222))/(K*(1-(w/Wn)^2))</f>
        <v>-1.6105798631712964</v>
      </c>
      <c r="C3222">
        <f t="shared" si="202"/>
        <v>4.6021463938643835E-2</v>
      </c>
      <c r="D3222">
        <f t="shared" si="203"/>
        <v>7.517368836204037</v>
      </c>
      <c r="R3222">
        <f t="shared" si="200"/>
        <v>3.22</v>
      </c>
      <c r="S3222">
        <f t="shared" si="201"/>
        <v>4.6021463938643835E-2</v>
      </c>
    </row>
    <row r="3223" spans="1:19" x14ac:dyDescent="0.3">
      <c r="A3223">
        <v>3.2210000000000001</v>
      </c>
      <c r="B3223">
        <f>Uo*COS(2*PI()*Wn*Sheet2!A3223) + (Vo/Wn - (Po*(w/Wn))/(K*(1-(w/Wn)^2)))*SIN(2*PI()*Wn*Sheet2!A3223) +(Po*SIN(2*PI()*w*Sheet2!A3223))/(K*(1-(w/Wn)^2))</f>
        <v>-1.970614327618111</v>
      </c>
      <c r="C3223">
        <f t="shared" si="202"/>
        <v>2.6316355777452023E-2</v>
      </c>
      <c r="D3223">
        <f t="shared" si="203"/>
        <v>4.2986410225373106</v>
      </c>
      <c r="R3223">
        <f t="shared" si="200"/>
        <v>3.2210000000000001</v>
      </c>
      <c r="S3223">
        <f t="shared" si="201"/>
        <v>2.6316355777452023E-2</v>
      </c>
    </row>
    <row r="3224" spans="1:19" x14ac:dyDescent="0.3">
      <c r="A3224">
        <v>3.222</v>
      </c>
      <c r="B3224">
        <f>Uo*COS(2*PI()*Wn*Sheet2!A3224) + (Vo/Wn - (Po*(w/Wn))/(K*(1-(w/Wn)^2)))*SIN(2*PI()*Wn*Sheet2!A3224) +(Po*SIN(2*PI()*w*Sheet2!A3224))/(K*(1-(w/Wn)^2))</f>
        <v>-2.3300050302123436</v>
      </c>
      <c r="C3224">
        <f t="shared" si="202"/>
        <v>6.6382422793343932E-3</v>
      </c>
      <c r="D3224">
        <f t="shared" si="203"/>
        <v>1.0843226478925203</v>
      </c>
      <c r="R3224">
        <f t="shared" si="200"/>
        <v>3.222</v>
      </c>
      <c r="S3224">
        <f t="shared" si="201"/>
        <v>6.6382422793343932E-3</v>
      </c>
    </row>
    <row r="3225" spans="1:19" x14ac:dyDescent="0.3">
      <c r="A3225">
        <v>3.2229999999999999</v>
      </c>
      <c r="B3225">
        <f>Uo*COS(2*PI()*Wn*Sheet2!A3225) + (Vo/Wn - (Po*(w/Wn))/(K*(1-(w/Wn)^2)))*SIN(2*PI()*Wn*Sheet2!A3225) +(Po*SIN(2*PI()*w*Sheet2!A3225))/(K*(1-(w/Wn)^2))</f>
        <v>-2.6886345649137215</v>
      </c>
      <c r="C3225">
        <f t="shared" si="202"/>
        <v>-1.3006502647649489E-2</v>
      </c>
      <c r="D3225">
        <f t="shared" si="203"/>
        <v>-2.124545142714267</v>
      </c>
      <c r="R3225">
        <f t="shared" si="200"/>
        <v>3.2229999999999999</v>
      </c>
      <c r="S3225">
        <f t="shared" si="201"/>
        <v>-1.3006502647649489E-2</v>
      </c>
    </row>
    <row r="3226" spans="1:19" x14ac:dyDescent="0.3">
      <c r="A3226">
        <v>3.2240000000000002</v>
      </c>
      <c r="B3226">
        <f>Uo*COS(2*PI()*Wn*Sheet2!A3226) + (Vo/Wn - (Po*(w/Wn))/(K*(1-(w/Wn)^2)))*SIN(2*PI()*Wn*Sheet2!A3226) +(Po*SIN(2*PI()*w*Sheet2!A3226))/(K*(1-(w/Wn)^2))</f>
        <v>-3.0463857743416094</v>
      </c>
      <c r="C3226">
        <f t="shared" si="202"/>
        <v>-3.2611527496626179E-2</v>
      </c>
      <c r="D3226">
        <f t="shared" si="203"/>
        <v>-5.3269248633852317</v>
      </c>
      <c r="R3226">
        <f t="shared" si="200"/>
        <v>3.2240000000000002</v>
      </c>
      <c r="S3226">
        <f t="shared" si="201"/>
        <v>-3.2611527496626179E-2</v>
      </c>
    </row>
    <row r="3227" spans="1:19" x14ac:dyDescent="0.3">
      <c r="A3227">
        <v>3.2250000000000001</v>
      </c>
      <c r="B3227">
        <f>Uo*COS(2*PI()*Wn*Sheet2!A3227) + (Vo/Wn - (Po*(w/Wn))/(K*(1-(w/Wn)^2)))*SIN(2*PI()*Wn*Sheet2!A3227) +(Po*SIN(2*PI()*w*Sheet2!A3227))/(K*(1-(w/Wn)^2))</f>
        <v>-3.4031417880463826</v>
      </c>
      <c r="C3227">
        <f t="shared" si="202"/>
        <v>-5.2170505194458587E-2</v>
      </c>
      <c r="D3227">
        <f t="shared" si="203"/>
        <v>-8.5217830193474011</v>
      </c>
      <c r="R3227">
        <f t="shared" si="200"/>
        <v>3.2250000000000001</v>
      </c>
      <c r="S3227">
        <f t="shared" si="201"/>
        <v>-5.2170505194458587E-2</v>
      </c>
    </row>
    <row r="3228" spans="1:19" x14ac:dyDescent="0.3">
      <c r="A3228">
        <v>3.226</v>
      </c>
      <c r="B3228">
        <f>Uo*COS(2*PI()*Wn*Sheet2!A3228) + (Vo/Wn - (Po*(w/Wn))/(K*(1-(w/Wn)^2)))*SIN(2*PI()*Wn*Sheet2!A3228) +(Po*SIN(2*PI()*w*Sheet2!A3228))/(K*(1-(w/Wn)^2))</f>
        <v>-3.758786060690591</v>
      </c>
      <c r="C3228">
        <f t="shared" si="202"/>
        <v>-7.1677135122766342E-2</v>
      </c>
      <c r="D3228">
        <f t="shared" si="203"/>
        <v>-11.708090437075905</v>
      </c>
      <c r="R3228">
        <f t="shared" si="200"/>
        <v>3.226</v>
      </c>
      <c r="S3228">
        <f t="shared" si="201"/>
        <v>-7.1677135122766342E-2</v>
      </c>
    </row>
    <row r="3229" spans="1:19" x14ac:dyDescent="0.3">
      <c r="A3229">
        <v>3.2269999999999999</v>
      </c>
      <c r="B3229">
        <f>Uo*COS(2*PI()*Wn*Sheet2!A3229) + (Vo/Wn - (Po*(w/Wn))/(K*(1-(w/Wn)^2)))*SIN(2*PI()*Wn*Sheet2!A3229) +(Po*SIN(2*PI()*w*Sheet2!A3229))/(K*(1-(w/Wn)^2))</f>
        <v>-4.1132024101210929</v>
      </c>
      <c r="C3229">
        <f t="shared" si="202"/>
        <v>-9.1125145126508336E-2</v>
      </c>
      <c r="D3229">
        <f t="shared" si="203"/>
        <v>-14.884822592385579</v>
      </c>
      <c r="R3229">
        <f t="shared" si="200"/>
        <v>3.2269999999999999</v>
      </c>
      <c r="S3229">
        <f t="shared" si="201"/>
        <v>-9.1125145126508336E-2</v>
      </c>
    </row>
    <row r="3230" spans="1:19" x14ac:dyDescent="0.3">
      <c r="A3230">
        <v>3.2280000000000002</v>
      </c>
      <c r="B3230">
        <f>Uo*COS(2*PI()*Wn*Sheet2!A3230) + (Vo/Wn - (Po*(w/Wn))/(K*(1-(w/Wn)^2)))*SIN(2*PI()*Wn*Sheet2!A3230) +(Po*SIN(2*PI()*w*Sheet2!A3230))/(K*(1-(w/Wn)^2))</f>
        <v>-4.4662750553233979</v>
      </c>
      <c r="C3230">
        <f t="shared" si="202"/>
        <v>-0.11050829350977082</v>
      </c>
      <c r="D3230">
        <f t="shared" si="203"/>
        <v>-18.050959936432651</v>
      </c>
      <c r="R3230">
        <f t="shared" si="200"/>
        <v>3.2280000000000002</v>
      </c>
      <c r="S3230">
        <f t="shared" si="201"/>
        <v>-0.11050829350977082</v>
      </c>
    </row>
    <row r="3231" spans="1:19" x14ac:dyDescent="0.3">
      <c r="A3231">
        <v>3.2290000000000001</v>
      </c>
      <c r="B3231">
        <f>Uo*COS(2*PI()*Wn*Sheet2!A3231) + (Vo/Wn - (Po*(w/Wn))/(K*(1-(w/Wn)^2)))*SIN(2*PI()*Wn*Sheet2!A3231) +(Po*SIN(2*PI()*w*Sheet2!A3231))/(K*(1-(w/Wn)^2))</f>
        <v>-4.8178886542455199</v>
      </c>
      <c r="C3231">
        <f t="shared" si="202"/>
        <v>-0.12982037101792615</v>
      </c>
      <c r="D3231">
        <f t="shared" si="203"/>
        <v>-21.205488219490174</v>
      </c>
      <c r="R3231">
        <f t="shared" si="200"/>
        <v>3.2290000000000001</v>
      </c>
      <c r="S3231">
        <f t="shared" si="201"/>
        <v>-0.12982037101792615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1"/>
  <sheetViews>
    <sheetView workbookViewId="0">
      <selection activeCell="C21" sqref="C21"/>
    </sheetView>
  </sheetViews>
  <sheetFormatPr defaultRowHeight="14.4" x14ac:dyDescent="0.3"/>
  <sheetData>
    <row r="1" spans="1:3" x14ac:dyDescent="0.3">
      <c r="A1" s="33" t="s">
        <v>37</v>
      </c>
      <c r="B1" s="33" t="s">
        <v>38</v>
      </c>
      <c r="C1" s="33" t="s">
        <v>59</v>
      </c>
    </row>
    <row r="2" spans="1:3" x14ac:dyDescent="0.3">
      <c r="A2" s="33" t="s">
        <v>37</v>
      </c>
      <c r="B2" s="33" t="s">
        <v>37</v>
      </c>
      <c r="C2" s="33" t="s">
        <v>37</v>
      </c>
    </row>
    <row r="3" spans="1:3" x14ac:dyDescent="0.3">
      <c r="A3" s="33" t="s">
        <v>37</v>
      </c>
      <c r="B3" s="33" t="s">
        <v>37</v>
      </c>
      <c r="C3" s="33" t="s">
        <v>37</v>
      </c>
    </row>
    <row r="4" spans="1:3" x14ac:dyDescent="0.3">
      <c r="A4" s="24" t="s">
        <v>40</v>
      </c>
      <c r="B4" s="25">
        <v>801000</v>
      </c>
      <c r="C4" s="26">
        <v>20000</v>
      </c>
    </row>
    <row r="5" spans="1:3" x14ac:dyDescent="0.3">
      <c r="A5" s="24" t="s">
        <v>41</v>
      </c>
      <c r="B5" s="25">
        <v>1710000</v>
      </c>
      <c r="C5" s="26">
        <v>34200</v>
      </c>
    </row>
    <row r="6" spans="1:3" x14ac:dyDescent="0.3">
      <c r="A6" s="24" t="s">
        <v>42</v>
      </c>
      <c r="B6" s="25">
        <v>3180000</v>
      </c>
      <c r="C6" s="26">
        <v>53000</v>
      </c>
    </row>
    <row r="7" spans="1:3" x14ac:dyDescent="0.3">
      <c r="A7" s="24" t="s">
        <v>43</v>
      </c>
      <c r="B7" s="25">
        <v>5410000</v>
      </c>
      <c r="C7" s="26">
        <v>77300</v>
      </c>
    </row>
    <row r="8" spans="1:3" x14ac:dyDescent="0.3">
      <c r="A8" s="24" t="s">
        <v>44</v>
      </c>
      <c r="B8" s="25">
        <v>8690000</v>
      </c>
      <c r="C8" s="26">
        <v>109000</v>
      </c>
    </row>
    <row r="9" spans="1:3" x14ac:dyDescent="0.3">
      <c r="A9" s="24" t="s">
        <v>45</v>
      </c>
      <c r="B9" s="25">
        <v>13200000</v>
      </c>
      <c r="C9" s="26">
        <v>146000</v>
      </c>
    </row>
    <row r="10" spans="1:3" x14ac:dyDescent="0.3">
      <c r="A10" s="24" t="s">
        <v>46</v>
      </c>
      <c r="B10" s="25">
        <v>19400000</v>
      </c>
      <c r="C10" s="26">
        <v>194000</v>
      </c>
    </row>
    <row r="11" spans="1:3" x14ac:dyDescent="0.3">
      <c r="A11" s="24" t="s">
        <v>47</v>
      </c>
      <c r="B11" s="25">
        <v>27700000</v>
      </c>
      <c r="C11" s="26">
        <v>252000</v>
      </c>
    </row>
    <row r="12" spans="1:3" x14ac:dyDescent="0.3">
      <c r="A12" s="24" t="s">
        <v>48</v>
      </c>
      <c r="B12" s="25">
        <v>38900000</v>
      </c>
      <c r="C12" s="26">
        <v>324000</v>
      </c>
    </row>
    <row r="13" spans="1:3" x14ac:dyDescent="0.3">
      <c r="A13" s="24" t="s">
        <v>49</v>
      </c>
      <c r="B13" s="25">
        <v>57900000</v>
      </c>
      <c r="C13" s="26">
        <v>429000</v>
      </c>
    </row>
    <row r="14" spans="1:3" x14ac:dyDescent="0.3">
      <c r="A14" s="24" t="s">
        <v>50</v>
      </c>
      <c r="B14" s="25">
        <v>83600000</v>
      </c>
      <c r="C14" s="26">
        <v>557000</v>
      </c>
    </row>
    <row r="15" spans="1:3" x14ac:dyDescent="0.3">
      <c r="A15" s="24" t="s">
        <v>51</v>
      </c>
      <c r="B15" s="25">
        <v>117700000</v>
      </c>
      <c r="C15" s="26">
        <v>713000</v>
      </c>
    </row>
    <row r="16" spans="1:3" x14ac:dyDescent="0.3">
      <c r="A16" s="24" t="s">
        <v>52</v>
      </c>
      <c r="B16" s="25">
        <v>162700000</v>
      </c>
      <c r="C16" s="26">
        <v>904000</v>
      </c>
    </row>
    <row r="17" spans="1:3" x14ac:dyDescent="0.3">
      <c r="A17" s="24" t="s">
        <v>53</v>
      </c>
      <c r="B17" s="25">
        <v>231300000</v>
      </c>
      <c r="C17" s="26">
        <v>1160000</v>
      </c>
    </row>
    <row r="18" spans="1:3" x14ac:dyDescent="0.3">
      <c r="A18" s="24" t="s">
        <v>54</v>
      </c>
      <c r="B18" s="25">
        <v>337400000</v>
      </c>
      <c r="C18" s="26">
        <v>1500000</v>
      </c>
    </row>
    <row r="19" spans="1:3" x14ac:dyDescent="0.3">
      <c r="A19" s="24" t="s">
        <v>55</v>
      </c>
      <c r="B19" s="25">
        <v>482000000</v>
      </c>
      <c r="C19" s="26">
        <v>1930000</v>
      </c>
    </row>
    <row r="20" spans="1:3" x14ac:dyDescent="0.3">
      <c r="A20" s="24" t="s">
        <v>56</v>
      </c>
      <c r="B20" s="25">
        <v>671200000</v>
      </c>
      <c r="C20" s="26">
        <v>2440000</v>
      </c>
    </row>
    <row r="21" spans="1:3" x14ac:dyDescent="0.3">
      <c r="A21" s="24" t="s">
        <v>57</v>
      </c>
      <c r="B21" s="25">
        <v>920800000</v>
      </c>
      <c r="C21" s="26">
        <v>3070000</v>
      </c>
    </row>
  </sheetData>
  <mergeCells count="3">
    <mergeCell ref="A1:A3"/>
    <mergeCell ref="B1:B3"/>
    <mergeCell ref="C1:C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0"/>
  <sheetViews>
    <sheetView topLeftCell="A4" workbookViewId="0">
      <selection activeCell="B36" sqref="B36"/>
    </sheetView>
  </sheetViews>
  <sheetFormatPr defaultRowHeight="14.4" x14ac:dyDescent="0.3"/>
  <cols>
    <col min="2" max="2" width="12.6640625" bestFit="1" customWidth="1"/>
    <col min="5" max="5" width="12.6640625" bestFit="1" customWidth="1"/>
  </cols>
  <sheetData>
    <row r="1" spans="1:7" x14ac:dyDescent="0.3">
      <c r="D1" t="s">
        <v>63</v>
      </c>
      <c r="E1">
        <f>((b/L - 1)*P*a^3 / 2 + P*a^3 + E2*a - 3*P*b*a^3/(6*L))/a</f>
        <v>-13067587500</v>
      </c>
    </row>
    <row r="2" spans="1:7" x14ac:dyDescent="0.3">
      <c r="A2">
        <v>0</v>
      </c>
      <c r="B2">
        <v>0</v>
      </c>
      <c r="D2" t="s">
        <v>64</v>
      </c>
      <c r="E2">
        <f>(P*b*a^3 / (3*L) + (b/L -1)*(a^3 - L^3) *P/6 - (b/L -1)*P*a^3/2 + P/2*(a^3 - a*L^2) - P*a^3)/L</f>
        <v>-39202762500</v>
      </c>
    </row>
    <row r="3" spans="1:7" x14ac:dyDescent="0.3">
      <c r="A3">
        <v>1600</v>
      </c>
      <c r="B3">
        <v>11.36</v>
      </c>
      <c r="D3" t="s">
        <v>67</v>
      </c>
      <c r="E3">
        <f>P*b*a^3 / (6*L) + E1*a - (b/L - 1)*P*a^3 / 6 - P*a^3/2 -E2*a</f>
        <v>34846900000000</v>
      </c>
    </row>
    <row r="4" spans="1:7" x14ac:dyDescent="0.3">
      <c r="A4">
        <v>3200</v>
      </c>
      <c r="B4">
        <v>18.88</v>
      </c>
    </row>
    <row r="5" spans="1:7" x14ac:dyDescent="0.3">
      <c r="A5">
        <v>4800</v>
      </c>
      <c r="B5">
        <v>18.88</v>
      </c>
      <c r="D5" t="s">
        <v>66</v>
      </c>
      <c r="E5" s="30">
        <f>Sheet1!C21</f>
        <v>3266.8968749999999</v>
      </c>
    </row>
    <row r="6" spans="1:7" x14ac:dyDescent="0.3">
      <c r="A6">
        <v>6400</v>
      </c>
      <c r="B6">
        <v>11.36</v>
      </c>
      <c r="D6" t="s">
        <v>65</v>
      </c>
      <c r="E6">
        <f>a+b</f>
        <v>8000</v>
      </c>
    </row>
    <row r="7" spans="1:7" x14ac:dyDescent="0.3">
      <c r="A7">
        <v>8000</v>
      </c>
      <c r="B7">
        <v>0</v>
      </c>
      <c r="D7" t="s">
        <v>69</v>
      </c>
      <c r="E7">
        <v>8000</v>
      </c>
    </row>
    <row r="8" spans="1:7" x14ac:dyDescent="0.3">
      <c r="D8" t="s">
        <v>68</v>
      </c>
      <c r="E8">
        <f>-IF(E7&lt;=a,P*b*E7^3/(6*L) + $E$1*E7,(b/L - 1)*P*E7^3 / 6 + P*a*E7^2/2 + $E$2*E7 + $E$3) / (E*I)</f>
        <v>0</v>
      </c>
    </row>
    <row r="9" spans="1:7" x14ac:dyDescent="0.3">
      <c r="D9" t="s">
        <v>70</v>
      </c>
      <c r="E9">
        <f>MROUND(MAX(B:B, ABS(MIN(B:B)))*1.25,1)</f>
        <v>24</v>
      </c>
      <c r="F9" t="s">
        <v>3</v>
      </c>
      <c r="G9" s="30"/>
    </row>
    <row r="10" spans="1:7" x14ac:dyDescent="0.3">
      <c r="G10" s="3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Sheet1</vt:lpstr>
      <vt:lpstr>Sheet2</vt:lpstr>
      <vt:lpstr>Sheet3</vt:lpstr>
      <vt:lpstr>Sheet4</vt:lpstr>
      <vt:lpstr>a</vt:lpstr>
      <vt:lpstr>b</vt:lpstr>
      <vt:lpstr>E</vt:lpstr>
      <vt:lpstr>I</vt:lpstr>
      <vt:lpstr>K</vt:lpstr>
      <vt:lpstr>L</vt:lpstr>
      <vt:lpstr>m</vt:lpstr>
      <vt:lpstr>P</vt:lpstr>
      <vt:lpstr>Po</vt:lpstr>
      <vt:lpstr>Sheet1!Print_Area</vt:lpstr>
      <vt:lpstr>Profile</vt:lpstr>
      <vt:lpstr>Sx</vt:lpstr>
      <vt:lpstr>Uo</vt:lpstr>
      <vt:lpstr>Vo</vt:lpstr>
      <vt:lpstr>w</vt:lpstr>
      <vt:lpstr>Wn</vt:lpstr>
      <vt:lpstr>wnD</vt:lpstr>
      <vt:lpstr>zeta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Hazem Kasab</dc:creator>
  <cp:lastModifiedBy>Hazem Kassab</cp:lastModifiedBy>
  <cp:lastPrinted>2022-04-27T11:03:58Z</cp:lastPrinted>
  <dcterms:created xsi:type="dcterms:W3CDTF">2021-03-21T15:06:00Z</dcterms:created>
  <dcterms:modified xsi:type="dcterms:W3CDTF">2022-05-01T08:14:14Z</dcterms:modified>
</cp:coreProperties>
</file>